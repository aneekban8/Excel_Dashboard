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eek\Documents\Upwork\Excel dashboard\Dashboard 150125\"/>
    </mc:Choice>
  </mc:AlternateContent>
  <xr:revisionPtr revIDLastSave="0" documentId="13_ncr:1_{0BF89551-04E9-4A1D-AD14-9FF8F7A4BD88}" xr6:coauthVersionLast="47" xr6:coauthVersionMax="47" xr10:uidLastSave="{00000000-0000-0000-0000-000000000000}"/>
  <bookViews>
    <workbookView xWindow="-110" yWindow="-110" windowWidth="19420" windowHeight="10300" xr2:uid="{5E2C4857-7039-425F-8F73-FB7F2FD980D6}"/>
  </bookViews>
  <sheets>
    <sheet name="Data" sheetId="1" r:id="rId1"/>
    <sheet name="Sheet2" sheetId="245" r:id="rId2"/>
    <sheet name="Sheet1" sheetId="2" r:id="rId3"/>
    <sheet name="Lookup_Sheet1" sheetId="3" r:id="rId4"/>
  </sheets>
  <definedNames>
    <definedName name="Date2">#N/A</definedName>
    <definedName name="Date3">#N/A</definedName>
    <definedName name="Date4">#N/A</definedName>
    <definedName name="Date5">#N/A</definedName>
    <definedName name="my_range1">Sheet1!$BZ$1:OFFSET(Sheet1!$BY$1,0,COUNTA(Sheet1!$1:$1)-3,1,1)</definedName>
    <definedName name="my_range2">Lookup_Sheet1!$A$1:OFFSET(Lookup_Sheet1!$A$1,0,COUNTA(Lookup_Sheet1!$1:$1)-1,1,1)</definedName>
    <definedName name="my_range4">Sheet1!$JU$83:OFFSET(Sheet1!$JU$83,COUNTA(Sheet1!$JU:$JU)-1,0,1,1)</definedName>
    <definedName name="NativeTimeline_Date">#N/A</definedName>
    <definedName name="Yrs">Sheet1!$BW$2:OFFSET(Sheet1!$BW$2,COUNTA(Sheet1!$BW:$BW)-2,0,1,1)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  <x15:timelineCacheRef r:id="rId11"/>
        <x15:timelineCacheRef r:id="rId12"/>
        <x15:timelineCacheRef r:id="rId13"/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14" i="2" l="1"/>
  <c r="JU83" i="2" s="1" a="1"/>
  <c r="JU83" i="2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BW2" i="2" l="1" a="1"/>
  <c r="BW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<sst xmlns="http://schemas.openxmlformats.org/spreadsheetml/2006/main" count="6804" uniqueCount="70">
  <si>
    <t>Trans Number</t>
  </si>
  <si>
    <t>Name</t>
  </si>
  <si>
    <t>Date</t>
  </si>
  <si>
    <t>Year</t>
  </si>
  <si>
    <t>Month</t>
  </si>
  <si>
    <t>Product</t>
  </si>
  <si>
    <t>Units</t>
  </si>
  <si>
    <t>Dollars</t>
  </si>
  <si>
    <t>Total</t>
  </si>
  <si>
    <t>Betsy</t>
  </si>
  <si>
    <t>Hallagan</t>
  </si>
  <si>
    <t>Ashley</t>
  </si>
  <si>
    <t>Zaret</t>
  </si>
  <si>
    <t>Colleen</t>
  </si>
  <si>
    <t>Cristina</t>
  </si>
  <si>
    <t>Emilee</t>
  </si>
  <si>
    <t>Jen</t>
  </si>
  <si>
    <t>Cici</t>
  </si>
  <si>
    <t>Mary</t>
  </si>
  <si>
    <t>Evelyn</t>
  </si>
  <si>
    <t>Norah</t>
  </si>
  <si>
    <t>Regina</t>
  </si>
  <si>
    <t>CicI</t>
  </si>
  <si>
    <t>lip gloss</t>
  </si>
  <si>
    <t>foundation</t>
  </si>
  <si>
    <t>lipstick</t>
  </si>
  <si>
    <t>eye liner</t>
  </si>
  <si>
    <t>mascara</t>
  </si>
  <si>
    <t>Years</t>
  </si>
  <si>
    <t>Q4</t>
  </si>
  <si>
    <t>Q1</t>
  </si>
  <si>
    <t>Q2</t>
  </si>
  <si>
    <t>Q3</t>
  </si>
  <si>
    <t>2004_Q4</t>
  </si>
  <si>
    <t>2005_Q1</t>
  </si>
  <si>
    <t>2005_Q2</t>
  </si>
  <si>
    <t>2005_Q3</t>
  </si>
  <si>
    <t>2005_Q4</t>
  </si>
  <si>
    <t>2006_Q1</t>
  </si>
  <si>
    <t>2006_Q2</t>
  </si>
  <si>
    <t>2006_Q3</t>
  </si>
  <si>
    <t>2006_Q4</t>
  </si>
  <si>
    <t>2020_Q4</t>
  </si>
  <si>
    <t>2021_Q1</t>
  </si>
  <si>
    <t>2021_Q2</t>
  </si>
  <si>
    <t>2021_Q3</t>
  </si>
  <si>
    <t>2021_Q4</t>
  </si>
  <si>
    <t>2022_Q1</t>
  </si>
  <si>
    <t>2022_Q2</t>
  </si>
  <si>
    <t>2022_Q3</t>
  </si>
  <si>
    <t>2022_Q4</t>
  </si>
  <si>
    <t>2023_Q1</t>
  </si>
  <si>
    <t>2023_Q2</t>
  </si>
  <si>
    <t>2023_Q3</t>
  </si>
  <si>
    <t>2023_Q4</t>
  </si>
  <si>
    <t>Step 1: Select the year from below cell.</t>
  </si>
  <si>
    <t>Step 2: Select the quarter from below cell.</t>
  </si>
  <si>
    <t>Step 3: Select seller 1 from below cell</t>
  </si>
  <si>
    <t>Step 5: Select the product from below cell</t>
  </si>
  <si>
    <t>Row Labels</t>
  </si>
  <si>
    <t>Column Labels</t>
  </si>
  <si>
    <t>Qtr1</t>
  </si>
  <si>
    <t>Qtr2</t>
  </si>
  <si>
    <t>Qtr3</t>
  </si>
  <si>
    <t>Qtr4</t>
  </si>
  <si>
    <t>Sum of Total</t>
  </si>
  <si>
    <t xml:space="preserve">Step 4: Select Seller 2 from below cell. </t>
  </si>
  <si>
    <t>Hallagan 2006_Q2</t>
  </si>
  <si>
    <t>Emilee 2006_Q2</t>
  </si>
  <si>
    <t>2006_Q2 lip gloss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</si>
</sst>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F231"/>
        <bgColor indexed="64"/>
      </patternFill>
    </fill>
    <fill>
      <patternFill patternType="solid">
        <fgColor rgb="FF6DF97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14" fontId="0" fillId="0" borderId="0" xfId="0" applyNumberFormat="1"/>
    <xf numFmtId="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9" fontId="0" fillId="0" borderId="0" xfId="0" applyNumberFormat="1"/>
    <xf numFmtId="0" fontId="0" fillId="6" borderId="0" xfId="0" applyFill="1"/>
    <xf numFmtId="0" fontId="0" fillId="7" borderId="0" xfId="0" applyFill="1"/>
    <xf numFmtId="14" fontId="0" fillId="7" borderId="0" xfId="0" applyNumberFormat="1" applyFill="1"/>
    <xf numFmtId="2" fontId="0" fillId="7" borderId="0" xfId="0" applyNumberFormat="1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 wrapText="1"/>
    </xf>
  </cellXfs>
  <cellStyles count="1">
    <cellStyle name="Normal" xfId="0" builtinId="0"/>
  </cellStyles>
  <dxfs count="11"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font>
        <strike/>
        <color rgb="FFFFFF00"/>
      </font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6DF97E"/>
      <color rgb="FFF7F231"/>
      <color rgb="FFF5235A"/>
      <color rgb="FFF95817"/>
      <color rgb="FFEEF325"/>
      <color rgb="FF1EF2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11/relationships/timelineCache" Target="timelineCaches/timelineCache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11/relationships/timelineCache" Target="timelineCaches/timelineCache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11/relationships/timelineCache" Target="timelineCaches/timelineCache2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11/relationships/timelineCache" Target="timelineCaches/timelineCach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microsoft.com/office/2011/relationships/timelineCache" Target="timelineCaches/timelineCache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&amp; Emilee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Hallagan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-0.15254994349086975</c:v>
                </c:pt>
                <c:pt idx="1">
                  <c:v>1.1891551867250321</c:v>
                </c:pt>
                <c:pt idx="2">
                  <c:v>1.9396530232120983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2-4776-A6B5-5951EE030C4E}"/>
            </c:ext>
          </c:extLst>
        </c:ser>
        <c:ser>
          <c:idx val="1"/>
          <c:order val="1"/>
          <c:tx>
            <c:v>Emilee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-7.7381878990373867E-2</c:v>
                </c:pt>
                <c:pt idx="1">
                  <c:v>-0.55694289222666427</c:v>
                </c:pt>
                <c:pt idx="2">
                  <c:v>1.0885475950038692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F2-4776-A6B5-5951EE03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7227551"/>
        <c:axId val="1447238111"/>
      </c:barChart>
      <c:lineChart>
        <c:grouping val="standard"/>
        <c:varyColors val="0"/>
        <c:ser>
          <c:idx val="2"/>
          <c:order val="2"/>
          <c:tx>
            <c:v>Hallagan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16857.856274416172</c:v>
                </c:pt>
                <c:pt idx="1">
                  <c:v>36904.463500203288</c:v>
                </c:pt>
                <c:pt idx="2">
                  <c:v>108486.31769839313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2-4776-A6B5-5951EE030C4E}"/>
            </c:ext>
          </c:extLst>
        </c:ser>
        <c:ser>
          <c:idx val="3"/>
          <c:order val="3"/>
          <c:tx>
            <c:v>Emilee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34065.549222471171</c:v>
                </c:pt>
                <c:pt idx="1">
                  <c:v>15092.983713218284</c:v>
                </c:pt>
                <c:pt idx="2">
                  <c:v>31522.414835674615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F2-4776-A6B5-5951EE030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228511"/>
        <c:axId val="1447238591"/>
      </c:lineChart>
      <c:catAx>
        <c:axId val="144722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38111"/>
        <c:crosses val="autoZero"/>
        <c:auto val="1"/>
        <c:lblAlgn val="ctr"/>
        <c:lblOffset val="100"/>
        <c:noMultiLvlLbl val="0"/>
      </c:catAx>
      <c:valAx>
        <c:axId val="14472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7551"/>
        <c:crosses val="autoZero"/>
        <c:crossBetween val="between"/>
      </c:valAx>
      <c:valAx>
        <c:axId val="14472385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8511"/>
        <c:crosses val="max"/>
        <c:crossBetween val="between"/>
      </c:valAx>
      <c:catAx>
        <c:axId val="1447228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23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D8-468D-93E9-49C7A13B178A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D8-468D-93E9-49C7A13B178A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B2-4406-94CC-3AD1CE7D61F4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D8-468D-93E9-49C7A13B178A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D8-468D-93E9-49C7A13B17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7.4463840151838226E-2</c:v>
                </c:pt>
                <c:pt idx="1">
                  <c:v>0.17423717556710447</c:v>
                </c:pt>
                <c:pt idx="2">
                  <c:v>0.63030870820828966</c:v>
                </c:pt>
                <c:pt idx="3">
                  <c:v>5.8463422032434395E-3</c:v>
                </c:pt>
                <c:pt idx="4">
                  <c:v>0.11514393386952426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2-4406-94CC-3AD1CE7D6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Emilee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51D-4416-8A0D-547A8191651B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51D-4416-8A0D-547A8191651B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BD-4ECF-9F0D-3FDBC2935356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416-8A0D-547A8191651B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416-8A0D-547A819165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0.19920517463056286</c:v>
                </c:pt>
                <c:pt idx="1">
                  <c:v>0.18920389913654745</c:v>
                </c:pt>
                <c:pt idx="2">
                  <c:v>0.17958394935683719</c:v>
                </c:pt>
                <c:pt idx="3">
                  <c:v>0.15528971063858238</c:v>
                </c:pt>
                <c:pt idx="4">
                  <c:v>0.27671726623747006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BD-4ECF-9F0D-3FDBC2935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2006_Q2 lip gloss</a:t>
            </a:r>
          </a:p>
          <a:p>
            <a:pPr>
              <a:defRPr sz="900"/>
            </a:pPr>
            <a:r>
              <a:rPr lang="en-US" sz="900"/>
              <a:t>
Total sales: $302714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DA-47ED-955B-7716D0CA9E9C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DA-47ED-955B-7716D0CA9E9C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EDA-47ED-955B-7716D0CA9E9C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EDA-47ED-955B-7716D0CA9E9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EDA-47ED-955B-7716D0CA9E9C}"/>
              </c:ext>
            </c:extLst>
          </c:dPt>
          <c:dPt>
            <c:idx val="5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986-470B-8810-878BA98211B7}"/>
              </c:ext>
            </c:extLst>
          </c:dPt>
          <c:dPt>
            <c:idx val="6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986-470B-8810-878BA98211B7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EDA-47ED-955B-7716D0CA9E9C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EDA-47ED-955B-7716D0CA9E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1.4999375591612687E-3</c:v>
                </c:pt>
                <c:pt idx="1">
                  <c:v>9.54469689258131E-2</c:v>
                </c:pt>
                <c:pt idx="2">
                  <c:v>6.8213480104214186E-2</c:v>
                </c:pt>
                <c:pt idx="3">
                  <c:v>9.5586667848317194E-2</c:v>
                </c:pt>
                <c:pt idx="4">
                  <c:v>1.7547779659136564E-2</c:v>
                </c:pt>
                <c:pt idx="5">
                  <c:v>0.10413256245783753</c:v>
                </c:pt>
                <c:pt idx="6">
                  <c:v>0.35837857957391356</c:v>
                </c:pt>
                <c:pt idx="7">
                  <c:v>0.15517591937034422</c:v>
                </c:pt>
                <c:pt idx="8">
                  <c:v>0.10401810450126249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6-470B-8810-878BA9821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&amp; Emilee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Hallagan</c:v>
          </c:tx>
          <c:spPr>
            <a:solidFill>
              <a:srgbClr val="EC84B8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Sheet2!$X$32:$X$34</c:f>
              <c:numCache>
                <c:formatCode>0%</c:formatCode>
                <c:ptCount val="3"/>
                <c:pt idx="0">
                  <c:v>-0.15254994349086975</c:v>
                </c:pt>
                <c:pt idx="1">
                  <c:v>1.1891551867250321</c:v>
                </c:pt>
                <c:pt idx="2">
                  <c:v>1.9396530232120983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1-48AB-AAF2-47327C293F23}"/>
            </c:ext>
          </c:extLst>
        </c:ser>
        <c:ser>
          <c:idx val="1"/>
          <c:order val="1"/>
          <c:tx>
            <c:v>Emilee</c:v>
          </c:tx>
          <c:spPr>
            <a:solidFill>
              <a:srgbClr val="F5235A"/>
            </a:solidFill>
            <a:ln>
              <a:noFill/>
            </a:ln>
            <a:effectLst/>
          </c:spPr>
          <c:invertIfNegative val="0"/>
          <c:cat>
            <c:strRef>
              <c:f>Sheet2!$W$32:$W$34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Sheet2!$Y$32:$Y$34</c:f>
              <c:numCache>
                <c:formatCode>0%</c:formatCode>
                <c:ptCount val="3"/>
                <c:pt idx="0">
                  <c:v>-7.7381878990373867E-2</c:v>
                </c:pt>
                <c:pt idx="1">
                  <c:v>-0.55694289222666427</c:v>
                </c:pt>
                <c:pt idx="2">
                  <c:v>1.0885475950038692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1-48AB-AAF2-47327C29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7227551"/>
        <c:axId val="1447238111"/>
      </c:barChart>
      <c:lineChart>
        <c:grouping val="standard"/>
        <c:varyColors val="0"/>
        <c:ser>
          <c:idx val="2"/>
          <c:order val="2"/>
          <c:tx>
            <c:v>Hallagan Sales</c:v>
          </c:tx>
          <c:spPr>
            <a:ln w="25400" cap="rnd" cmpd="sng" algn="ctr">
              <a:solidFill>
                <a:srgbClr val="F5F02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25400" cap="rnd" cmpd="sng" algn="ctr">
                <a:solidFill>
                  <a:srgbClr val="F5F027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Sheet2!$X$7:$X$9</c:f>
              <c:numCache>
                <c:formatCode>0</c:formatCode>
                <c:ptCount val="3"/>
                <c:pt idx="0">
                  <c:v>16857.856274416172</c:v>
                </c:pt>
                <c:pt idx="1">
                  <c:v>36904.463500203288</c:v>
                </c:pt>
                <c:pt idx="2">
                  <c:v>108486.31769839313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71-48AB-AAF2-47327C293F23}"/>
            </c:ext>
          </c:extLst>
        </c:ser>
        <c:ser>
          <c:idx val="3"/>
          <c:order val="3"/>
          <c:tx>
            <c:v>Emilee Sales</c:v>
          </c:tx>
          <c:spPr>
            <a:ln w="25400" cap="rnd" cmpd="sng" algn="ctr">
              <a:solidFill>
                <a:srgbClr val="70EF11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diamond"/>
            <c:size val="5"/>
            <c:spPr>
              <a:solidFill>
                <a:schemeClr val="accent4"/>
              </a:solidFill>
              <a:ln w="25400" cap="rnd" cmpd="sng" algn="ctr">
                <a:solidFill>
                  <a:srgbClr val="70EF11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Sheet2!$W$7:$W$9</c:f>
              <c:strCache>
                <c:ptCount val="3"/>
                <c:pt idx="0">
                  <c:v>2005_Q4</c:v>
                </c:pt>
                <c:pt idx="1">
                  <c:v>2006_Q1</c:v>
                </c:pt>
                <c:pt idx="2">
                  <c:v>2006_Q2</c:v>
                </c:pt>
              </c:strCache>
            </c:strRef>
          </c:cat>
          <c:val>
            <c:numRef>
              <c:f>Sheet2!$Y$7:$Y$9</c:f>
              <c:numCache>
                <c:formatCode>0</c:formatCode>
                <c:ptCount val="3"/>
                <c:pt idx="0">
                  <c:v>34065.549222471171</c:v>
                </c:pt>
                <c:pt idx="1">
                  <c:v>15092.983713218284</c:v>
                </c:pt>
                <c:pt idx="2">
                  <c:v>31522.414835674615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71-48AB-AAF2-47327C293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7228511"/>
        <c:axId val="1447238591"/>
      </c:lineChart>
      <c:catAx>
        <c:axId val="144722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38111"/>
        <c:crosses val="autoZero"/>
        <c:auto val="1"/>
        <c:lblAlgn val="ctr"/>
        <c:lblOffset val="100"/>
        <c:noMultiLvlLbl val="0"/>
      </c:catAx>
      <c:valAx>
        <c:axId val="14472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 on Q % change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7551"/>
        <c:crosses val="autoZero"/>
        <c:crossBetween val="between"/>
      </c:valAx>
      <c:valAx>
        <c:axId val="1447238591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7228511"/>
        <c:crosses val="max"/>
        <c:crossBetween val="between"/>
      </c:valAx>
      <c:catAx>
        <c:axId val="1447228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4723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Hallagan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66-446F-9989-E02EF2EADC64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66-446F-9989-E02EF2EADC64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66-446F-9989-E02EF2EADC64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66-446F-9989-E02EF2EADC64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66-446F-9989-E02EF2EADC6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Sheet2!$W$45:$W$49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Sheet2!$X$45:$X$49</c:f>
              <c:numCache>
                <c:formatCode>0%</c:formatCode>
                <c:ptCount val="5"/>
                <c:pt idx="0">
                  <c:v>7.4463840151838226E-2</c:v>
                </c:pt>
                <c:pt idx="1">
                  <c:v>0.17423717556710447</c:v>
                </c:pt>
                <c:pt idx="2">
                  <c:v>0.63030870820828966</c:v>
                </c:pt>
                <c:pt idx="3">
                  <c:v>5.8463422032434395E-3</c:v>
                </c:pt>
                <c:pt idx="4">
                  <c:v>0.11514393386952426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66-446F-9989-E02EF2EAD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Emilee 2006_Q2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FB-47D9-8275-9C672782260B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FB-47D9-8275-9C672782260B}"/>
              </c:ext>
            </c:extLst>
          </c:dPt>
          <c:dPt>
            <c:idx val="2"/>
            <c:bubble3D val="0"/>
            <c:spPr>
              <a:solidFill>
                <a:srgbClr val="F162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CFB-47D9-8275-9C672782260B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CFB-47D9-8275-9C672782260B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CFB-47D9-8275-9C67278226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Sheet2!$W$63:$W$67</c:f>
              <c:strCache>
                <c:ptCount val="5"/>
                <c:pt idx="0">
                  <c:v>eye liner</c:v>
                </c:pt>
                <c:pt idx="1">
                  <c:v>foundation</c:v>
                </c:pt>
                <c:pt idx="2">
                  <c:v>lip gloss</c:v>
                </c:pt>
                <c:pt idx="3">
                  <c:v>lipstick</c:v>
                </c:pt>
                <c:pt idx="4">
                  <c:v>mascara</c:v>
                </c:pt>
              </c:strCache>
            </c:strRef>
          </c:cat>
          <c:val>
            <c:numRef>
              <c:f>Sheet2!$X$63:$X$67</c:f>
              <c:numCache>
                <c:formatCode>0%</c:formatCode>
                <c:ptCount val="5"/>
                <c:pt idx="0">
                  <c:v>0.19920517463056286</c:v>
                </c:pt>
                <c:pt idx="1">
                  <c:v>0.18920389913654745</c:v>
                </c:pt>
                <c:pt idx="2">
                  <c:v>0.17958394935683719</c:v>
                </c:pt>
                <c:pt idx="3">
                  <c:v>0.15528971063858238</c:v>
                </c:pt>
                <c:pt idx="4">
                  <c:v>0.27671726623747006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FB-47D9-8275-9C6727822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900"/>
              <a:t>2006_Q2 lip gloss</a:t>
            </a:r>
          </a:p>
          <a:p>
            <a:pPr>
              <a:defRPr sz="900"/>
            </a:pPr>
            <a:r>
              <a:rPr lang="en-US" sz="900"/>
              <a:t>
Total sales: $302714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AA-4473-A80B-78FDF7B49C0C}"/>
              </c:ext>
            </c:extLst>
          </c:dPt>
          <c:dPt>
            <c:idx val="1"/>
            <c:bubble3D val="0"/>
            <c:spPr>
              <a:solidFill>
                <a:schemeClr val="accent4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AA-4473-A80B-78FDF7B49C0C}"/>
              </c:ext>
            </c:extLst>
          </c:dPt>
          <c:dPt>
            <c:idx val="2"/>
            <c:bubble3D val="0"/>
            <c:spPr>
              <a:solidFill>
                <a:schemeClr val="accent4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AA-4473-A80B-78FDF7B49C0C}"/>
              </c:ext>
            </c:extLst>
          </c:dPt>
          <c:dPt>
            <c:idx val="3"/>
            <c:bubble3D val="0"/>
            <c:spPr>
              <a:solidFill>
                <a:schemeClr val="accent4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AA-4473-A80B-78FDF7B49C0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AA-4473-A80B-78FDF7B49C0C}"/>
              </c:ext>
            </c:extLst>
          </c:dPt>
          <c:dPt>
            <c:idx val="5"/>
            <c:bubble3D val="0"/>
            <c:spPr>
              <a:solidFill>
                <a:srgbClr val="7AB5F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FAA-4473-A80B-78FDF7B49C0C}"/>
              </c:ext>
            </c:extLst>
          </c:dPt>
          <c:dPt>
            <c:idx val="6"/>
            <c:bubble3D val="0"/>
            <c:spPr>
              <a:solidFill>
                <a:srgbClr val="58EA5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FAA-4473-A80B-78FDF7B49C0C}"/>
              </c:ext>
            </c:extLst>
          </c:dPt>
          <c:dPt>
            <c:idx val="7"/>
            <c:bubble3D val="0"/>
            <c:spPr>
              <a:solidFill>
                <a:schemeClr val="accent4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FAA-4473-A80B-78FDF7B49C0C}"/>
              </c:ext>
            </c:extLst>
          </c:dPt>
          <c:dPt>
            <c:idx val="8"/>
            <c:bubble3D val="0"/>
            <c:spPr>
              <a:solidFill>
                <a:schemeClr val="accent4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FAA-4473-A80B-78FDF7B49C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Sheet2!$AP$76:$AP$84</c:f>
              <c:strCache>
                <c:ptCount val="9"/>
                <c:pt idx="0">
                  <c:v>Ashley</c:v>
                </c:pt>
                <c:pt idx="1">
                  <c:v>Betsy</c:v>
                </c:pt>
                <c:pt idx="2">
                  <c:v>Cici</c:v>
                </c:pt>
                <c:pt idx="3">
                  <c:v>Colleen</c:v>
                </c:pt>
                <c:pt idx="4">
                  <c:v>Cristina</c:v>
                </c:pt>
                <c:pt idx="5">
                  <c:v>Emilee</c:v>
                </c:pt>
                <c:pt idx="6">
                  <c:v>Hallagan</c:v>
                </c:pt>
                <c:pt idx="7">
                  <c:v>Jen</c:v>
                </c:pt>
                <c:pt idx="8">
                  <c:v>Zaret</c:v>
                </c:pt>
              </c:strCache>
            </c:strRef>
          </c:cat>
          <c:val>
            <c:numRef>
              <c:f>Sheet2!$AQ$76:$AQ$84</c:f>
              <c:numCache>
                <c:formatCode>0%</c:formatCode>
                <c:ptCount val="9"/>
                <c:pt idx="0">
                  <c:v>1.4999375591612687E-3</c:v>
                </c:pt>
                <c:pt idx="1">
                  <c:v>9.54469689258131E-2</c:v>
                </c:pt>
                <c:pt idx="2">
                  <c:v>6.8213480104214186E-2</c:v>
                </c:pt>
                <c:pt idx="3">
                  <c:v>9.5586667848317194E-2</c:v>
                </c:pt>
                <c:pt idx="4">
                  <c:v>1.7547779659136564E-2</c:v>
                </c:pt>
                <c:pt idx="5">
                  <c:v>0.10413256245783753</c:v>
                </c:pt>
                <c:pt idx="6">
                  <c:v>0.35837857957391356</c:v>
                </c:pt>
                <c:pt idx="7">
                  <c:v>0.15517591937034422</c:v>
                </c:pt>
                <c:pt idx="8">
                  <c:v>0.10401810450126249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AA-4473-A80B-78FDF7B49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792307</xdr:colOff>
      <xdr:row>10</xdr:row>
      <xdr:rowOff>117764</xdr:rowOff>
    </xdr:from>
    <xdr:to>
      <xdr:col>7</xdr:col>
      <xdr:colOff>633557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7A58E034-A405-606C-A25F-345D5C8E81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581602</xdr:colOff>
      <xdr:row>10</xdr:row>
      <xdr:rowOff>117764</xdr:rowOff>
    </xdr:from>
    <xdr:to>
      <xdr:col>12</xdr:col>
      <xdr:colOff>163079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2">
              <a:extLst>
                <a:ext uri="{FF2B5EF4-FFF2-40B4-BE49-F238E27FC236}">
                  <a16:creationId xmlns:a16="http://schemas.microsoft.com/office/drawing/2014/main" id="{04B40D4C-3A98-E072-57B6-449B3B418C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7795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603250</xdr:colOff>
      <xdr:row>23</xdr:row>
      <xdr:rowOff>19050</xdr:rowOff>
    </xdr:from>
    <xdr:to>
      <xdr:col>10</xdr:col>
      <xdr:colOff>298450</xdr:colOff>
      <xdr:row>37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737BD7-424D-2FF8-921E-001741307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316634</xdr:colOff>
      <xdr:row>10</xdr:row>
      <xdr:rowOff>117764</xdr:rowOff>
    </xdr:from>
    <xdr:to>
      <xdr:col>17</xdr:col>
      <xdr:colOff>42430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e3">
              <a:extLst>
                <a:ext uri="{FF2B5EF4-FFF2-40B4-BE49-F238E27FC236}">
                  <a16:creationId xmlns:a16="http://schemas.microsoft.com/office/drawing/2014/main" id="{5DD83A85-8765-B620-E33E-A986C95559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51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4</xdr:col>
      <xdr:colOff>622300</xdr:colOff>
      <xdr:row>37</xdr:row>
      <xdr:rowOff>171450</xdr:rowOff>
    </xdr:from>
    <xdr:to>
      <xdr:col>10</xdr:col>
      <xdr:colOff>317500</xdr:colOff>
      <xdr:row>52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55A5AB-A095-8CC0-D71E-2B93B3CD3E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353580</xdr:colOff>
      <xdr:row>10</xdr:row>
      <xdr:rowOff>117764</xdr:rowOff>
    </xdr:from>
    <xdr:to>
      <xdr:col>23</xdr:col>
      <xdr:colOff>50511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4">
              <a:extLst>
                <a:ext uri="{FF2B5EF4-FFF2-40B4-BE49-F238E27FC236}">
                  <a16:creationId xmlns:a16="http://schemas.microsoft.com/office/drawing/2014/main" id="{EE6E3875-BE3A-1C14-89EC-8134A95A8D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0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23</xdr:row>
      <xdr:rowOff>69850</xdr:rowOff>
    </xdr:from>
    <xdr:to>
      <xdr:col>16</xdr:col>
      <xdr:colOff>139700</xdr:colOff>
      <xdr:row>37</xdr:row>
      <xdr:rowOff>158750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FCB6213-82B4-C4D3-44DE-1C2862306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272761</xdr:colOff>
      <xdr:row>10</xdr:row>
      <xdr:rowOff>117764</xdr:rowOff>
    </xdr:from>
    <xdr:to>
      <xdr:col>28</xdr:col>
      <xdr:colOff>575830</xdr:colOff>
      <xdr:row>17</xdr:row>
      <xdr:rowOff>176068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5">
              <a:extLst>
                <a:ext uri="{FF2B5EF4-FFF2-40B4-BE49-F238E27FC236}">
                  <a16:creationId xmlns:a16="http://schemas.microsoft.com/office/drawing/2014/main" id="{568DF886-509A-79F3-944F-F934352574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256000" y="19939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10</xdr:col>
      <xdr:colOff>444500</xdr:colOff>
      <xdr:row>38</xdr:row>
      <xdr:rowOff>139700</xdr:rowOff>
    </xdr:from>
    <xdr:to>
      <xdr:col>16</xdr:col>
      <xdr:colOff>139700</xdr:colOff>
      <xdr:row>53</xdr:row>
      <xdr:rowOff>44450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37942DA-76B2-C37F-A259-6069336DE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0</xdr:row>
          <xdr:rowOff>107950</xdr:rowOff>
        </xdr:from>
        <xdr:to>
          <xdr:col>24</xdr:col>
          <xdr:colOff>76200</xdr:colOff>
          <xdr:row>2</xdr:row>
          <xdr:rowOff>146050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</xdr:colOff>
          <xdr:row>0</xdr:row>
          <xdr:rowOff>107950</xdr:rowOff>
        </xdr:from>
        <xdr:to>
          <xdr:col>20</xdr:col>
          <xdr:colOff>590550</xdr:colOff>
          <xdr:row>2</xdr:row>
          <xdr:rowOff>146050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lookup table.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565150</xdr:colOff>
          <xdr:row>0</xdr:row>
          <xdr:rowOff>120650</xdr:rowOff>
        </xdr:from>
        <xdr:to>
          <xdr:col>17</xdr:col>
          <xdr:colOff>520700</xdr:colOff>
          <xdr:row>2</xdr:row>
          <xdr:rowOff>158750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data quality.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8</xdr:row>
      <xdr:rowOff>311149</xdr:rowOff>
    </xdr:from>
    <xdr:to>
      <xdr:col>8</xdr:col>
      <xdr:colOff>553580</xdr:colOff>
      <xdr:row>24</xdr:row>
      <xdr:rowOff>174667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5F43FF-A129-4EAD-832E-AE924528E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553580</xdr:colOff>
      <xdr:row>23</xdr:row>
      <xdr:rowOff>109932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4ECB02-8E10-4EBF-90B2-F6BF6F466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26</xdr:row>
      <xdr:rowOff>0</xdr:rowOff>
    </xdr:from>
    <xdr:to>
      <xdr:col>18</xdr:col>
      <xdr:colOff>553580</xdr:colOff>
      <xdr:row>40</xdr:row>
      <xdr:rowOff>106469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45CC1C-FAA3-4CAE-BBB1-47ED6581D2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26</xdr:row>
      <xdr:rowOff>0</xdr:rowOff>
    </xdr:from>
    <xdr:to>
      <xdr:col>8</xdr:col>
      <xdr:colOff>553580</xdr:colOff>
      <xdr:row>40</xdr:row>
      <xdr:rowOff>109933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0F61746-3A79-47E1-83A1-84222C5E98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74768516" createdVersion="8" refreshedVersion="8" minRefreshableVersion="3" recordCount="3197" xr:uid="{C5D119EB-7454-4796-A9EB-1112116FA8E9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44894056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76620371" createdVersion="8" refreshedVersion="8" minRefreshableVersion="3" recordCount="3197" xr:uid="{0A714363-B4AE-4F3D-9A6A-4FAB1706E7D7}">
  <cacheSource type="worksheet">
    <worksheetSource name="ProductLine"/>
  </cacheSource>
  <cacheFields count="12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  <fieldGroup par="11"/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  <cacheField name="Months (Date)" numFmtId="0" databaseField="0">
      <fieldGroup base="2">
        <rangePr groupBy="months" startDate="2004-01-03T00:00:00" endDate="2023-12-31T00:00:00"/>
        <groupItems count="14">
          <s v="&lt;1/3/200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23"/>
        </groupItems>
      </fieldGroup>
    </cacheField>
    <cacheField name="Quarters (Date)" numFmtId="0" databaseField="0">
      <fieldGroup base="2">
        <rangePr groupBy="quarters" startDate="2004-01-03T00:00:00" endDate="2023-12-31T00:00:00"/>
        <groupItems count="6">
          <s v="&lt;1/3/2004"/>
          <s v="Qtr1"/>
          <s v="Qtr2"/>
          <s v="Qtr3"/>
          <s v="Qtr4"/>
          <s v="&gt;12/31/2023"/>
        </groupItems>
      </fieldGroup>
    </cacheField>
    <cacheField name="Years (Date)" numFmtId="0" databaseField="0">
      <fieldGroup base="2">
        <rangePr groupBy="years" startDate="2004-01-03T00:00:00" endDate="2023-12-31T00:00:00"/>
        <groupItems count="22">
          <s v="&lt;1/3/2004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12/31/2023"/>
        </groupItems>
      </fieldGroup>
    </cacheField>
  </cacheFields>
  <extLst>
    <ext xmlns:x14="http://schemas.microsoft.com/office/spreadsheetml/2009/9/main" uri="{725AE2AE-9491-48be-B2B4-4EB974FC3084}">
      <x14:pivotCacheDefinition pivotCacheId="1337722268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84953707" createdVersion="8" refreshedVersion="8" minRefreshableVersion="3" recordCount="3197" xr:uid="{C8EF72CC-9B7E-45E1-93E2-840BAD8C6571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40664081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90046295" createdVersion="8" refreshedVersion="8" minRefreshableVersion="3" recordCount="3197" xr:uid="{77C184EB-3275-4155-9355-6BF191460A4E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171544076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EEK BANDYOPADHYAY" refreshedDate="45697.728897106485" createdVersion="8" refreshedVersion="8" minRefreshableVersion="3" recordCount="3197" xr:uid="{95F4365A-CBB0-4CC5-8FB9-C9218BE12923}">
  <cacheSource type="worksheet">
    <worksheetSource name="ProductLine"/>
  </cacheSource>
  <cacheFields count="9">
    <cacheField name="Trans Number" numFmtId="0">
      <sharedItems containsSemiMixedTypes="0" containsString="0" containsNumber="1" containsInteger="1" minValue="1" maxValue="3197"/>
    </cacheField>
    <cacheField name="Name" numFmtId="0">
      <sharedItems count="13">
        <s v="Betsy"/>
        <s v="Hallagan"/>
        <s v="Ashley"/>
        <s v="Zaret"/>
        <s v="Colleen"/>
        <s v="Cristina"/>
        <s v="Emilee"/>
        <s v="Jen"/>
        <s v="Cici"/>
        <s v="Mary"/>
        <s v="Evelyn"/>
        <s v="Norah"/>
        <s v="Regina"/>
      </sharedItems>
    </cacheField>
    <cacheField name="Date" numFmtId="14">
      <sharedItems containsSemiMixedTypes="0" containsNonDate="0" containsDate="1" containsString="0" minDate="2004-01-03T00:00:00" maxDate="2023-12-31T00:00:00" count="914">
        <d v="2004-04-01T00:00:00"/>
        <d v="2004-03-10T00:00:00"/>
        <d v="2005-02-25T00:00:00"/>
        <d v="2006-05-22T00:00:00"/>
        <d v="2004-06-17T00:00:00"/>
        <d v="2005-11-27T00:00:00"/>
        <d v="2004-03-21T00:00:00"/>
        <d v="2006-12-17T00:00:00"/>
        <d v="2006-07-05T00:00:00"/>
        <d v="2006-08-07T00:00:00"/>
        <d v="2004-11-29T00:00:00"/>
        <d v="2004-11-18T00:00:00"/>
        <d v="2005-08-31T00:00:00"/>
        <d v="2005-01-01T00:00:00"/>
        <d v="2006-09-20T00:00:00"/>
        <d v="2004-04-12T00:00:00"/>
        <d v="2006-04-30T00:00:00"/>
        <d v="2004-10-27T00:00:00"/>
        <d v="2006-06-02T00:00:00"/>
        <d v="2004-09-24T00:00:00"/>
        <d v="2006-02-01T00:00:00"/>
        <d v="2005-05-02T00:00:00"/>
        <d v="2004-11-07T00:00:00"/>
        <d v="2006-12-06T00:00:00"/>
        <d v="2005-09-22T00:00:00"/>
        <d v="2006-10-23T00:00:00"/>
        <d v="2005-11-16T00:00:00"/>
        <d v="2005-09-11T00:00:00"/>
        <d v="2006-03-28T00:00:00"/>
        <d v="2006-09-09T00:00:00"/>
        <d v="2006-12-28T00:00:00"/>
        <d v="2004-09-13T00:00:00"/>
        <d v="2005-07-07T00:00:00"/>
        <d v="2005-03-08T00:00:00"/>
        <d v="2006-02-23T00:00:00"/>
        <d v="2006-06-24T00:00:00"/>
        <d v="2004-02-06T00:00:00"/>
        <d v="2005-04-10T00:00:00"/>
        <d v="2004-06-06T00:00:00"/>
        <d v="2005-08-09T00:00:00"/>
        <d v="2005-05-24T00:00:00"/>
        <d v="2005-06-15T00:00:00"/>
        <d v="2004-01-04T00:00:00"/>
        <d v="2004-06-28T00:00:00"/>
        <d v="2005-12-08T00:00:00"/>
        <d v="2004-08-11T00:00:00"/>
        <d v="2006-05-11T00:00:00"/>
        <d v="2005-11-05T00:00:00"/>
        <d v="2006-07-16T00:00:00"/>
        <d v="2005-01-23T00:00:00"/>
        <d v="2004-12-21T00:00:00"/>
        <d v="2005-06-26T00:00:00"/>
        <d v="2006-03-06T00:00:00"/>
        <d v="2004-01-15T00:00:00"/>
        <d v="2005-02-14T00:00:00"/>
        <d v="2005-03-30T00:00:00"/>
        <d v="2006-01-10T00:00:00"/>
        <d v="2005-07-29T00:00:00"/>
        <d v="2006-10-01T00:00:00"/>
        <d v="2004-02-17T00:00:00"/>
        <d v="2005-12-19T00:00:00"/>
        <d v="2005-03-19T00:00:00"/>
        <d v="2006-06-13T00:00:00"/>
        <d v="2006-08-18T00:00:00"/>
        <d v="2004-05-26T00:00:00"/>
        <d v="2005-08-20T00:00:00"/>
        <d v="2006-11-25T00:00:00"/>
        <d v="2006-01-21T00:00:00"/>
        <d v="2005-10-03T00:00:00"/>
        <d v="2005-05-13T00:00:00"/>
        <d v="2006-03-17T00:00:00"/>
        <d v="2004-10-05T00:00:00"/>
        <d v="2005-10-25T00:00:00"/>
        <d v="2006-07-27T00:00:00"/>
        <d v="2004-04-23T00:00:00"/>
        <d v="2006-02-12T00:00:00"/>
        <d v="2006-11-14T00:00:00"/>
        <d v="2004-07-09T00:00:00"/>
        <d v="2005-02-03T00:00:00"/>
        <d v="2006-11-03T00:00:00"/>
        <d v="2004-09-02T00:00:00"/>
        <d v="2004-10-16T00:00:00"/>
        <d v="2005-12-30T00:00:00"/>
        <d v="2004-05-15T00:00:00"/>
        <d v="2006-10-12T00:00:00"/>
        <d v="2005-10-14T00:00:00"/>
        <d v="2004-02-28T00:00:00"/>
        <d v="2004-07-20T00:00:00"/>
        <d v="2004-05-04T00:00:00"/>
        <d v="2004-08-22T00:00:00"/>
        <d v="2004-12-10T00:00:00"/>
        <d v="2006-04-19T00:00:00"/>
        <d v="2005-04-21T00:00:00"/>
        <d v="2006-08-29T00:00:00"/>
        <d v="2005-01-12T00:00:00"/>
        <d v="2005-07-18T00:00:00"/>
        <d v="2004-07-31T00:00:00"/>
        <d v="2004-01-26T00:00:00"/>
        <d v="2005-06-04T00:00:00"/>
        <d v="2006-04-08T00:00:00"/>
        <d v="2020-07-16T00:00:00"/>
        <d v="2020-03-19T00:00:00"/>
        <d v="2020-08-17T00:00:00"/>
        <d v="2020-06-13T00:00:00"/>
        <d v="2020-02-18T00:00:00"/>
        <d v="2020-01-12T00:00:00"/>
        <d v="2020-04-16T00:00:00"/>
        <d v="2020-07-23T00:00:00"/>
        <d v="2020-04-21T00:00:00"/>
        <d v="2020-04-15T00:00:00"/>
        <d v="2020-06-02T00:00:00"/>
        <d v="2020-04-18T00:00:00"/>
        <d v="2020-04-25T00:00:00"/>
        <d v="2020-09-19T00:00:00"/>
        <d v="2020-03-18T00:00:00"/>
        <d v="2020-05-20T00:00:00"/>
        <d v="2020-11-30T00:00:00"/>
        <d v="2020-08-16T00:00:00"/>
        <d v="2020-05-17T00:00:00"/>
        <d v="2020-06-18T00:00:00"/>
        <d v="2020-08-19T00:00:00"/>
        <d v="2020-03-20T00:00:00"/>
        <d v="2020-09-25T00:00:00"/>
        <d v="2020-11-26T00:00:00"/>
        <d v="2020-10-09T00:00:00"/>
        <d v="2020-12-10T00:00:00"/>
        <d v="2020-11-21T00:00:00"/>
        <d v="2020-12-03T00:00:00"/>
        <d v="2020-06-12T00:00:00"/>
        <d v="2020-02-13T00:00:00"/>
        <d v="2020-04-14T00:00:00"/>
        <d v="2020-10-18T00:00:00"/>
        <d v="2020-01-19T00:00:00"/>
        <d v="2020-04-24T00:00:00"/>
        <d v="2020-11-15T00:00:00"/>
        <d v="2020-10-19T00:00:00"/>
        <d v="2020-12-27T00:00:00"/>
        <d v="2020-09-28T00:00:00"/>
        <d v="2020-05-14T00:00:00"/>
        <d v="2020-03-16T00:00:00"/>
        <d v="2020-11-20T00:00:00"/>
        <d v="2020-06-25T00:00:00"/>
        <d v="2020-04-17T00:00:00"/>
        <d v="2020-08-29T00:00:00"/>
        <d v="2020-10-14T00:00:00"/>
        <d v="2020-01-29T00:00:00"/>
        <d v="2020-07-17T00:00:00"/>
        <d v="2020-08-23T00:00:00"/>
        <d v="2020-03-02T00:00:00"/>
        <d v="2020-06-05T00:00:00"/>
        <d v="2020-03-15T00:00:00"/>
        <d v="2020-03-21T00:00:00"/>
        <d v="2020-10-17T00:00:00"/>
        <d v="2020-09-29T00:00:00"/>
        <d v="2020-10-25T00:00:00"/>
        <d v="2020-06-23T00:00:00"/>
        <d v="2020-07-24T00:00:00"/>
        <d v="2020-03-28T00:00:00"/>
        <d v="2020-08-30T00:00:00"/>
        <d v="2020-07-20T00:00:00"/>
        <d v="2020-02-25T00:00:00"/>
        <d v="2020-03-23T00:00:00"/>
        <d v="2020-01-21T00:00:00"/>
        <d v="2020-08-24T00:00:00"/>
        <d v="2020-08-27T00:00:00"/>
        <d v="2020-05-13T00:00:00"/>
        <d v="2020-06-30T00:00:00"/>
        <d v="2020-02-15T00:00:00"/>
        <d v="2021-09-06T00:00:00"/>
        <d v="2021-09-12T00:00:00"/>
        <d v="2021-10-24T00:00:00"/>
        <d v="2021-04-14T00:00:00"/>
        <d v="2021-03-17T00:00:00"/>
        <d v="2021-04-15T00:00:00"/>
        <d v="2021-03-13T00:00:00"/>
        <d v="2021-02-17T00:00:00"/>
        <d v="2021-01-19T00:00:00"/>
        <d v="2021-05-17T00:00:00"/>
        <d v="2021-09-20T00:00:00"/>
        <d v="2021-09-27T00:00:00"/>
        <d v="2021-06-28T00:00:00"/>
        <d v="2021-05-30T00:00:00"/>
        <d v="2021-09-25T00:00:00"/>
        <d v="2021-07-23T00:00:00"/>
        <d v="2021-10-25T00:00:00"/>
        <d v="2021-04-17T00:00:00"/>
        <d v="2021-10-27T00:00:00"/>
        <d v="2021-03-06T00:00:00"/>
        <d v="2021-01-09T00:00:00"/>
        <d v="2021-12-10T00:00:00"/>
        <d v="2021-06-18T00:00:00"/>
        <d v="2021-05-20T00:00:00"/>
        <d v="2021-08-26T00:00:00"/>
        <d v="2021-02-15T00:00:00"/>
        <d v="2021-06-19T00:00:00"/>
        <d v="2021-08-20T00:00:00"/>
        <d v="2021-09-26T00:00:00"/>
        <d v="2021-10-30T00:00:00"/>
        <d v="2021-01-24T00:00:00"/>
        <d v="2021-03-28T00:00:00"/>
        <d v="2021-09-18T00:00:00"/>
        <d v="2021-09-23T00:00:00"/>
        <d v="2021-05-29T00:00:00"/>
        <d v="2021-11-26T00:00:00"/>
        <d v="2021-11-28T00:00:00"/>
        <d v="2021-05-11T00:00:00"/>
        <d v="2021-03-19T00:00:00"/>
        <d v="2021-11-17T00:00:00"/>
        <d v="2021-07-30T00:00:00"/>
        <d v="2021-09-19T00:00:00"/>
        <d v="2021-03-30T00:00:00"/>
        <d v="2021-01-29T00:00:00"/>
        <d v="2021-06-27T00:00:00"/>
        <d v="2021-09-13T00:00:00"/>
        <d v="2021-12-12T00:00:00"/>
        <d v="2021-12-07T00:00:00"/>
        <d v="2021-11-10T00:00:00"/>
        <d v="2021-03-25T00:00:00"/>
        <d v="2021-12-15T00:00:00"/>
        <d v="2021-02-18T00:00:00"/>
        <d v="2021-07-20T00:00:00"/>
        <d v="2021-02-16T00:00:00"/>
        <d v="2021-01-14T00:00:00"/>
        <d v="2021-08-17T00:00:00"/>
        <d v="2021-10-19T00:00:00"/>
        <d v="2021-07-10T00:00:00"/>
        <d v="2021-03-27T00:00:00"/>
        <d v="2021-02-03T00:00:00"/>
        <d v="2021-01-15T00:00:00"/>
        <d v="2021-05-31T00:00:00"/>
        <d v="2021-06-01T00:00:00"/>
        <d v="2021-07-09T00:00:00"/>
        <d v="2021-09-10T00:00:00"/>
        <d v="2021-09-29T00:00:00"/>
        <d v="2021-09-30T00:00:00"/>
        <d v="2021-09-17T00:00:00"/>
        <d v="2021-05-25T00:00:00"/>
        <d v="2021-07-17T00:00:00"/>
        <d v="2022-06-16T00:00:00"/>
        <d v="2022-03-30T00:00:00"/>
        <d v="2022-02-10T00:00:00"/>
        <d v="2022-06-12T00:00:00"/>
        <d v="2022-08-17T00:00:00"/>
        <d v="2022-04-05T00:00:00"/>
        <d v="2022-01-19T00:00:00"/>
        <d v="2022-12-23T00:00:00"/>
        <d v="2022-02-21T00:00:00"/>
        <d v="2022-08-23T00:00:00"/>
        <d v="2022-01-18T00:00:00"/>
        <d v="2022-03-26T00:00:00"/>
        <d v="2022-04-30T00:00:00"/>
        <d v="2022-01-12T00:00:00"/>
        <d v="2022-09-20T00:00:00"/>
        <d v="2022-04-13T00:00:00"/>
        <d v="2022-09-14T00:00:00"/>
        <d v="2022-12-21T00:00:00"/>
        <d v="2022-11-20T00:00:00"/>
        <d v="2022-03-13T00:00:00"/>
        <d v="2022-01-17T00:00:00"/>
        <d v="2022-11-29T00:00:00"/>
        <d v="2022-12-30T00:00:00"/>
        <d v="2022-11-28T00:00:00"/>
        <d v="2022-09-19T00:00:00"/>
        <d v="2022-04-25T00:00:00"/>
        <d v="2022-01-21T00:00:00"/>
        <d v="2022-01-11T00:00:00"/>
        <d v="2022-07-28T00:00:00"/>
        <d v="2022-06-17T00:00:00"/>
        <d v="2022-09-18T00:00:00"/>
        <d v="2022-01-23T00:00:00"/>
        <d v="2022-09-11T00:00:00"/>
        <d v="2022-11-26T00:00:00"/>
        <d v="2022-10-25T00:00:00"/>
        <d v="2022-11-24T00:00:00"/>
        <d v="2022-12-13T00:00:00"/>
        <d v="2022-10-19T00:00:00"/>
        <d v="2022-11-21T00:00:00"/>
        <d v="2022-05-29T00:00:00"/>
        <d v="2022-04-18T00:00:00"/>
        <d v="2022-03-29T00:00:00"/>
        <d v="2022-06-28T00:00:00"/>
        <d v="2022-05-18T00:00:00"/>
        <d v="2022-10-23T00:00:00"/>
        <d v="2022-05-24T00:00:00"/>
        <d v="2022-10-27T00:00:00"/>
        <d v="2022-01-29T00:00:00"/>
        <d v="2022-02-14T00:00:00"/>
        <d v="2022-10-26T00:00:00"/>
        <d v="2022-04-29T00:00:00"/>
        <d v="2022-05-20T00:00:00"/>
        <d v="2022-05-30T00:00:00"/>
        <d v="2022-01-31T00:00:00"/>
        <d v="2022-02-12T00:00:00"/>
        <d v="2020-01-23T00:00:00"/>
        <d v="2020-01-01T00:00:00"/>
        <d v="2020-01-17T00:00:00"/>
        <d v="2020-01-05T00:00:00"/>
        <d v="2020-10-01T00:00:00"/>
        <d v="2020-10-13T00:00:00"/>
        <d v="2020-10-23T00:00:00"/>
        <d v="2020-10-15T00:00:00"/>
        <d v="2020-11-16T00:00:00"/>
        <d v="2020-11-23T00:00:00"/>
        <d v="2020-12-07T00:00:00"/>
        <d v="2020-12-15T00:00:00"/>
        <d v="2020-02-01T00:00:00"/>
        <d v="2020-02-09T00:00:00"/>
        <d v="2020-01-14T00:00:00"/>
        <d v="2020-01-18T00:00:00"/>
        <d v="2020-03-04T00:00:00"/>
        <d v="2020-01-24T00:00:00"/>
        <d v="2020-02-17T00:00:00"/>
        <d v="2020-01-09T00:00:00"/>
        <d v="2020-03-09T00:00:00"/>
        <d v="2020-01-06T00:00:00"/>
        <d v="2020-01-08T00:00:00"/>
        <d v="2020-01-13T00:00:00"/>
        <d v="2020-01-07T00:00:00"/>
        <d v="2020-02-03T00:00:00"/>
        <d v="2020-01-15T00:00:00"/>
        <d v="2020-03-14T00:00:00"/>
        <d v="2020-02-19T00:00:00"/>
        <d v="2020-03-06T00:00:00"/>
        <d v="2020-01-16T00:00:00"/>
        <d v="2020-01-20T00:00:00"/>
        <d v="2020-03-12T00:00:00"/>
        <d v="2020-04-12T00:00:00"/>
        <d v="2020-05-02T00:00:00"/>
        <d v="2020-04-19T00:00:00"/>
        <d v="2020-05-12T00:00:00"/>
        <d v="2020-06-14T00:00:00"/>
        <d v="2020-06-17T00:00:00"/>
        <d v="2020-05-10T00:00:00"/>
        <d v="2020-04-08T00:00:00"/>
        <d v="2020-05-06T00:00:00"/>
        <d v="2020-04-10T00:00:00"/>
        <d v="2020-06-07T00:00:00"/>
        <d v="2020-06-11T00:00:00"/>
        <d v="2020-04-11T00:00:00"/>
        <d v="2020-05-16T00:00:00"/>
        <d v="2020-04-23T00:00:00"/>
        <d v="2020-05-01T00:00:00"/>
        <d v="2020-05-03T00:00:00"/>
        <d v="2020-06-09T00:00:00"/>
        <d v="2020-05-18T00:00:00"/>
        <d v="2020-04-02T00:00:00"/>
        <d v="2020-04-05T00:00:00"/>
        <d v="2020-06-10T00:00:00"/>
        <d v="2020-06-21T00:00:00"/>
        <d v="2020-06-20T00:00:00"/>
        <d v="2020-05-19T00:00:00"/>
        <d v="2020-05-24T00:00:00"/>
        <d v="2020-04-09T00:00:00"/>
        <d v="2020-06-28T00:00:00"/>
        <d v="2020-04-07T00:00:00"/>
        <d v="2020-07-12T00:00:00"/>
        <d v="2020-07-27T00:00:00"/>
        <d v="2020-08-04T00:00:00"/>
        <d v="2020-08-28T00:00:00"/>
        <d v="2020-07-02T00:00:00"/>
        <d v="2020-07-28T00:00:00"/>
        <d v="2020-09-24T00:00:00"/>
        <d v="2020-07-01T00:00:00"/>
        <d v="2020-07-08T00:00:00"/>
        <d v="2020-08-10T00:00:00"/>
        <d v="2020-08-22T00:00:00"/>
        <d v="2020-07-19T00:00:00"/>
        <d v="2020-07-07T00:00:00"/>
        <d v="2020-07-10T00:00:00"/>
        <d v="2020-07-18T00:00:00"/>
        <d v="2020-08-15T00:00:00"/>
        <d v="2020-09-12T00:00:00"/>
        <d v="2020-09-17T00:00:00"/>
        <d v="2020-07-21T00:00:00"/>
        <d v="2020-09-18T00:00:00"/>
        <d v="2020-09-20T00:00:00"/>
        <d v="2020-08-08T00:00:00"/>
        <d v="2020-09-26T00:00:00"/>
        <d v="2020-07-11T00:00:00"/>
        <d v="2020-07-25T00:00:00"/>
        <d v="2020-08-01T00:00:00"/>
        <d v="2020-09-02T00:00:00"/>
        <d v="2020-08-18T00:00:00"/>
        <d v="2020-08-20T00:00:00"/>
        <d v="2020-08-25T00:00:00"/>
        <d v="2020-09-23T00:00:00"/>
        <d v="2020-07-13T00:00:00"/>
        <d v="2020-09-01T00:00:00"/>
        <d v="2020-09-03T00:00:00"/>
        <d v="2020-07-22T00:00:00"/>
        <d v="2020-08-09T00:00:00"/>
        <d v="2020-09-27T00:00:00"/>
        <d v="2020-09-30T00:00:00"/>
        <d v="2020-08-12T00:00:00"/>
        <d v="2020-07-09T00:00:00"/>
        <d v="2020-09-10T00:00:00"/>
        <d v="2020-07-15T00:00:00"/>
        <d v="2020-09-08T00:00:00"/>
        <d v="2020-07-29T00:00:00"/>
        <d v="2020-09-09T00:00:00"/>
        <d v="2020-09-21T00:00:00"/>
        <d v="2020-11-12T00:00:00"/>
        <d v="2020-12-20T00:00:00"/>
        <d v="2020-12-21T00:00:00"/>
        <d v="2020-10-27T00:00:00"/>
        <d v="2020-12-24T00:00:00"/>
        <d v="2020-11-19T00:00:00"/>
        <d v="2020-12-26T00:00:00"/>
        <d v="2020-10-11T00:00:00"/>
        <d v="2020-11-25T00:00:00"/>
        <d v="2020-10-24T00:00:00"/>
        <d v="2020-12-13T00:00:00"/>
        <d v="2020-12-28T00:00:00"/>
        <d v="2020-10-05T00:00:00"/>
        <d v="2020-10-12T00:00:00"/>
        <d v="2020-11-02T00:00:00"/>
        <d v="2020-11-17T00:00:00"/>
        <d v="2020-11-24T00:00:00"/>
        <d v="2020-12-14T00:00:00"/>
        <d v="2020-11-08T00:00:00"/>
        <d v="2020-12-23T00:00:00"/>
        <d v="2020-10-02T00:00:00"/>
        <d v="2020-11-18T00:00:00"/>
        <d v="2020-12-30T00:00:00"/>
        <d v="2020-12-01T00:00:00"/>
        <d v="2020-12-06T00:00:00"/>
        <d v="2020-10-06T00:00:00"/>
        <d v="2020-11-13T00:00:00"/>
        <d v="2020-12-17T00:00:00"/>
        <d v="2021-01-05T00:00:00"/>
        <d v="2021-01-27T00:00:00"/>
        <d v="2021-02-14T00:00:00"/>
        <d v="2021-02-28T00:00:00"/>
        <d v="2021-03-03T00:00:00"/>
        <d v="2021-01-23T00:00:00"/>
        <d v="2021-01-20T00:00:00"/>
        <d v="2021-02-02T00:00:00"/>
        <d v="2021-03-09T00:00:00"/>
        <d v="2021-03-02T00:00:00"/>
        <d v="2021-03-12T00:00:00"/>
        <d v="2021-03-15T00:00:00"/>
        <d v="2021-01-12T00:00:00"/>
        <d v="2021-03-05T00:00:00"/>
        <d v="2021-03-04T00:00:00"/>
        <d v="2021-02-09T00:00:00"/>
        <d v="2021-03-14T00:00:00"/>
        <d v="2021-03-24T00:00:00"/>
        <d v="2021-01-25T00:00:00"/>
        <d v="2021-01-28T00:00:00"/>
        <d v="2021-02-23T00:00:00"/>
        <d v="2021-01-26T00:00:00"/>
        <d v="2021-02-13T00:00:00"/>
        <d v="2021-03-07T00:00:00"/>
        <d v="2021-02-24T00:00:00"/>
        <d v="2021-02-25T00:00:00"/>
        <d v="2021-02-27T00:00:00"/>
        <d v="2021-03-29T00:00:00"/>
        <d v="2021-03-16T00:00:00"/>
        <d v="2021-02-12T00:00:00"/>
        <d v="2021-02-20T00:00:00"/>
        <d v="2021-03-01T00:00:00"/>
        <d v="2021-03-26T00:00:00"/>
        <d v="2021-05-16T00:00:00"/>
        <d v="2021-04-20T00:00:00"/>
        <d v="2021-05-26T00:00:00"/>
        <d v="2021-06-23T00:00:00"/>
        <d v="2021-06-07T00:00:00"/>
        <d v="2021-04-18T00:00:00"/>
        <d v="2021-04-27T00:00:00"/>
        <d v="2021-04-26T00:00:00"/>
        <d v="2021-04-12T00:00:00"/>
        <d v="2021-04-21T00:00:00"/>
        <d v="2021-05-01T00:00:00"/>
        <d v="2021-04-08T00:00:00"/>
        <d v="2021-04-06T00:00:00"/>
        <d v="2021-05-06T00:00:00"/>
        <d v="2021-05-10T00:00:00"/>
        <d v="2021-06-20T00:00:00"/>
        <d v="2021-04-09T00:00:00"/>
        <d v="2021-05-18T00:00:00"/>
        <d v="2021-05-02T00:00:00"/>
        <d v="2021-05-24T00:00:00"/>
        <d v="2021-04-16T00:00:00"/>
        <d v="2021-05-22T00:00:00"/>
        <d v="2021-06-17T00:00:00"/>
        <d v="2021-06-16T00:00:00"/>
        <d v="2021-04-19T00:00:00"/>
        <d v="2021-05-19T00:00:00"/>
        <d v="2021-05-21T00:00:00"/>
        <d v="2021-06-10T00:00:00"/>
        <d v="2021-04-22T00:00:00"/>
        <d v="2021-06-12T00:00:00"/>
        <d v="2021-04-10T00:00:00"/>
        <d v="2021-04-11T00:00:00"/>
        <d v="2021-05-05T00:00:00"/>
        <d v="2021-07-16T00:00:00"/>
        <d v="2021-07-08T00:00:00"/>
        <d v="2021-07-12T00:00:00"/>
        <d v="2021-08-12T00:00:00"/>
        <d v="2021-08-30T00:00:00"/>
        <d v="2021-09-11T00:00:00"/>
        <d v="2021-09-21T00:00:00"/>
        <d v="2021-07-28T00:00:00"/>
        <d v="2021-07-18T00:00:00"/>
        <d v="2021-08-19T00:00:00"/>
        <d v="2021-07-01T00:00:00"/>
        <d v="2021-08-23T00:00:00"/>
        <d v="2021-08-18T00:00:00"/>
        <d v="2021-09-22T00:00:00"/>
        <d v="2021-07-19T00:00:00"/>
        <d v="2021-08-09T00:00:00"/>
        <d v="2021-07-11T00:00:00"/>
        <d v="2021-08-15T00:00:00"/>
        <d v="2021-09-16T00:00:00"/>
        <d v="2021-08-21T00:00:00"/>
        <d v="2021-09-15T00:00:00"/>
        <d v="2021-08-11T00:00:00"/>
        <d v="2021-09-05T00:00:00"/>
        <d v="2021-09-28T00:00:00"/>
        <d v="2021-08-01T00:00:00"/>
        <d v="2021-10-01T00:00:00"/>
        <d v="2021-10-12T00:00:00"/>
        <d v="2021-11-04T00:00:00"/>
        <d v="2021-12-03T00:00:00"/>
        <d v="2021-10-23T00:00:00"/>
        <d v="2021-10-14T00:00:00"/>
        <d v="2021-11-12T00:00:00"/>
        <d v="2021-12-09T00:00:00"/>
        <d v="2021-10-09T00:00:00"/>
        <d v="2021-10-08T00:00:00"/>
        <d v="2021-11-08T00:00:00"/>
        <d v="2021-11-06T00:00:00"/>
        <d v="2021-11-05T00:00:00"/>
        <d v="2021-10-29T00:00:00"/>
        <d v="2021-11-14T00:00:00"/>
        <d v="2021-12-16T00:00:00"/>
        <d v="2021-12-17T00:00:00"/>
        <d v="2021-10-21T00:00:00"/>
        <d v="2021-10-20T00:00:00"/>
        <d v="2021-11-07T00:00:00"/>
        <d v="2021-12-05T00:00:00"/>
        <d v="2021-10-02T00:00:00"/>
        <d v="2021-11-03T00:00:00"/>
        <d v="2021-11-19T00:00:00"/>
        <d v="2021-12-22T00:00:00"/>
        <d v="2021-10-06T00:00:00"/>
        <d v="2021-11-09T00:00:00"/>
        <d v="2021-10-10T00:00:00"/>
        <d v="2021-12-11T00:00:00"/>
        <d v="2021-11-02T00:00:00"/>
        <d v="2021-12-06T00:00:00"/>
        <d v="2021-10-04T00:00:00"/>
        <d v="2021-12-24T00:00:00"/>
        <d v="2021-12-25T00:00:00"/>
        <d v="2021-12-28T00:00:00"/>
        <d v="2021-12-20T00:00:00"/>
        <d v="2021-11-16T00:00:00"/>
        <d v="2021-10-18T00:00:00"/>
        <d v="2021-12-01T00:00:00"/>
        <d v="2021-12-29T00:00:00"/>
        <d v="2021-10-11T00:00:00"/>
        <d v="2021-12-19T00:00:00"/>
        <d v="2021-11-01T00:00:00"/>
        <d v="2021-10-13T00:00:00"/>
        <d v="2021-10-26T00:00:00"/>
        <d v="2021-10-28T00:00:00"/>
        <d v="2021-12-30T00:00:00"/>
        <d v="2021-12-27T00:00:00"/>
        <d v="2022-03-17T00:00:00"/>
        <d v="2022-02-09T00:00:00"/>
        <d v="2022-03-19T00:00:00"/>
        <d v="2022-01-02T00:00:00"/>
        <d v="2022-01-27T00:00:00"/>
        <d v="2022-01-26T00:00:00"/>
        <d v="2022-02-25T00:00:00"/>
        <d v="2022-03-16T00:00:00"/>
        <d v="2022-03-28T00:00:00"/>
        <d v="2022-01-25T00:00:00"/>
        <d v="2022-02-24T00:00:00"/>
        <d v="2022-02-18T00:00:00"/>
        <d v="2022-03-20T00:00:00"/>
        <d v="2022-02-27T00:00:00"/>
        <d v="2022-03-09T00:00:00"/>
        <d v="2022-01-10T00:00:00"/>
        <d v="2022-02-26T00:00:00"/>
        <d v="2022-02-04T00:00:00"/>
        <d v="2022-03-18T00:00:00"/>
        <d v="2022-01-24T00:00:00"/>
        <d v="2022-02-20T00:00:00"/>
        <d v="2022-04-02T00:00:00"/>
        <d v="2022-05-19T00:00:00"/>
        <d v="2022-04-01T00:00:00"/>
        <d v="2022-04-28T00:00:00"/>
        <d v="2022-05-17T00:00:00"/>
        <d v="2022-04-03T00:00:00"/>
        <d v="2022-04-22T00:00:00"/>
        <d v="2022-04-06T00:00:00"/>
        <d v="2022-04-11T00:00:00"/>
        <d v="2022-06-30T00:00:00"/>
        <d v="2022-05-06T00:00:00"/>
        <d v="2022-06-07T00:00:00"/>
        <d v="2022-04-09T00:00:00"/>
        <d v="2022-04-17T00:00:00"/>
        <d v="2022-06-19T00:00:00"/>
        <d v="2022-05-02T00:00:00"/>
        <d v="2022-06-09T00:00:00"/>
        <d v="2022-04-04T00:00:00"/>
        <d v="2022-05-01T00:00:00"/>
        <d v="2022-06-02T00:00:00"/>
        <d v="2022-04-15T00:00:00"/>
        <d v="2022-06-27T00:00:00"/>
        <d v="2022-05-27T00:00:00"/>
        <d v="2022-04-12T00:00:00"/>
        <d v="2022-04-16T00:00:00"/>
        <d v="2022-07-10T00:00:00"/>
        <d v="2022-08-11T00:00:00"/>
        <d v="2022-09-01T00:00:00"/>
        <d v="2022-09-02T00:00:00"/>
        <d v="2022-07-02T00:00:00"/>
        <d v="2022-07-16T00:00:00"/>
        <d v="2022-07-21T00:00:00"/>
        <d v="2022-08-19T00:00:00"/>
        <d v="2022-07-19T00:00:00"/>
        <d v="2022-07-29T00:00:00"/>
        <d v="2022-08-29T00:00:00"/>
        <d v="2022-09-29T00:00:00"/>
        <d v="2022-08-12T00:00:00"/>
        <d v="2022-08-09T00:00:00"/>
        <d v="2022-09-03T00:00:00"/>
        <d v="2022-07-01T00:00:00"/>
        <d v="2022-09-12T00:00:00"/>
        <d v="2022-09-21T00:00:00"/>
        <d v="2022-09-10T00:00:00"/>
        <d v="2022-09-28T00:00:00"/>
        <d v="2022-08-27T00:00:00"/>
        <d v="2022-08-10T00:00:00"/>
        <d v="2022-08-15T00:00:00"/>
        <d v="2022-08-20T00:00:00"/>
        <d v="2022-07-08T00:00:00"/>
        <d v="2022-07-31T00:00:00"/>
        <d v="2022-08-31T00:00:00"/>
        <d v="2022-08-06T00:00:00"/>
        <d v="2022-09-30T00:00:00"/>
        <d v="2022-08-07T00:00:00"/>
        <d v="2022-07-09T00:00:00"/>
        <d v="2022-07-18T00:00:00"/>
        <d v="2022-10-02T00:00:00"/>
        <d v="2022-11-09T00:00:00"/>
        <d v="2022-10-05T00:00:00"/>
        <d v="2022-11-12T00:00:00"/>
        <d v="2022-12-02T00:00:00"/>
        <d v="2022-12-08T00:00:00"/>
        <d v="2022-12-18T00:00:00"/>
        <d v="2022-10-01T00:00:00"/>
        <d v="2022-12-25T00:00:00"/>
        <d v="2022-10-06T00:00:00"/>
        <d v="2022-11-19T00:00:00"/>
        <d v="2022-11-13T00:00:00"/>
        <d v="2022-10-07T00:00:00"/>
        <d v="2022-10-31T00:00:00"/>
        <d v="2022-11-23T00:00:00"/>
        <d v="2022-10-12T00:00:00"/>
        <d v="2022-10-22T00:00:00"/>
        <d v="2022-12-11T00:00:00"/>
        <d v="2022-11-11T00:00:00"/>
        <d v="2022-11-30T00:00:00"/>
        <d v="2022-12-05T00:00:00"/>
        <d v="2022-11-10T00:00:00"/>
        <d v="2022-11-02T00:00:00"/>
        <d v="2022-11-06T00:00:00"/>
        <d v="2022-10-03T00:00:00"/>
        <d v="2022-10-13T00:00:00"/>
        <d v="2022-12-28T00:00:00"/>
        <d v="2022-11-05T00:00:00"/>
        <d v="2022-11-04T00:00:00"/>
        <d v="2022-10-29T00:00:00"/>
        <d v="2004-02-09T00:00:00"/>
        <d v="2004-03-30T00:00:00"/>
        <d v="2004-01-09T00:00:00"/>
        <d v="2004-02-18T00:00:00"/>
        <d v="2004-01-05T00:00:00"/>
        <d v="2004-09-03T00:00:00"/>
        <d v="2004-01-03T00:00:00"/>
        <d v="2004-03-08T00:00:00"/>
        <d v="2004-05-17T00:00:00"/>
        <d v="2004-06-18T00:00:00"/>
        <d v="2004-06-30T00:00:00"/>
        <d v="2004-08-10T00:00:00"/>
        <d v="2004-09-12T00:00:00"/>
        <d v="2004-07-08T00:00:00"/>
        <d v="2004-08-04T00:00:00"/>
        <d v="2004-09-10T00:00:00"/>
        <d v="2005-02-18T00:00:00"/>
        <d v="2005-03-23T00:00:00"/>
        <d v="2005-01-09T00:00:00"/>
        <d v="2005-01-14T00:00:00"/>
        <d v="2005-02-16T00:00:00"/>
        <d v="2005-04-03T00:00:00"/>
        <d v="2005-05-19T00:00:00"/>
        <d v="2005-05-25T00:00:00"/>
        <d v="2005-05-31T00:00:00"/>
        <d v="2005-06-25T00:00:00"/>
        <d v="2005-06-20T00:00:00"/>
        <d v="2005-06-08T00:00:00"/>
        <d v="2005-08-23T00:00:00"/>
        <d v="2005-07-25T00:00:00"/>
        <d v="2005-08-16T00:00:00"/>
        <d v="2005-07-22T00:00:00"/>
        <d v="2005-08-19T00:00:00"/>
        <d v="2005-08-13T00:00:00"/>
        <d v="2005-09-18T00:00:00"/>
        <d v="2005-10-07T00:00:00"/>
        <d v="2005-11-20T00:00:00"/>
        <d v="2005-12-07T00:00:00"/>
        <d v="2005-11-21T00:00:00"/>
        <d v="2005-10-05T00:00:00"/>
        <d v="2005-12-11T00:00:00"/>
        <d v="2005-11-19T00:00:00"/>
        <d v="2005-10-01T00:00:00"/>
        <d v="2005-11-02T00:00:00"/>
        <d v="2005-02-12T00:00:00"/>
        <d v="2006-01-02T00:00:00"/>
        <d v="2006-01-19T00:00:00"/>
        <d v="2006-02-10T00:00:00"/>
        <d v="2006-01-05T00:00:00"/>
        <d v="2006-02-09T00:00:00"/>
        <d v="2006-03-07T00:00:00"/>
        <d v="2006-01-03T00:00:00"/>
        <d v="2006-03-29T00:00:00"/>
        <d v="2006-06-19T00:00:00"/>
        <d v="2006-05-17T00:00:00"/>
        <d v="2006-05-20T00:00:00"/>
        <d v="2006-04-18T00:00:00"/>
        <d v="2006-05-19T00:00:00"/>
        <d v="2006-06-29T00:00:00"/>
        <d v="2006-07-10T00:00:00"/>
        <d v="2006-08-15T00:00:00"/>
        <d v="2006-08-19T00:00:00"/>
        <d v="2006-07-09T00:00:00"/>
        <d v="2006-09-06T00:00:00"/>
        <d v="2006-08-26T00:00:00"/>
        <d v="2006-08-25T00:00:00"/>
        <d v="2006-08-31T00:00:00"/>
        <d v="2006-07-28T00:00:00"/>
        <d v="2006-09-11T00:00:00"/>
        <d v="2006-10-20T00:00:00"/>
        <d v="2006-11-29T00:00:00"/>
        <d v="2023-01-10T00:00:00"/>
        <d v="2023-01-08T00:00:00"/>
        <d v="2023-01-25T00:00:00"/>
        <d v="2023-01-03T00:00:00"/>
        <d v="2023-01-12T00:00:00"/>
        <d v="2023-01-20T00:00:00"/>
        <d v="2023-01-15T00:00:00"/>
        <d v="2023-01-07T00:00:00"/>
        <d v="2023-01-04T00:00:00"/>
        <d v="2023-01-19T00:00:00"/>
        <d v="2023-01-09T00:00:00"/>
        <d v="2023-02-28T00:00:00"/>
        <d v="2023-02-20T00:00:00"/>
        <d v="2023-02-14T00:00:00"/>
        <d v="2023-02-16T00:00:00"/>
        <d v="2023-02-12T00:00:00"/>
        <d v="2023-02-17T00:00:00"/>
        <d v="2023-02-18T00:00:00"/>
        <d v="2023-02-07T00:00:00"/>
        <d v="2023-02-04T00:00:00"/>
        <d v="2023-02-08T00:00:00"/>
        <d v="2023-02-13T00:00:00"/>
        <d v="2023-03-12T00:00:00"/>
        <d v="2023-03-24T00:00:00"/>
        <d v="2023-03-30T00:00:00"/>
        <d v="2023-03-10T00:00:00"/>
        <d v="2023-03-18T00:00:00"/>
        <d v="2023-03-27T00:00:00"/>
        <d v="2023-03-06T00:00:00"/>
        <d v="2023-03-02T00:00:00"/>
        <d v="2023-03-11T00:00:00"/>
        <d v="2023-03-01T00:00:00"/>
        <d v="2023-03-15T00:00:00"/>
        <d v="2023-03-16T00:00:00"/>
        <d v="2023-03-21T00:00:00"/>
        <d v="2023-03-04T00:00:00"/>
        <d v="2023-04-26T00:00:00"/>
        <d v="2023-04-02T00:00:00"/>
        <d v="2023-04-16T00:00:00"/>
        <d v="2023-04-25T00:00:00"/>
        <d v="2023-04-06T00:00:00"/>
        <d v="2023-04-01T00:00:00"/>
        <d v="2023-04-05T00:00:00"/>
        <d v="2023-04-29T00:00:00"/>
        <d v="2023-04-11T00:00:00"/>
        <d v="2023-04-28T00:00:00"/>
        <d v="2023-04-09T00:00:00"/>
        <d v="2023-04-22T00:00:00"/>
        <d v="2023-04-13T00:00:00"/>
        <d v="2023-04-10T00:00:00"/>
        <d v="2023-04-27T00:00:00"/>
        <d v="2023-04-18T00:00:00"/>
        <d v="2023-04-19T00:00:00"/>
        <d v="2023-04-03T00:00:00"/>
        <d v="2023-04-20T00:00:00"/>
        <d v="2023-05-25T00:00:00"/>
        <d v="2023-05-05T00:00:00"/>
        <d v="2023-05-21T00:00:00"/>
        <d v="2023-05-16T00:00:00"/>
        <d v="2023-05-11T00:00:00"/>
        <d v="2023-05-12T00:00:00"/>
        <d v="2023-05-07T00:00:00"/>
        <d v="2023-05-08T00:00:00"/>
        <d v="2023-05-19T00:00:00"/>
        <d v="2023-05-09T00:00:00"/>
        <d v="2023-05-17T00:00:00"/>
        <d v="2023-05-20T00:00:00"/>
        <d v="2023-05-10T00:00:00"/>
        <d v="2023-05-26T00:00:00"/>
        <d v="2023-05-29T00:00:00"/>
        <d v="2023-05-15T00:00:00"/>
        <d v="2023-06-01T00:00:00"/>
        <d v="2023-06-27T00:00:00"/>
        <d v="2023-06-15T00:00:00"/>
        <d v="2023-09-16T00:00:00"/>
        <d v="2023-09-07T00:00:00"/>
        <d v="2023-08-25T00:00:00"/>
        <d v="2023-08-08T00:00:00"/>
        <d v="2023-07-18T00:00:00"/>
        <d v="2023-07-28T00:00:00"/>
        <d v="2023-08-29T00:00:00"/>
        <d v="2023-09-15T00:00:00"/>
        <d v="2023-09-11T00:00:00"/>
        <d v="2023-08-14T00:00:00"/>
        <d v="2023-08-19T00:00:00"/>
        <d v="2023-07-23T00:00:00"/>
        <d v="2023-07-24T00:00:00"/>
        <d v="2023-09-23T00:00:00"/>
        <d v="2023-07-04T00:00:00"/>
        <d v="2023-09-18T00:00:00"/>
        <d v="2023-08-23T00:00:00"/>
        <d v="2023-08-05T00:00:00"/>
        <d v="2023-07-19T00:00:00"/>
        <d v="2023-07-12T00:00:00"/>
        <d v="2023-07-03T00:00:00"/>
        <d v="2023-07-20T00:00:00"/>
        <d v="2023-07-08T00:00:00"/>
        <d v="2023-07-13T00:00:00"/>
        <d v="2023-09-04T00:00:00"/>
        <d v="2023-08-02T00:00:00"/>
        <d v="2023-09-02T00:00:00"/>
        <d v="2023-08-13T00:00:00"/>
        <d v="2023-08-06T00:00:00"/>
        <d v="2023-07-17T00:00:00"/>
        <d v="2023-07-02T00:00:00"/>
        <d v="2023-08-16T00:00:00"/>
        <d v="2023-08-18T00:00:00"/>
        <d v="2023-08-11T00:00:00"/>
        <d v="2023-09-24T00:00:00"/>
        <d v="2023-09-17T00:00:00"/>
        <d v="2023-07-15T00:00:00"/>
        <d v="2023-09-03T00:00:00"/>
        <d v="2023-07-07T00:00:00"/>
        <d v="2023-08-30T00:00:00"/>
        <d v="2023-08-01T00:00:00"/>
        <d v="2023-08-10T00:00:00"/>
        <d v="2023-09-12T00:00:00"/>
        <d v="2023-07-01T00:00:00"/>
        <d v="2023-07-21T00:00:00"/>
        <d v="2023-09-20T00:00:00"/>
        <d v="2023-07-09T00:00:00"/>
        <d v="2023-08-20T00:00:00"/>
        <d v="2023-11-25T00:00:00"/>
        <d v="2023-12-03T00:00:00"/>
        <d v="2023-10-07T00:00:00"/>
        <d v="2023-12-09T00:00:00"/>
        <d v="2023-11-01T00:00:00"/>
        <d v="2023-12-05T00:00:00"/>
        <d v="2023-12-25T00:00:00"/>
        <d v="2023-12-13T00:00:00"/>
        <d v="2023-10-17T00:00:00"/>
        <d v="2023-11-24T00:00:00"/>
        <d v="2023-11-30T00:00:00"/>
        <d v="2023-10-20T00:00:00"/>
        <d v="2023-10-10T00:00:00"/>
        <d v="2023-11-13T00:00:00"/>
        <d v="2023-11-26T00:00:00"/>
        <d v="2023-11-27T00:00:00"/>
        <d v="2023-11-14T00:00:00"/>
        <d v="2023-12-26T00:00:00"/>
        <d v="2023-12-24T00:00:00"/>
        <d v="2023-11-09T00:00:00"/>
        <d v="2023-12-06T00:00:00"/>
        <d v="2023-10-18T00:00:00"/>
        <d v="2023-12-08T00:00:00"/>
        <d v="2023-11-07T00:00:00"/>
        <d v="2023-10-31T00:00:00"/>
        <d v="2023-10-09T00:00:00"/>
        <d v="2023-10-13T00:00:00"/>
        <d v="2023-11-22T00:00:00"/>
        <d v="2023-10-05T00:00:00"/>
        <d v="2023-10-30T00:00:00"/>
        <d v="2023-10-25T00:00:00"/>
        <d v="2023-11-21T00:00:00"/>
        <d v="2023-11-17T00:00:00"/>
        <d v="2023-12-07T00:00:00"/>
        <d v="2023-12-14T00:00:00"/>
        <d v="2023-12-30T00:00:00"/>
        <d v="2023-11-11T00:00:00"/>
        <d v="2023-10-06T00:00:00"/>
        <d v="2023-11-08T00:00:00"/>
        <d v="2023-12-19T00:00:00"/>
        <d v="2023-10-08T00:00:00"/>
        <d v="2023-10-02T00:00:00"/>
        <d v="2023-10-24T00:00:00"/>
        <d v="2023-11-02T00:00:00"/>
        <d v="2023-10-01T00:00:00"/>
      </sharedItems>
    </cacheField>
    <cacheField name="Year" numFmtId="0">
      <sharedItems containsSemiMixedTypes="0" containsString="0" containsNumber="1" containsInteger="1" minValue="2004" maxValue="2023"/>
    </cacheField>
    <cacheField name="Month" numFmtId="0">
      <sharedItems containsSemiMixedTypes="0" containsString="0" containsNumber="1" containsInteger="1" minValue="1" maxValue="12"/>
    </cacheField>
    <cacheField name="Product" numFmtId="0">
      <sharedItems count="5">
        <s v="lip gloss"/>
        <s v="foundation"/>
        <s v="lipstick"/>
        <s v="eye liner"/>
        <s v="mascara"/>
      </sharedItems>
    </cacheField>
    <cacheField name="Units" numFmtId="0">
      <sharedItems containsSemiMixedTypes="0" containsString="0" containsNumber="1" containsInteger="1" minValue="-10" maxValue="120"/>
    </cacheField>
    <cacheField name="Dollars" numFmtId="2">
      <sharedItems containsSemiMixedTypes="0" containsString="0" containsNumber="1" minValue="-28.888600496770302" maxValue="287.79738255613682"/>
    </cacheField>
    <cacheField name="Total" numFmtId="2">
      <sharedItems containsSemiMixedTypes="0" containsString="0" containsNumber="1" minValue="0" maxValue="27340.751342832998"/>
    </cacheField>
  </cacheFields>
  <extLst>
    <ext xmlns:x14="http://schemas.microsoft.com/office/spreadsheetml/2009/9/main" uri="{725AE2AE-9491-48be-B2B4-4EB974FC3084}">
      <x14:pivotCacheDefinition pivotCacheId="85924284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7">
  <r>
    <n v="1"/>
    <x v="0"/>
    <x v="0"/>
    <n v="2004"/>
    <n v="4"/>
    <x v="0"/>
    <n v="45"/>
    <n v="137.20455832336393"/>
    <n v="6174.2051245513767"/>
  </r>
  <r>
    <n v="2"/>
    <x v="1"/>
    <x v="1"/>
    <n v="2004"/>
    <n v="3"/>
    <x v="1"/>
    <n v="50"/>
    <n v="152.00730307485438"/>
    <n v="7600.3651537427186"/>
  </r>
  <r>
    <n v="3"/>
    <x v="2"/>
    <x v="2"/>
    <n v="2005"/>
    <n v="2"/>
    <x v="2"/>
    <n v="9"/>
    <n v="28.719483117139745"/>
    <n v="258.47534805425772"/>
  </r>
  <r>
    <n v="4"/>
    <x v="1"/>
    <x v="3"/>
    <n v="2006"/>
    <n v="5"/>
    <x v="0"/>
    <n v="55"/>
    <n v="167.07532251655616"/>
    <n v="9189.1427384105882"/>
  </r>
  <r>
    <n v="5"/>
    <x v="3"/>
    <x v="4"/>
    <n v="2004"/>
    <n v="6"/>
    <x v="0"/>
    <n v="43"/>
    <n v="130.60287243901442"/>
    <n v="5615.9235148776197"/>
  </r>
  <r>
    <n v="6"/>
    <x v="4"/>
    <x v="5"/>
    <n v="2005"/>
    <n v="11"/>
    <x v="3"/>
    <n v="58"/>
    <n v="175.99097407072162"/>
    <n v="10207.476496101854"/>
  </r>
  <r>
    <n v="7"/>
    <x v="5"/>
    <x v="6"/>
    <n v="2004"/>
    <n v="3"/>
    <x v="3"/>
    <n v="8"/>
    <n v="25.800692176216739"/>
    <n v="206.40553740973391"/>
  </r>
  <r>
    <n v="8"/>
    <x v="4"/>
    <x v="7"/>
    <n v="2006"/>
    <n v="12"/>
    <x v="0"/>
    <n v="72"/>
    <n v="217.83965386113226"/>
    <n v="15684.455078001523"/>
  </r>
  <r>
    <n v="9"/>
    <x v="2"/>
    <x v="8"/>
    <n v="2006"/>
    <n v="7"/>
    <x v="3"/>
    <n v="75"/>
    <n v="226.64232685518837"/>
    <n v="16998.174514139129"/>
  </r>
  <r>
    <n v="10"/>
    <x v="0"/>
    <x v="9"/>
    <n v="2006"/>
    <n v="8"/>
    <x v="0"/>
    <n v="24"/>
    <n v="73.502342173405509"/>
    <n v="1764.0562121617322"/>
  </r>
  <r>
    <n v="11"/>
    <x v="2"/>
    <x v="10"/>
    <n v="2004"/>
    <n v="11"/>
    <x v="4"/>
    <n v="43"/>
    <n v="130.83536844241408"/>
    <n v="5625.920843023805"/>
  </r>
  <r>
    <n v="12"/>
    <x v="2"/>
    <x v="11"/>
    <n v="2004"/>
    <n v="11"/>
    <x v="0"/>
    <n v="23"/>
    <n v="71.034367691096961"/>
    <n v="1633.7904568952301"/>
  </r>
  <r>
    <n v="13"/>
    <x v="6"/>
    <x v="12"/>
    <n v="2005"/>
    <n v="8"/>
    <x v="0"/>
    <n v="49"/>
    <n v="149.59279694174981"/>
    <n v="7330.0470501457403"/>
  </r>
  <r>
    <n v="14"/>
    <x v="1"/>
    <x v="13"/>
    <n v="2005"/>
    <n v="1"/>
    <x v="3"/>
    <n v="18"/>
    <n v="56.471999230139573"/>
    <n v="1016.4959861425123"/>
  </r>
  <r>
    <n v="15"/>
    <x v="3"/>
    <x v="14"/>
    <n v="2006"/>
    <n v="9"/>
    <x v="1"/>
    <n v="-8"/>
    <n v="-21.993044717303864"/>
    <n v="175.94435773843091"/>
  </r>
  <r>
    <n v="16"/>
    <x v="6"/>
    <x v="15"/>
    <n v="2004"/>
    <n v="4"/>
    <x v="4"/>
    <n v="45"/>
    <n v="137.39037590916232"/>
    <n v="6182.5669159123045"/>
  </r>
  <r>
    <n v="17"/>
    <x v="4"/>
    <x v="16"/>
    <n v="2006"/>
    <n v="4"/>
    <x v="4"/>
    <n v="66"/>
    <n v="199.65433473774931"/>
    <n v="13177.186092691454"/>
  </r>
  <r>
    <n v="18"/>
    <x v="7"/>
    <x v="12"/>
    <n v="2005"/>
    <n v="8"/>
    <x v="0"/>
    <n v="88"/>
    <n v="265.18755145539586"/>
    <n v="23336.504528074835"/>
  </r>
  <r>
    <n v="19"/>
    <x v="7"/>
    <x v="17"/>
    <n v="2004"/>
    <n v="10"/>
    <x v="3"/>
    <n v="78"/>
    <n v="236.14697789113248"/>
    <n v="18419.464275508333"/>
  </r>
  <r>
    <n v="20"/>
    <x v="3"/>
    <x v="5"/>
    <n v="2005"/>
    <n v="11"/>
    <x v="0"/>
    <n v="57"/>
    <n v="173.11529461915569"/>
    <n v="9867.5717932918742"/>
  </r>
  <r>
    <n v="21"/>
    <x v="3"/>
    <x v="18"/>
    <n v="2006"/>
    <n v="6"/>
    <x v="4"/>
    <n v="12"/>
    <n v="38.081435709433634"/>
    <n v="456.97722851320361"/>
  </r>
  <r>
    <n v="22"/>
    <x v="0"/>
    <x v="19"/>
    <n v="2004"/>
    <n v="9"/>
    <x v="3"/>
    <n v="28"/>
    <n v="86.512775700642493"/>
    <n v="2422.3577196179899"/>
  </r>
  <r>
    <n v="23"/>
    <x v="4"/>
    <x v="20"/>
    <n v="2006"/>
    <n v="2"/>
    <x v="4"/>
    <n v="25"/>
    <n v="77.307151643363554"/>
    <n v="1932.6787910840887"/>
  </r>
  <r>
    <n v="24"/>
    <x v="1"/>
    <x v="21"/>
    <n v="2005"/>
    <n v="5"/>
    <x v="1"/>
    <n v="29"/>
    <n v="88.222745876339161"/>
    <n v="2558.4596304138358"/>
  </r>
  <r>
    <n v="25"/>
    <x v="7"/>
    <x v="22"/>
    <n v="2004"/>
    <n v="11"/>
    <x v="4"/>
    <n v="-4"/>
    <n v="-9.9439491268532194"/>
    <n v="39.775796507412878"/>
  </r>
  <r>
    <n v="26"/>
    <x v="6"/>
    <x v="23"/>
    <n v="2006"/>
    <n v="12"/>
    <x v="0"/>
    <n v="24"/>
    <n v="74.622434460070465"/>
    <n v="1790.9384270416913"/>
  </r>
  <r>
    <n v="27"/>
    <x v="7"/>
    <x v="15"/>
    <n v="2004"/>
    <n v="4"/>
    <x v="2"/>
    <n v="38"/>
    <n v="115.98517718889856"/>
    <n v="4407.436733178145"/>
  </r>
  <r>
    <n v="28"/>
    <x v="5"/>
    <x v="24"/>
    <n v="2005"/>
    <n v="9"/>
    <x v="1"/>
    <n v="77"/>
    <n v="233.05438870487612"/>
    <n v="17945.187930275461"/>
  </r>
  <r>
    <n v="29"/>
    <x v="0"/>
    <x v="25"/>
    <n v="2006"/>
    <n v="10"/>
    <x v="1"/>
    <n v="77"/>
    <n v="233.35651970431758"/>
    <n v="17968.452017232452"/>
  </r>
  <r>
    <n v="30"/>
    <x v="1"/>
    <x v="26"/>
    <n v="2005"/>
    <n v="11"/>
    <x v="1"/>
    <n v="60"/>
    <n v="182.24664750326718"/>
    <n v="10934.798850196032"/>
  </r>
  <r>
    <n v="31"/>
    <x v="3"/>
    <x v="27"/>
    <n v="2005"/>
    <n v="9"/>
    <x v="0"/>
    <n v="6"/>
    <n v="20.481843585001322"/>
    <n v="122.89106151000793"/>
  </r>
  <r>
    <n v="32"/>
    <x v="5"/>
    <x v="28"/>
    <n v="2006"/>
    <n v="3"/>
    <x v="0"/>
    <n v="53"/>
    <n v="161.46395235499537"/>
    <n v="8557.5894748147548"/>
  </r>
  <r>
    <n v="33"/>
    <x v="8"/>
    <x v="4"/>
    <n v="2004"/>
    <n v="6"/>
    <x v="4"/>
    <n v="41"/>
    <n v="125.2697558819725"/>
    <n v="5136.0599911608724"/>
  </r>
  <r>
    <n v="34"/>
    <x v="3"/>
    <x v="29"/>
    <n v="2006"/>
    <n v="9"/>
    <x v="4"/>
    <n v="19"/>
    <n v="59.153898700773034"/>
    <n v="1123.9240753146876"/>
  </r>
  <r>
    <n v="35"/>
    <x v="7"/>
    <x v="30"/>
    <n v="2006"/>
    <n v="12"/>
    <x v="1"/>
    <n v="39"/>
    <n v="119.30030273172213"/>
    <n v="4652.7118065371633"/>
  </r>
  <r>
    <n v="36"/>
    <x v="0"/>
    <x v="31"/>
    <n v="2004"/>
    <n v="9"/>
    <x v="0"/>
    <n v="2"/>
    <n v="8.2604004984897017"/>
    <n v="16.520800996979403"/>
  </r>
  <r>
    <n v="37"/>
    <x v="3"/>
    <x v="32"/>
    <n v="2005"/>
    <n v="7"/>
    <x v="3"/>
    <n v="34"/>
    <n v="103.43841434718642"/>
    <n v="3516.9060878043383"/>
  </r>
  <r>
    <n v="38"/>
    <x v="6"/>
    <x v="33"/>
    <n v="2005"/>
    <n v="3"/>
    <x v="1"/>
    <n v="59"/>
    <n v="179.01001770576869"/>
    <n v="10561.591044640352"/>
  </r>
  <r>
    <n v="39"/>
    <x v="8"/>
    <x v="34"/>
    <n v="2006"/>
    <n v="2"/>
    <x v="1"/>
    <n v="-9"/>
    <n v="-24.625751249139931"/>
    <n v="221.63176124225939"/>
  </r>
  <r>
    <n v="40"/>
    <x v="1"/>
    <x v="35"/>
    <n v="2006"/>
    <n v="6"/>
    <x v="1"/>
    <n v="38"/>
    <n v="115.58433775100286"/>
    <n v="4392.204834538109"/>
  </r>
  <r>
    <n v="41"/>
    <x v="6"/>
    <x v="36"/>
    <n v="2004"/>
    <n v="2"/>
    <x v="3"/>
    <n v="25"/>
    <n v="76.562095842195291"/>
    <n v="1914.0523960548824"/>
  </r>
  <r>
    <n v="42"/>
    <x v="6"/>
    <x v="37"/>
    <n v="2005"/>
    <n v="4"/>
    <x v="4"/>
    <n v="19"/>
    <n v="59.382749361194016"/>
    <n v="1128.2722378626863"/>
  </r>
  <r>
    <n v="43"/>
    <x v="0"/>
    <x v="0"/>
    <n v="2004"/>
    <n v="4"/>
    <x v="1"/>
    <n v="86"/>
    <n v="259.85996934004856"/>
    <n v="22347.957363244175"/>
  </r>
  <r>
    <n v="44"/>
    <x v="4"/>
    <x v="38"/>
    <n v="2004"/>
    <n v="6"/>
    <x v="0"/>
    <n v="55"/>
    <n v="167.11761356978838"/>
    <n v="9191.4687463383598"/>
  </r>
  <r>
    <n v="45"/>
    <x v="6"/>
    <x v="14"/>
    <n v="2006"/>
    <n v="9"/>
    <x v="0"/>
    <n v="2"/>
    <n v="7.8483600384211831"/>
    <n v="15.696720076842366"/>
  </r>
  <r>
    <n v="46"/>
    <x v="2"/>
    <x v="39"/>
    <n v="2005"/>
    <n v="8"/>
    <x v="4"/>
    <n v="93"/>
    <n v="280.68747862762837"/>
    <n v="26103.935512369437"/>
  </r>
  <r>
    <n v="47"/>
    <x v="3"/>
    <x v="19"/>
    <n v="2004"/>
    <n v="9"/>
    <x v="3"/>
    <n v="14"/>
    <n v="43.931553656204748"/>
    <n v="615.04175118686646"/>
  </r>
  <r>
    <n v="48"/>
    <x v="6"/>
    <x v="40"/>
    <n v="2005"/>
    <n v="5"/>
    <x v="3"/>
    <n v="37"/>
    <n v="113.03491000904664"/>
    <n v="4182.2916703347255"/>
  </r>
  <r>
    <n v="49"/>
    <x v="0"/>
    <x v="11"/>
    <n v="2004"/>
    <n v="11"/>
    <x v="1"/>
    <n v="63"/>
    <n v="190.69511057123685"/>
    <n v="12013.791965987923"/>
  </r>
  <r>
    <n v="50"/>
    <x v="3"/>
    <x v="11"/>
    <n v="2004"/>
    <n v="11"/>
    <x v="0"/>
    <n v="1"/>
    <n v="5.599704779498877"/>
    <n v="5.599704779498877"/>
  </r>
  <r>
    <n v="51"/>
    <x v="3"/>
    <x v="41"/>
    <n v="2005"/>
    <n v="6"/>
    <x v="3"/>
    <n v="24"/>
    <n v="73.599272692165783"/>
    <n v="1766.3825446119788"/>
  </r>
  <r>
    <n v="52"/>
    <x v="1"/>
    <x v="42"/>
    <n v="2004"/>
    <n v="1"/>
    <x v="3"/>
    <n v="83"/>
    <n v="250.33273832124888"/>
    <n v="20777.617280663657"/>
  </r>
  <r>
    <n v="53"/>
    <x v="8"/>
    <x v="32"/>
    <n v="2005"/>
    <n v="7"/>
    <x v="3"/>
    <n v="49"/>
    <n v="148.50659729480034"/>
    <n v="7276.8232674452165"/>
  </r>
  <r>
    <n v="54"/>
    <x v="5"/>
    <x v="37"/>
    <n v="2005"/>
    <n v="4"/>
    <x v="0"/>
    <n v="26"/>
    <n v="80.197912185633001"/>
    <n v="2085.1457168264578"/>
  </r>
  <r>
    <n v="55"/>
    <x v="7"/>
    <x v="3"/>
    <n v="2006"/>
    <n v="5"/>
    <x v="0"/>
    <n v="35"/>
    <n v="107.99264815962536"/>
    <n v="3779.7426855868875"/>
  </r>
  <r>
    <n v="56"/>
    <x v="5"/>
    <x v="15"/>
    <n v="2004"/>
    <n v="4"/>
    <x v="0"/>
    <n v="8"/>
    <n v="26.909399775034267"/>
    <n v="215.27519820027413"/>
  </r>
  <r>
    <n v="57"/>
    <x v="8"/>
    <x v="43"/>
    <n v="2004"/>
    <n v="6"/>
    <x v="4"/>
    <n v="49"/>
    <n v="148.777847479907"/>
    <n v="7290.1145265154428"/>
  </r>
  <r>
    <n v="58"/>
    <x v="5"/>
    <x v="15"/>
    <n v="2004"/>
    <n v="4"/>
    <x v="1"/>
    <n v="34"/>
    <n v="104.09375694795658"/>
    <n v="3539.1877362305236"/>
  </r>
  <r>
    <n v="59"/>
    <x v="5"/>
    <x v="44"/>
    <n v="2005"/>
    <n v="12"/>
    <x v="0"/>
    <n v="8"/>
    <n v="26.236564211223342"/>
    <n v="209.89251368978674"/>
  </r>
  <r>
    <n v="60"/>
    <x v="7"/>
    <x v="17"/>
    <n v="2004"/>
    <n v="10"/>
    <x v="4"/>
    <n v="89"/>
    <n v="269.09085017901094"/>
    <n v="23949.085665931972"/>
  </r>
  <r>
    <n v="61"/>
    <x v="4"/>
    <x v="26"/>
    <n v="2005"/>
    <n v="11"/>
    <x v="1"/>
    <n v="62"/>
    <n v="189.25415891346557"/>
    <n v="11733.757852634866"/>
  </r>
  <r>
    <n v="62"/>
    <x v="6"/>
    <x v="45"/>
    <n v="2004"/>
    <n v="8"/>
    <x v="1"/>
    <n v="23"/>
    <n v="71.313211840267556"/>
    <n v="1640.2038723261537"/>
  </r>
  <r>
    <n v="63"/>
    <x v="8"/>
    <x v="4"/>
    <n v="2004"/>
    <n v="6"/>
    <x v="3"/>
    <n v="95"/>
    <n v="287.76081692141696"/>
    <n v="27337.277607534612"/>
  </r>
  <r>
    <n v="64"/>
    <x v="6"/>
    <x v="46"/>
    <n v="2006"/>
    <n v="5"/>
    <x v="3"/>
    <n v="41"/>
    <n v="125.00018840758105"/>
    <n v="5125.0077247108229"/>
  </r>
  <r>
    <n v="65"/>
    <x v="2"/>
    <x v="37"/>
    <n v="2005"/>
    <n v="4"/>
    <x v="0"/>
    <n v="-6"/>
    <n v="-15.942861162173479"/>
    <n v="95.657166973040873"/>
  </r>
  <r>
    <n v="66"/>
    <x v="0"/>
    <x v="13"/>
    <n v="2005"/>
    <n v="1"/>
    <x v="4"/>
    <n v="84"/>
    <n v="253.99061782802139"/>
    <n v="21335.211897553796"/>
  </r>
  <r>
    <n v="67"/>
    <x v="1"/>
    <x v="47"/>
    <n v="2005"/>
    <n v="11"/>
    <x v="1"/>
    <n v="63"/>
    <n v="191.36713896782123"/>
    <n v="12056.129754972737"/>
  </r>
  <r>
    <n v="68"/>
    <x v="3"/>
    <x v="48"/>
    <n v="2006"/>
    <n v="7"/>
    <x v="0"/>
    <n v="0"/>
    <n v="2.3682330895483967"/>
    <n v="0"/>
  </r>
  <r>
    <n v="69"/>
    <x v="5"/>
    <x v="49"/>
    <n v="2005"/>
    <n v="1"/>
    <x v="3"/>
    <n v="73"/>
    <n v="221.4068752836437"/>
    <n v="16162.70189570599"/>
  </r>
  <r>
    <n v="70"/>
    <x v="6"/>
    <x v="50"/>
    <n v="2004"/>
    <n v="12"/>
    <x v="3"/>
    <n v="95"/>
    <n v="287.05320060576679"/>
    <n v="27270.054057547844"/>
  </r>
  <r>
    <n v="71"/>
    <x v="2"/>
    <x v="26"/>
    <n v="2005"/>
    <n v="11"/>
    <x v="2"/>
    <n v="93"/>
    <n v="280.76798505156279"/>
    <n v="26111.42260979534"/>
  </r>
  <r>
    <n v="72"/>
    <x v="3"/>
    <x v="4"/>
    <n v="2004"/>
    <n v="6"/>
    <x v="2"/>
    <n v="54"/>
    <n v="163.86605406277587"/>
    <n v="8848.7669193898964"/>
  </r>
  <r>
    <n v="73"/>
    <x v="5"/>
    <x v="51"/>
    <n v="2005"/>
    <n v="6"/>
    <x v="1"/>
    <n v="33"/>
    <n v="101.36706423848841"/>
    <n v="3345.1131198701178"/>
  </r>
  <r>
    <n v="74"/>
    <x v="2"/>
    <x v="15"/>
    <n v="2004"/>
    <n v="4"/>
    <x v="4"/>
    <n v="48"/>
    <n v="145.83607322448287"/>
    <n v="7000.1315147751775"/>
  </r>
  <r>
    <n v="75"/>
    <x v="7"/>
    <x v="49"/>
    <n v="2005"/>
    <n v="1"/>
    <x v="3"/>
    <n v="-7"/>
    <n v="-18.531454427544542"/>
    <n v="129.72018099281181"/>
  </r>
  <r>
    <n v="76"/>
    <x v="4"/>
    <x v="52"/>
    <n v="2006"/>
    <n v="3"/>
    <x v="1"/>
    <n v="-2"/>
    <n v="-3.941491558920891"/>
    <n v="7.882983117841782"/>
  </r>
  <r>
    <n v="77"/>
    <x v="5"/>
    <x v="53"/>
    <n v="2004"/>
    <n v="1"/>
    <x v="4"/>
    <n v="27"/>
    <n v="83.29090970219859"/>
    <n v="2248.8545619593619"/>
  </r>
  <r>
    <n v="78"/>
    <x v="6"/>
    <x v="7"/>
    <n v="2006"/>
    <n v="12"/>
    <x v="1"/>
    <n v="56"/>
    <n v="170.23780299763459"/>
    <n v="9533.3169678675367"/>
  </r>
  <r>
    <n v="79"/>
    <x v="5"/>
    <x v="54"/>
    <n v="2005"/>
    <n v="2"/>
    <x v="4"/>
    <n v="70"/>
    <n v="212.29242314468692"/>
    <n v="14860.469620128084"/>
  </r>
  <r>
    <n v="80"/>
    <x v="7"/>
    <x v="55"/>
    <n v="2005"/>
    <n v="3"/>
    <x v="4"/>
    <n v="16"/>
    <n v="49.457645878335306"/>
    <n v="791.3223340533649"/>
  </r>
  <r>
    <n v="81"/>
    <x v="7"/>
    <x v="56"/>
    <n v="2006"/>
    <n v="1"/>
    <x v="0"/>
    <n v="69"/>
    <n v="208.68512958069783"/>
    <n v="14399.27394106815"/>
  </r>
  <r>
    <n v="82"/>
    <x v="4"/>
    <x v="57"/>
    <n v="2005"/>
    <n v="7"/>
    <x v="1"/>
    <n v="67"/>
    <n v="203.01428430380912"/>
    <n v="13601.957048355211"/>
  </r>
  <r>
    <n v="83"/>
    <x v="8"/>
    <x v="22"/>
    <n v="2004"/>
    <n v="11"/>
    <x v="1"/>
    <n v="82"/>
    <n v="248.09860782564255"/>
    <n v="20344.08584170269"/>
  </r>
  <r>
    <n v="84"/>
    <x v="2"/>
    <x v="58"/>
    <n v="2006"/>
    <n v="10"/>
    <x v="3"/>
    <n v="73"/>
    <n v="221.4762294351379"/>
    <n v="16167.764748765067"/>
  </r>
  <r>
    <n v="85"/>
    <x v="8"/>
    <x v="59"/>
    <n v="2004"/>
    <n v="2"/>
    <x v="1"/>
    <n v="80"/>
    <n v="241.26239073863908"/>
    <n v="19300.991259091126"/>
  </r>
  <r>
    <n v="86"/>
    <x v="7"/>
    <x v="39"/>
    <n v="2005"/>
    <n v="8"/>
    <x v="3"/>
    <n v="-2"/>
    <n v="-4.2379405606125751"/>
    <n v="8.4758811212251501"/>
  </r>
  <r>
    <n v="87"/>
    <x v="6"/>
    <x v="12"/>
    <n v="2005"/>
    <n v="8"/>
    <x v="3"/>
    <n v="5"/>
    <n v="17.026058044096466"/>
    <n v="85.130290220482323"/>
  </r>
  <r>
    <n v="88"/>
    <x v="3"/>
    <x v="60"/>
    <n v="2005"/>
    <n v="12"/>
    <x v="3"/>
    <n v="26"/>
    <n v="80.296764498097943"/>
    <n v="2087.7158769505463"/>
  </r>
  <r>
    <n v="89"/>
    <x v="8"/>
    <x v="61"/>
    <n v="2005"/>
    <n v="3"/>
    <x v="1"/>
    <n v="1"/>
    <n v="5.0101440126936883"/>
    <n v="5.0101440126936883"/>
  </r>
  <r>
    <n v="90"/>
    <x v="8"/>
    <x v="62"/>
    <n v="2006"/>
    <n v="6"/>
    <x v="2"/>
    <n v="-3"/>
    <n v="-7.6150918857367635"/>
    <n v="22.845275657210291"/>
  </r>
  <r>
    <n v="91"/>
    <x v="0"/>
    <x v="63"/>
    <n v="2006"/>
    <n v="8"/>
    <x v="3"/>
    <n v="83"/>
    <n v="251.18350564763173"/>
    <n v="20848.230968753433"/>
  </r>
  <r>
    <n v="92"/>
    <x v="7"/>
    <x v="64"/>
    <n v="2004"/>
    <n v="5"/>
    <x v="4"/>
    <n v="33"/>
    <n v="100.32795234701418"/>
    <n v="3310.8224274514678"/>
  </r>
  <r>
    <n v="93"/>
    <x v="3"/>
    <x v="15"/>
    <n v="2004"/>
    <n v="4"/>
    <x v="1"/>
    <n v="62"/>
    <n v="188.06461550204614"/>
    <n v="11660.006161126861"/>
  </r>
  <r>
    <n v="94"/>
    <x v="4"/>
    <x v="46"/>
    <n v="2006"/>
    <n v="5"/>
    <x v="3"/>
    <n v="58"/>
    <n v="176.47069512712616"/>
    <n v="10235.300317373318"/>
  </r>
  <r>
    <n v="95"/>
    <x v="6"/>
    <x v="65"/>
    <n v="2005"/>
    <n v="8"/>
    <x v="1"/>
    <n v="28"/>
    <n v="85.544260264222203"/>
    <n v="2395.2392873982217"/>
  </r>
  <r>
    <n v="96"/>
    <x v="7"/>
    <x v="7"/>
    <n v="2006"/>
    <n v="12"/>
    <x v="0"/>
    <n v="33"/>
    <n v="100.68612237181482"/>
    <n v="3322.6420382698889"/>
  </r>
  <r>
    <n v="97"/>
    <x v="5"/>
    <x v="66"/>
    <n v="2006"/>
    <n v="11"/>
    <x v="1"/>
    <n v="92"/>
    <n v="278.15933854048899"/>
    <n v="25590.659145724989"/>
  </r>
  <r>
    <n v="98"/>
    <x v="7"/>
    <x v="15"/>
    <n v="2004"/>
    <n v="4"/>
    <x v="0"/>
    <n v="92"/>
    <n v="277.53974563422275"/>
    <n v="25533.656598348494"/>
  </r>
  <r>
    <n v="99"/>
    <x v="4"/>
    <x v="67"/>
    <n v="2006"/>
    <n v="1"/>
    <x v="0"/>
    <n v="75"/>
    <n v="226.73977333901354"/>
    <n v="17005.483000426015"/>
  </r>
  <r>
    <n v="100"/>
    <x v="0"/>
    <x v="68"/>
    <n v="2005"/>
    <n v="10"/>
    <x v="3"/>
    <n v="74"/>
    <n v="224.23346975523705"/>
    <n v="16593.27676188754"/>
  </r>
  <r>
    <n v="101"/>
    <x v="3"/>
    <x v="53"/>
    <n v="2004"/>
    <n v="1"/>
    <x v="1"/>
    <n v="67"/>
    <n v="202.45009266432331"/>
    <n v="13564.156208509661"/>
  </r>
  <r>
    <n v="102"/>
    <x v="5"/>
    <x v="45"/>
    <n v="2004"/>
    <n v="8"/>
    <x v="1"/>
    <n v="16"/>
    <n v="49.450018506623742"/>
    <n v="791.20029610597987"/>
  </r>
  <r>
    <n v="103"/>
    <x v="1"/>
    <x v="69"/>
    <n v="2005"/>
    <n v="5"/>
    <x v="1"/>
    <n v="90"/>
    <n v="272.33991590998778"/>
    <n v="24510.592431898902"/>
  </r>
  <r>
    <n v="104"/>
    <x v="7"/>
    <x v="70"/>
    <n v="2006"/>
    <n v="3"/>
    <x v="2"/>
    <n v="-8"/>
    <n v="-22.10755433572842"/>
    <n v="176.86043468582736"/>
  </r>
  <r>
    <n v="105"/>
    <x v="5"/>
    <x v="31"/>
    <n v="2004"/>
    <n v="9"/>
    <x v="2"/>
    <n v="51"/>
    <n v="155.29818889700317"/>
    <n v="7920.2076337471617"/>
  </r>
  <r>
    <n v="106"/>
    <x v="7"/>
    <x v="55"/>
    <n v="2005"/>
    <n v="3"/>
    <x v="1"/>
    <n v="-7"/>
    <n v="-19.532896832828285"/>
    <n v="136.73027782979801"/>
  </r>
  <r>
    <n v="107"/>
    <x v="6"/>
    <x v="6"/>
    <n v="2004"/>
    <n v="3"/>
    <x v="0"/>
    <n v="9"/>
    <n v="29.277821643264524"/>
    <n v="263.50039478938072"/>
  </r>
  <r>
    <n v="108"/>
    <x v="8"/>
    <x v="12"/>
    <n v="2005"/>
    <n v="8"/>
    <x v="0"/>
    <n v="-10"/>
    <n v="-28.406748282006184"/>
    <n v="284.06748282006185"/>
  </r>
  <r>
    <n v="109"/>
    <x v="2"/>
    <x v="48"/>
    <n v="2006"/>
    <n v="7"/>
    <x v="1"/>
    <n v="10"/>
    <n v="32.113204788074981"/>
    <n v="321.13204788074984"/>
  </r>
  <r>
    <n v="110"/>
    <x v="2"/>
    <x v="33"/>
    <n v="2005"/>
    <n v="3"/>
    <x v="4"/>
    <n v="35"/>
    <n v="107.58710427119863"/>
    <n v="3765.5486494919519"/>
  </r>
  <r>
    <n v="111"/>
    <x v="8"/>
    <x v="71"/>
    <n v="2004"/>
    <n v="10"/>
    <x v="4"/>
    <n v="81"/>
    <n v="244.46099351680689"/>
    <n v="19801.340474861358"/>
  </r>
  <r>
    <n v="112"/>
    <x v="8"/>
    <x v="11"/>
    <n v="2004"/>
    <n v="11"/>
    <x v="4"/>
    <n v="38"/>
    <n v="115.86487308982943"/>
    <n v="4402.8651774135187"/>
  </r>
  <r>
    <n v="113"/>
    <x v="6"/>
    <x v="23"/>
    <n v="2006"/>
    <n v="12"/>
    <x v="4"/>
    <n v="26"/>
    <n v="80.488645084091601"/>
    <n v="2092.7047721863814"/>
  </r>
  <r>
    <n v="114"/>
    <x v="0"/>
    <x v="24"/>
    <n v="2005"/>
    <n v="9"/>
    <x v="2"/>
    <n v="77"/>
    <n v="233.33103169462888"/>
    <n v="17966.489440486424"/>
  </r>
  <r>
    <n v="115"/>
    <x v="6"/>
    <x v="67"/>
    <n v="2006"/>
    <n v="1"/>
    <x v="1"/>
    <n v="39"/>
    <n v="118.62706142640471"/>
    <n v="4626.4553956297832"/>
  </r>
  <r>
    <n v="116"/>
    <x v="3"/>
    <x v="35"/>
    <n v="2006"/>
    <n v="6"/>
    <x v="3"/>
    <n v="22"/>
    <n v="68.07066358826728"/>
    <n v="1497.5545989418802"/>
  </r>
  <r>
    <n v="117"/>
    <x v="3"/>
    <x v="18"/>
    <n v="2006"/>
    <n v="6"/>
    <x v="1"/>
    <n v="68"/>
    <n v="205.76676002797973"/>
    <n v="13992.139681902621"/>
  </r>
  <r>
    <n v="118"/>
    <x v="8"/>
    <x v="40"/>
    <n v="2005"/>
    <n v="5"/>
    <x v="1"/>
    <n v="59"/>
    <n v="178.71308198822226"/>
    <n v="10544.071837305113"/>
  </r>
  <r>
    <n v="119"/>
    <x v="4"/>
    <x v="3"/>
    <n v="2006"/>
    <n v="5"/>
    <x v="3"/>
    <n v="20"/>
    <n v="62.366566165716954"/>
    <n v="1247.331323314339"/>
  </r>
  <r>
    <n v="120"/>
    <x v="1"/>
    <x v="72"/>
    <n v="2005"/>
    <n v="10"/>
    <x v="4"/>
    <n v="61"/>
    <n v="184.56247310465258"/>
    <n v="11258.310859383808"/>
  </r>
  <r>
    <n v="121"/>
    <x v="3"/>
    <x v="52"/>
    <n v="2006"/>
    <n v="3"/>
    <x v="1"/>
    <n v="30"/>
    <n v="92.434422469644105"/>
    <n v="2773.0326740893233"/>
  </r>
  <r>
    <n v="122"/>
    <x v="7"/>
    <x v="73"/>
    <n v="2006"/>
    <n v="7"/>
    <x v="4"/>
    <n v="10"/>
    <n v="32.298727574185413"/>
    <n v="322.98727574185415"/>
  </r>
  <r>
    <n v="123"/>
    <x v="3"/>
    <x v="16"/>
    <n v="2006"/>
    <n v="4"/>
    <x v="3"/>
    <n v="72"/>
    <n v="217.45289850686984"/>
    <n v="15656.608692494628"/>
  </r>
  <r>
    <n v="124"/>
    <x v="2"/>
    <x v="56"/>
    <n v="2006"/>
    <n v="1"/>
    <x v="3"/>
    <n v="57"/>
    <n v="173.36376703616165"/>
    <n v="9881.7347210612133"/>
  </r>
  <r>
    <n v="125"/>
    <x v="1"/>
    <x v="26"/>
    <n v="2005"/>
    <n v="11"/>
    <x v="0"/>
    <n v="41"/>
    <n v="124.3880808412182"/>
    <n v="5099.9113144899457"/>
  </r>
  <r>
    <n v="126"/>
    <x v="3"/>
    <x v="74"/>
    <n v="2004"/>
    <n v="4"/>
    <x v="3"/>
    <n v="54"/>
    <n v="163.7455521062605"/>
    <n v="8842.2598137380664"/>
  </r>
  <r>
    <n v="127"/>
    <x v="6"/>
    <x v="32"/>
    <n v="2005"/>
    <n v="7"/>
    <x v="2"/>
    <n v="9"/>
    <n v="29.259949674062039"/>
    <n v="263.33954706655834"/>
  </r>
  <r>
    <n v="128"/>
    <x v="8"/>
    <x v="69"/>
    <n v="2005"/>
    <n v="5"/>
    <x v="0"/>
    <n v="1"/>
    <n v="5.0062586848309145"/>
    <n v="5.0062586848309145"/>
  </r>
  <r>
    <n v="129"/>
    <x v="3"/>
    <x v="75"/>
    <n v="2006"/>
    <n v="2"/>
    <x v="4"/>
    <n v="-10"/>
    <n v="-28.888600496770302"/>
    <n v="288.886004967703"/>
  </r>
  <r>
    <n v="130"/>
    <x v="2"/>
    <x v="76"/>
    <n v="2006"/>
    <n v="11"/>
    <x v="1"/>
    <n v="-9"/>
    <n v="-25.059711277411697"/>
    <n v="225.53740149670529"/>
  </r>
  <r>
    <n v="131"/>
    <x v="7"/>
    <x v="10"/>
    <n v="2004"/>
    <n v="11"/>
    <x v="4"/>
    <n v="56"/>
    <n v="168.8685012955201"/>
    <n v="9456.6360725491249"/>
  </r>
  <r>
    <n v="132"/>
    <x v="8"/>
    <x v="6"/>
    <n v="2004"/>
    <n v="3"/>
    <x v="2"/>
    <n v="28"/>
    <n v="85.600623651403808"/>
    <n v="2396.8174622393067"/>
  </r>
  <r>
    <n v="133"/>
    <x v="0"/>
    <x v="77"/>
    <n v="2004"/>
    <n v="7"/>
    <x v="4"/>
    <n v="11"/>
    <n v="34.417378586902672"/>
    <n v="378.5911644559294"/>
  </r>
  <r>
    <n v="134"/>
    <x v="5"/>
    <x v="7"/>
    <n v="2006"/>
    <n v="12"/>
    <x v="0"/>
    <n v="11"/>
    <n v="34.910086692815099"/>
    <n v="384.01095362096612"/>
  </r>
  <r>
    <n v="135"/>
    <x v="5"/>
    <x v="54"/>
    <n v="2005"/>
    <n v="2"/>
    <x v="3"/>
    <n v="67"/>
    <n v="202.86608183653496"/>
    <n v="13592.027483047843"/>
  </r>
  <r>
    <n v="136"/>
    <x v="4"/>
    <x v="55"/>
    <n v="2005"/>
    <n v="3"/>
    <x v="0"/>
    <n v="10"/>
    <n v="31.43203475838104"/>
    <n v="314.32034758381042"/>
  </r>
  <r>
    <n v="137"/>
    <x v="6"/>
    <x v="17"/>
    <n v="2004"/>
    <n v="10"/>
    <x v="1"/>
    <n v="40"/>
    <n v="121.94725640981379"/>
    <n v="4877.8902563925512"/>
  </r>
  <r>
    <n v="138"/>
    <x v="4"/>
    <x v="32"/>
    <n v="2005"/>
    <n v="7"/>
    <x v="4"/>
    <n v="77"/>
    <n v="233.07983567827679"/>
    <n v="17947.147347227314"/>
  </r>
  <r>
    <n v="139"/>
    <x v="0"/>
    <x v="40"/>
    <n v="2005"/>
    <n v="5"/>
    <x v="2"/>
    <n v="50"/>
    <n v="152.04318524136269"/>
    <n v="7602.1592620681349"/>
  </r>
  <r>
    <n v="140"/>
    <x v="7"/>
    <x v="43"/>
    <n v="2004"/>
    <n v="6"/>
    <x v="3"/>
    <n v="80"/>
    <n v="242.49550041476004"/>
    <n v="19399.640033180804"/>
  </r>
  <r>
    <n v="141"/>
    <x v="7"/>
    <x v="30"/>
    <n v="2006"/>
    <n v="12"/>
    <x v="3"/>
    <n v="83"/>
    <n v="250.79460647762514"/>
    <n v="20815.952337642888"/>
  </r>
  <r>
    <n v="142"/>
    <x v="0"/>
    <x v="20"/>
    <n v="2006"/>
    <n v="2"/>
    <x v="0"/>
    <n v="-4"/>
    <n v="-9.4996327629453567"/>
    <n v="37.998531051781427"/>
  </r>
  <r>
    <n v="143"/>
    <x v="4"/>
    <x v="78"/>
    <n v="2005"/>
    <n v="2"/>
    <x v="1"/>
    <n v="46"/>
    <n v="139.75509706516939"/>
    <n v="6428.7344649977922"/>
  </r>
  <r>
    <n v="144"/>
    <x v="2"/>
    <x v="25"/>
    <n v="2006"/>
    <n v="10"/>
    <x v="4"/>
    <n v="55"/>
    <n v="167.19317791229159"/>
    <n v="9195.6247851760381"/>
  </r>
  <r>
    <n v="145"/>
    <x v="8"/>
    <x v="19"/>
    <n v="2004"/>
    <n v="9"/>
    <x v="4"/>
    <n v="89"/>
    <n v="269.40466549843933"/>
    <n v="23977.015229361099"/>
  </r>
  <r>
    <n v="146"/>
    <x v="6"/>
    <x v="32"/>
    <n v="2005"/>
    <n v="7"/>
    <x v="3"/>
    <n v="59"/>
    <n v="179.11590007622482"/>
    <n v="10567.838104497265"/>
  </r>
  <r>
    <n v="147"/>
    <x v="6"/>
    <x v="33"/>
    <n v="2005"/>
    <n v="3"/>
    <x v="2"/>
    <n v="90"/>
    <n v="271.75315679180818"/>
    <n v="24457.784111262736"/>
  </r>
  <r>
    <n v="148"/>
    <x v="2"/>
    <x v="79"/>
    <n v="2006"/>
    <n v="11"/>
    <x v="2"/>
    <n v="17"/>
    <n v="53.665884026524566"/>
    <n v="912.32002845091756"/>
  </r>
  <r>
    <n v="149"/>
    <x v="8"/>
    <x v="33"/>
    <n v="2005"/>
    <n v="3"/>
    <x v="2"/>
    <n v="37"/>
    <n v="113.6496958349757"/>
    <n v="4205.0387458941013"/>
  </r>
  <r>
    <n v="150"/>
    <x v="5"/>
    <x v="70"/>
    <n v="2006"/>
    <n v="3"/>
    <x v="1"/>
    <n v="-4"/>
    <n v="-9.4240327280666669"/>
    <n v="37.696130912266668"/>
  </r>
  <r>
    <n v="151"/>
    <x v="6"/>
    <x v="32"/>
    <n v="2005"/>
    <n v="7"/>
    <x v="0"/>
    <n v="-8"/>
    <n v="-22.376386657781136"/>
    <n v="179.01109326224909"/>
  </r>
  <r>
    <n v="152"/>
    <x v="3"/>
    <x v="80"/>
    <n v="2004"/>
    <n v="9"/>
    <x v="2"/>
    <n v="6"/>
    <n v="20.32160187847996"/>
    <n v="121.92961127087976"/>
  </r>
  <r>
    <n v="153"/>
    <x v="8"/>
    <x v="81"/>
    <n v="2004"/>
    <n v="10"/>
    <x v="2"/>
    <n v="63"/>
    <n v="191.67996095772898"/>
    <n v="12075.837540336926"/>
  </r>
  <r>
    <n v="154"/>
    <x v="7"/>
    <x v="45"/>
    <n v="2004"/>
    <n v="8"/>
    <x v="2"/>
    <n v="16"/>
    <n v="49.943726296074821"/>
    <n v="799.09962073719714"/>
  </r>
  <r>
    <n v="155"/>
    <x v="0"/>
    <x v="78"/>
    <n v="2005"/>
    <n v="2"/>
    <x v="4"/>
    <n v="22"/>
    <n v="67.814347194557499"/>
    <n v="1491.9156382802651"/>
  </r>
  <r>
    <n v="156"/>
    <x v="6"/>
    <x v="82"/>
    <n v="2005"/>
    <n v="12"/>
    <x v="1"/>
    <n v="81"/>
    <n v="244.96866878935498"/>
    <n v="19842.462171937754"/>
  </r>
  <r>
    <n v="157"/>
    <x v="6"/>
    <x v="27"/>
    <n v="2005"/>
    <n v="9"/>
    <x v="0"/>
    <n v="85"/>
    <n v="256.55696414737832"/>
    <n v="21807.341952527157"/>
  </r>
  <r>
    <n v="158"/>
    <x v="7"/>
    <x v="83"/>
    <n v="2004"/>
    <n v="5"/>
    <x v="1"/>
    <n v="-3"/>
    <n v="-7.083148189481113"/>
    <n v="21.249444568443337"/>
  </r>
  <r>
    <n v="159"/>
    <x v="6"/>
    <x v="49"/>
    <n v="2005"/>
    <n v="1"/>
    <x v="0"/>
    <n v="51"/>
    <n v="154.48755641985605"/>
    <n v="7878.8653774126587"/>
  </r>
  <r>
    <n v="160"/>
    <x v="8"/>
    <x v="13"/>
    <n v="2005"/>
    <n v="1"/>
    <x v="0"/>
    <n v="72"/>
    <n v="217.42437258205749"/>
    <n v="15654.554825908139"/>
  </r>
  <r>
    <n v="161"/>
    <x v="5"/>
    <x v="59"/>
    <n v="2004"/>
    <n v="2"/>
    <x v="0"/>
    <n v="46"/>
    <n v="139.92999594688814"/>
    <n v="6436.7798135568546"/>
  </r>
  <r>
    <n v="162"/>
    <x v="1"/>
    <x v="2"/>
    <n v="2005"/>
    <n v="2"/>
    <x v="4"/>
    <n v="-10"/>
    <n v="-27.996195351956981"/>
    <n v="279.96195351956982"/>
  </r>
  <r>
    <n v="163"/>
    <x v="8"/>
    <x v="39"/>
    <n v="2005"/>
    <n v="8"/>
    <x v="1"/>
    <n v="-5"/>
    <n v="-12.197238533968166"/>
    <n v="60.986192669840833"/>
  </r>
  <r>
    <n v="164"/>
    <x v="1"/>
    <x v="84"/>
    <n v="2006"/>
    <n v="10"/>
    <x v="3"/>
    <n v="16"/>
    <n v="49.917622272183785"/>
    <n v="798.68195635494055"/>
  </r>
  <r>
    <n v="165"/>
    <x v="1"/>
    <x v="60"/>
    <n v="2005"/>
    <n v="12"/>
    <x v="1"/>
    <n v="25"/>
    <n v="76.986898914774684"/>
    <n v="1924.6724728693671"/>
  </r>
  <r>
    <n v="166"/>
    <x v="6"/>
    <x v="55"/>
    <n v="2005"/>
    <n v="3"/>
    <x v="3"/>
    <n v="49"/>
    <n v="148.90711866414762"/>
    <n v="7296.4488145432333"/>
  </r>
  <r>
    <n v="167"/>
    <x v="0"/>
    <x v="6"/>
    <n v="2004"/>
    <n v="3"/>
    <x v="0"/>
    <n v="21"/>
    <n v="64.326659101878747"/>
    <n v="1350.8598411394537"/>
  </r>
  <r>
    <n v="168"/>
    <x v="5"/>
    <x v="3"/>
    <n v="2006"/>
    <n v="5"/>
    <x v="0"/>
    <n v="29"/>
    <n v="88.984161458299795"/>
    <n v="2580.5406822906939"/>
  </r>
  <r>
    <n v="169"/>
    <x v="2"/>
    <x v="59"/>
    <n v="2004"/>
    <n v="2"/>
    <x v="0"/>
    <n v="63"/>
    <n v="191.11407977738014"/>
    <n v="12040.187025974948"/>
  </r>
  <r>
    <n v="170"/>
    <x v="7"/>
    <x v="62"/>
    <n v="2006"/>
    <n v="6"/>
    <x v="0"/>
    <n v="21"/>
    <n v="64.602960723055489"/>
    <n v="1356.6621751841653"/>
  </r>
  <r>
    <n v="171"/>
    <x v="0"/>
    <x v="85"/>
    <n v="2005"/>
    <n v="10"/>
    <x v="1"/>
    <n v="93"/>
    <n v="280.17276926587908"/>
    <n v="26056.067541726756"/>
  </r>
  <r>
    <n v="172"/>
    <x v="4"/>
    <x v="86"/>
    <n v="2004"/>
    <n v="2"/>
    <x v="1"/>
    <n v="55"/>
    <n v="167.55415680156585"/>
    <n v="9215.4786240861213"/>
  </r>
  <r>
    <n v="173"/>
    <x v="6"/>
    <x v="48"/>
    <n v="2006"/>
    <n v="7"/>
    <x v="1"/>
    <n v="14"/>
    <n v="43.897196992459193"/>
    <n v="614.56075789442866"/>
  </r>
  <r>
    <n v="174"/>
    <x v="7"/>
    <x v="1"/>
    <n v="2004"/>
    <n v="3"/>
    <x v="2"/>
    <n v="91"/>
    <n v="275.24479602731037"/>
    <n v="25047.276438485245"/>
  </r>
  <r>
    <n v="175"/>
    <x v="6"/>
    <x v="74"/>
    <n v="2004"/>
    <n v="4"/>
    <x v="3"/>
    <n v="80"/>
    <n v="242.44859600981886"/>
    <n v="19395.887680785509"/>
  </r>
  <r>
    <n v="176"/>
    <x v="0"/>
    <x v="5"/>
    <n v="2005"/>
    <n v="11"/>
    <x v="3"/>
    <n v="70"/>
    <n v="211.755231476809"/>
    <n v="14822.86620337663"/>
  </r>
  <r>
    <n v="177"/>
    <x v="8"/>
    <x v="87"/>
    <n v="2004"/>
    <n v="7"/>
    <x v="4"/>
    <n v="54"/>
    <n v="164.30496670412208"/>
    <n v="8872.4682020225919"/>
  </r>
  <r>
    <n v="178"/>
    <x v="2"/>
    <x v="60"/>
    <n v="2005"/>
    <n v="12"/>
    <x v="4"/>
    <n v="19"/>
    <n v="58.362898336492826"/>
    <n v="1108.8950683933638"/>
  </r>
  <r>
    <n v="179"/>
    <x v="1"/>
    <x v="24"/>
    <n v="2005"/>
    <n v="9"/>
    <x v="1"/>
    <n v="38"/>
    <n v="115.82878872794043"/>
    <n v="4401.4939716617364"/>
  </r>
  <r>
    <n v="180"/>
    <x v="4"/>
    <x v="64"/>
    <n v="2004"/>
    <n v="5"/>
    <x v="2"/>
    <n v="60"/>
    <n v="182.02229380076153"/>
    <n v="10921.337628045692"/>
  </r>
  <r>
    <n v="181"/>
    <x v="1"/>
    <x v="85"/>
    <n v="2005"/>
    <n v="10"/>
    <x v="2"/>
    <n v="51"/>
    <n v="155.73788458275871"/>
    <n v="7942.6321137206942"/>
  </r>
  <r>
    <n v="182"/>
    <x v="2"/>
    <x v="88"/>
    <n v="2004"/>
    <n v="5"/>
    <x v="0"/>
    <n v="78"/>
    <n v="236.14223463826744"/>
    <n v="18419.094301784859"/>
  </r>
  <r>
    <n v="183"/>
    <x v="1"/>
    <x v="10"/>
    <n v="2004"/>
    <n v="11"/>
    <x v="1"/>
    <n v="17"/>
    <n v="52.469218210599529"/>
    <n v="891.97670958019194"/>
  </r>
  <r>
    <n v="184"/>
    <x v="7"/>
    <x v="89"/>
    <n v="2004"/>
    <n v="8"/>
    <x v="3"/>
    <n v="13"/>
    <n v="40.808192712139302"/>
    <n v="530.50650525781089"/>
  </r>
  <r>
    <n v="185"/>
    <x v="6"/>
    <x v="32"/>
    <n v="2005"/>
    <n v="7"/>
    <x v="4"/>
    <n v="2"/>
    <n v="8.0360535540736908"/>
    <n v="16.072107108147382"/>
  </r>
  <r>
    <n v="186"/>
    <x v="0"/>
    <x v="66"/>
    <n v="2006"/>
    <n v="11"/>
    <x v="4"/>
    <n v="74"/>
    <n v="223.87783259743091"/>
    <n v="16566.959612209888"/>
  </r>
  <r>
    <n v="187"/>
    <x v="4"/>
    <x v="70"/>
    <n v="2006"/>
    <n v="3"/>
    <x v="1"/>
    <n v="57"/>
    <n v="172.92421427081234"/>
    <n v="9856.6802134363043"/>
  </r>
  <r>
    <n v="188"/>
    <x v="7"/>
    <x v="88"/>
    <n v="2004"/>
    <n v="5"/>
    <x v="4"/>
    <n v="79"/>
    <n v="239.34428625432886"/>
    <n v="18908.19861409198"/>
  </r>
  <r>
    <n v="189"/>
    <x v="4"/>
    <x v="41"/>
    <n v="2005"/>
    <n v="6"/>
    <x v="1"/>
    <n v="82"/>
    <n v="247.46177448016923"/>
    <n v="20291.865507373877"/>
  </r>
  <r>
    <n v="190"/>
    <x v="8"/>
    <x v="58"/>
    <n v="2006"/>
    <n v="10"/>
    <x v="0"/>
    <n v="28"/>
    <n v="85.957225474601458"/>
    <n v="2406.8023132888407"/>
  </r>
  <r>
    <n v="191"/>
    <x v="7"/>
    <x v="36"/>
    <n v="2004"/>
    <n v="2"/>
    <x v="4"/>
    <n v="63"/>
    <n v="191.0302935038041"/>
    <n v="12034.908490739659"/>
  </r>
  <r>
    <n v="192"/>
    <x v="5"/>
    <x v="68"/>
    <n v="2005"/>
    <n v="10"/>
    <x v="1"/>
    <n v="72"/>
    <n v="217.59287860664901"/>
    <n v="15666.687259678729"/>
  </r>
  <r>
    <n v="193"/>
    <x v="5"/>
    <x v="56"/>
    <n v="2006"/>
    <n v="1"/>
    <x v="2"/>
    <n v="68"/>
    <n v="205.93270340856287"/>
    <n v="14003.423831782275"/>
  </r>
  <r>
    <n v="194"/>
    <x v="6"/>
    <x v="67"/>
    <n v="2006"/>
    <n v="1"/>
    <x v="3"/>
    <n v="8"/>
    <n v="26.138739127477177"/>
    <n v="209.10991301981741"/>
  </r>
  <r>
    <n v="195"/>
    <x v="1"/>
    <x v="90"/>
    <n v="2004"/>
    <n v="12"/>
    <x v="2"/>
    <n v="62"/>
    <n v="188.51634230729906"/>
    <n v="11688.013223052541"/>
  </r>
  <r>
    <n v="196"/>
    <x v="7"/>
    <x v="61"/>
    <n v="2005"/>
    <n v="3"/>
    <x v="3"/>
    <n v="5"/>
    <n v="16.348427234046856"/>
    <n v="81.742136170234275"/>
  </r>
  <r>
    <n v="197"/>
    <x v="4"/>
    <x v="36"/>
    <n v="2004"/>
    <n v="2"/>
    <x v="4"/>
    <n v="-5"/>
    <n v="-12.898061088841523"/>
    <n v="64.490305444207621"/>
  </r>
  <r>
    <n v="198"/>
    <x v="4"/>
    <x v="3"/>
    <n v="2006"/>
    <n v="5"/>
    <x v="4"/>
    <n v="-4"/>
    <n v="-9.998213253386103"/>
    <n v="39.992853013544412"/>
  </r>
  <r>
    <n v="199"/>
    <x v="5"/>
    <x v="66"/>
    <n v="2006"/>
    <n v="11"/>
    <x v="4"/>
    <n v="81"/>
    <n v="244.68104192003952"/>
    <n v="19819.164395523199"/>
  </r>
  <r>
    <n v="200"/>
    <x v="5"/>
    <x v="70"/>
    <n v="2006"/>
    <n v="3"/>
    <x v="3"/>
    <n v="21"/>
    <n v="64.744003374094902"/>
    <n v="1359.6240708559928"/>
  </r>
  <r>
    <n v="201"/>
    <x v="8"/>
    <x v="51"/>
    <n v="2005"/>
    <n v="6"/>
    <x v="3"/>
    <n v="21"/>
    <n v="64.863192319117914"/>
    <n v="1362.1270387014763"/>
  </r>
  <r>
    <n v="202"/>
    <x v="1"/>
    <x v="82"/>
    <n v="2005"/>
    <n v="12"/>
    <x v="1"/>
    <n v="-3"/>
    <n v="-7.154085897104931"/>
    <n v="21.462257691314793"/>
  </r>
  <r>
    <n v="203"/>
    <x v="8"/>
    <x v="30"/>
    <n v="2006"/>
    <n v="12"/>
    <x v="0"/>
    <n v="57"/>
    <n v="173.64445114790863"/>
    <n v="9897.7337154307916"/>
  </r>
  <r>
    <n v="204"/>
    <x v="8"/>
    <x v="63"/>
    <n v="2006"/>
    <n v="8"/>
    <x v="0"/>
    <n v="86"/>
    <n v="259.30970727563493"/>
    <n v="22300.634825704605"/>
  </r>
  <r>
    <n v="205"/>
    <x v="7"/>
    <x v="91"/>
    <n v="2006"/>
    <n v="4"/>
    <x v="1"/>
    <n v="14"/>
    <n v="44.139016120906668"/>
    <n v="617.94622569269336"/>
  </r>
  <r>
    <n v="206"/>
    <x v="1"/>
    <x v="23"/>
    <n v="2006"/>
    <n v="12"/>
    <x v="2"/>
    <n v="20"/>
    <n v="61.955881135465603"/>
    <n v="1239.1176227093119"/>
  </r>
  <r>
    <n v="207"/>
    <x v="4"/>
    <x v="36"/>
    <n v="2004"/>
    <n v="2"/>
    <x v="4"/>
    <n v="60"/>
    <n v="181.93942640636905"/>
    <n v="10916.365584382143"/>
  </r>
  <r>
    <n v="208"/>
    <x v="7"/>
    <x v="8"/>
    <n v="2006"/>
    <n v="7"/>
    <x v="3"/>
    <n v="45"/>
    <n v="137.15507832075065"/>
    <n v="6171.9785244337791"/>
  </r>
  <r>
    <n v="209"/>
    <x v="7"/>
    <x v="0"/>
    <n v="2004"/>
    <n v="4"/>
    <x v="3"/>
    <n v="7"/>
    <n v="22.99759982335349"/>
    <n v="160.98319876347443"/>
  </r>
  <r>
    <n v="210"/>
    <x v="0"/>
    <x v="52"/>
    <n v="2006"/>
    <n v="3"/>
    <x v="0"/>
    <n v="-6"/>
    <n v="-16.334472666280842"/>
    <n v="98.006835997685045"/>
  </r>
  <r>
    <n v="211"/>
    <x v="7"/>
    <x v="16"/>
    <n v="2006"/>
    <n v="4"/>
    <x v="0"/>
    <n v="35"/>
    <n v="106.89982221762149"/>
    <n v="3741.4937776167521"/>
  </r>
  <r>
    <n v="212"/>
    <x v="4"/>
    <x v="46"/>
    <n v="2006"/>
    <n v="5"/>
    <x v="1"/>
    <n v="31"/>
    <n v="95.13200096066403"/>
    <n v="2949.0920297805851"/>
  </r>
  <r>
    <n v="213"/>
    <x v="7"/>
    <x v="26"/>
    <n v="2005"/>
    <n v="11"/>
    <x v="0"/>
    <n v="19"/>
    <n v="59.075740928551383"/>
    <n v="1122.4390776424764"/>
  </r>
  <r>
    <n v="214"/>
    <x v="3"/>
    <x v="75"/>
    <n v="2006"/>
    <n v="2"/>
    <x v="3"/>
    <n v="35"/>
    <n v="106.64339916643026"/>
    <n v="3732.5189708250591"/>
  </r>
  <r>
    <n v="215"/>
    <x v="0"/>
    <x v="13"/>
    <n v="2005"/>
    <n v="1"/>
    <x v="2"/>
    <n v="51"/>
    <n v="154.59771582934854"/>
    <n v="7884.4835072967762"/>
  </r>
  <r>
    <n v="216"/>
    <x v="1"/>
    <x v="34"/>
    <n v="2006"/>
    <n v="2"/>
    <x v="4"/>
    <n v="1"/>
    <n v="5.3867139626812968"/>
    <n v="5.3867139626812968"/>
  </r>
  <r>
    <n v="217"/>
    <x v="8"/>
    <x v="19"/>
    <n v="2004"/>
    <n v="9"/>
    <x v="1"/>
    <n v="67"/>
    <n v="203.35912709646638"/>
    <n v="13625.061515463247"/>
  </r>
  <r>
    <n v="218"/>
    <x v="8"/>
    <x v="55"/>
    <n v="2005"/>
    <n v="3"/>
    <x v="4"/>
    <n v="23"/>
    <n v="71.412597536524615"/>
    <n v="1642.4897433400661"/>
  </r>
  <r>
    <n v="219"/>
    <x v="4"/>
    <x v="78"/>
    <n v="2005"/>
    <n v="2"/>
    <x v="1"/>
    <n v="41"/>
    <n v="125.23475441561757"/>
    <n v="5134.6249310403209"/>
  </r>
  <r>
    <n v="220"/>
    <x v="2"/>
    <x v="53"/>
    <n v="2004"/>
    <n v="1"/>
    <x v="4"/>
    <n v="27"/>
    <n v="83.195110350521588"/>
    <n v="2246.2679794640831"/>
  </r>
  <r>
    <n v="221"/>
    <x v="5"/>
    <x v="14"/>
    <n v="2006"/>
    <n v="9"/>
    <x v="1"/>
    <n v="56"/>
    <n v="170.17512557022724"/>
    <n v="9529.8070319327253"/>
  </r>
  <r>
    <n v="222"/>
    <x v="2"/>
    <x v="87"/>
    <n v="2004"/>
    <n v="7"/>
    <x v="4"/>
    <n v="67"/>
    <n v="203.35311949602652"/>
    <n v="13624.659006233776"/>
  </r>
  <r>
    <n v="223"/>
    <x v="0"/>
    <x v="31"/>
    <n v="2004"/>
    <n v="9"/>
    <x v="1"/>
    <n v="94"/>
    <n v="283.74141758000144"/>
    <n v="26671.693252520134"/>
  </r>
  <r>
    <n v="224"/>
    <x v="5"/>
    <x v="71"/>
    <n v="2004"/>
    <n v="10"/>
    <x v="3"/>
    <n v="52"/>
    <n v="158.2973319694853"/>
    <n v="8231.4612624132351"/>
  </r>
  <r>
    <n v="225"/>
    <x v="3"/>
    <x v="36"/>
    <n v="2004"/>
    <n v="2"/>
    <x v="2"/>
    <n v="24"/>
    <n v="74.243899422562194"/>
    <n v="1781.8535861414925"/>
  </r>
  <r>
    <n v="226"/>
    <x v="7"/>
    <x v="38"/>
    <n v="2004"/>
    <n v="6"/>
    <x v="0"/>
    <n v="-1"/>
    <n v="-0.91770776800017373"/>
    <n v="0.91770776800017373"/>
  </r>
  <r>
    <n v="227"/>
    <x v="1"/>
    <x v="67"/>
    <n v="2006"/>
    <n v="1"/>
    <x v="3"/>
    <n v="37"/>
    <n v="112.52158206006119"/>
    <n v="4163.2985362222644"/>
  </r>
  <r>
    <n v="228"/>
    <x v="0"/>
    <x v="34"/>
    <n v="2006"/>
    <n v="2"/>
    <x v="1"/>
    <n v="63"/>
    <n v="191.4542393048981"/>
    <n v="12061.61707620858"/>
  </r>
  <r>
    <n v="229"/>
    <x v="8"/>
    <x v="15"/>
    <n v="2004"/>
    <n v="4"/>
    <x v="0"/>
    <n v="13"/>
    <n v="41.010346846521706"/>
    <n v="533.13450900478222"/>
  </r>
  <r>
    <n v="230"/>
    <x v="1"/>
    <x v="66"/>
    <n v="2006"/>
    <n v="11"/>
    <x v="0"/>
    <n v="7"/>
    <n v="22.334877359058812"/>
    <n v="156.34414151341167"/>
  </r>
  <r>
    <n v="231"/>
    <x v="3"/>
    <x v="6"/>
    <n v="2004"/>
    <n v="3"/>
    <x v="0"/>
    <n v="64"/>
    <n v="193.83879299726061"/>
    <n v="12405.682751824679"/>
  </r>
  <r>
    <n v="232"/>
    <x v="2"/>
    <x v="38"/>
    <n v="2004"/>
    <n v="6"/>
    <x v="0"/>
    <n v="63"/>
    <n v="190.90668689411601"/>
    <n v="12027.121274329309"/>
  </r>
  <r>
    <n v="233"/>
    <x v="6"/>
    <x v="45"/>
    <n v="2004"/>
    <n v="8"/>
    <x v="4"/>
    <n v="57"/>
    <n v="173.59022125804509"/>
    <n v="9894.6426117085703"/>
  </r>
  <r>
    <n v="234"/>
    <x v="6"/>
    <x v="22"/>
    <n v="2004"/>
    <n v="11"/>
    <x v="4"/>
    <n v="59"/>
    <n v="178.9266502635322"/>
    <n v="10556.6723655484"/>
  </r>
  <r>
    <n v="235"/>
    <x v="7"/>
    <x v="50"/>
    <n v="2004"/>
    <n v="12"/>
    <x v="1"/>
    <n v="-3"/>
    <n v="-7.2637597489178187"/>
    <n v="21.791279246753454"/>
  </r>
  <r>
    <n v="236"/>
    <x v="8"/>
    <x v="58"/>
    <n v="2006"/>
    <n v="10"/>
    <x v="0"/>
    <n v="86"/>
    <n v="260.32907018535167"/>
    <n v="22388.300035940243"/>
  </r>
  <r>
    <n v="237"/>
    <x v="5"/>
    <x v="19"/>
    <n v="2004"/>
    <n v="9"/>
    <x v="3"/>
    <n v="-4"/>
    <n v="-9.9939520680829617"/>
    <n v="39.975808272331847"/>
  </r>
  <r>
    <n v="238"/>
    <x v="2"/>
    <x v="13"/>
    <n v="2005"/>
    <n v="1"/>
    <x v="0"/>
    <n v="7"/>
    <n v="23.654332569914828"/>
    <n v="165.5803279894038"/>
  </r>
  <r>
    <n v="239"/>
    <x v="8"/>
    <x v="58"/>
    <n v="2006"/>
    <n v="10"/>
    <x v="0"/>
    <n v="43"/>
    <n v="131.67769291502447"/>
    <n v="5662.1407953460521"/>
  </r>
  <r>
    <n v="240"/>
    <x v="6"/>
    <x v="47"/>
    <n v="2005"/>
    <n v="11"/>
    <x v="0"/>
    <n v="2"/>
    <n v="7.6348447793459382"/>
    <n v="15.269689558691876"/>
  </r>
  <r>
    <n v="241"/>
    <x v="6"/>
    <x v="21"/>
    <n v="2005"/>
    <n v="5"/>
    <x v="4"/>
    <n v="85"/>
    <n v="256.87957020946436"/>
    <n v="21834.763467804471"/>
  </r>
  <r>
    <n v="242"/>
    <x v="6"/>
    <x v="92"/>
    <n v="2005"/>
    <n v="4"/>
    <x v="3"/>
    <n v="52"/>
    <n v="158.18704198984506"/>
    <n v="8225.7261834719429"/>
  </r>
  <r>
    <n v="243"/>
    <x v="4"/>
    <x v="77"/>
    <n v="2004"/>
    <n v="7"/>
    <x v="2"/>
    <n v="-3"/>
    <n v="-7.3950210500886264"/>
    <n v="22.185063150265879"/>
  </r>
  <r>
    <n v="244"/>
    <x v="5"/>
    <x v="2"/>
    <n v="2005"/>
    <n v="2"/>
    <x v="3"/>
    <n v="8"/>
    <n v="25.546689047987762"/>
    <n v="204.3735123839021"/>
  </r>
  <r>
    <n v="245"/>
    <x v="8"/>
    <x v="77"/>
    <n v="2004"/>
    <n v="7"/>
    <x v="4"/>
    <n v="5"/>
    <n v="17.198905576452098"/>
    <n v="85.994527882260485"/>
  </r>
  <r>
    <n v="246"/>
    <x v="1"/>
    <x v="93"/>
    <n v="2006"/>
    <n v="8"/>
    <x v="4"/>
    <n v="90"/>
    <n v="272.09870438545738"/>
    <n v="24488.883394691165"/>
  </r>
  <r>
    <n v="247"/>
    <x v="0"/>
    <x v="76"/>
    <n v="2006"/>
    <n v="11"/>
    <x v="4"/>
    <n v="36"/>
    <n v="110.33744975059108"/>
    <n v="3972.1481910212788"/>
  </r>
  <r>
    <n v="248"/>
    <x v="3"/>
    <x v="65"/>
    <n v="2005"/>
    <n v="8"/>
    <x v="4"/>
    <n v="25"/>
    <n v="77.014900645073141"/>
    <n v="1925.3725161268285"/>
  </r>
  <r>
    <n v="249"/>
    <x v="0"/>
    <x v="61"/>
    <n v="2005"/>
    <n v="3"/>
    <x v="4"/>
    <n v="7"/>
    <n v="23.133204884254319"/>
    <n v="161.93243418978022"/>
  </r>
  <r>
    <n v="250"/>
    <x v="4"/>
    <x v="79"/>
    <n v="2006"/>
    <n v="11"/>
    <x v="4"/>
    <n v="64"/>
    <n v="194.25372471684716"/>
    <n v="12432.238381878218"/>
  </r>
  <r>
    <n v="251"/>
    <x v="4"/>
    <x v="88"/>
    <n v="2004"/>
    <n v="5"/>
    <x v="4"/>
    <n v="71"/>
    <n v="215.49309366005642"/>
    <n v="15300.009649864005"/>
  </r>
  <r>
    <n v="252"/>
    <x v="2"/>
    <x v="37"/>
    <n v="2005"/>
    <n v="4"/>
    <x v="3"/>
    <n v="41"/>
    <n v="124.81042324173134"/>
    <n v="5117.2273529109852"/>
  </r>
  <r>
    <n v="253"/>
    <x v="2"/>
    <x v="19"/>
    <n v="2004"/>
    <n v="9"/>
    <x v="1"/>
    <n v="84"/>
    <n v="253.28617965312779"/>
    <n v="21276.039090862734"/>
  </r>
  <r>
    <n v="254"/>
    <x v="6"/>
    <x v="55"/>
    <n v="2005"/>
    <n v="3"/>
    <x v="3"/>
    <n v="3"/>
    <n v="10.703015398687583"/>
    <n v="32.109046196062749"/>
  </r>
  <r>
    <n v="255"/>
    <x v="2"/>
    <x v="0"/>
    <n v="2004"/>
    <n v="4"/>
    <x v="1"/>
    <n v="15"/>
    <n v="46.761676481443232"/>
    <n v="701.42514722164844"/>
  </r>
  <r>
    <n v="256"/>
    <x v="1"/>
    <x v="36"/>
    <n v="2004"/>
    <n v="2"/>
    <x v="3"/>
    <n v="1"/>
    <n v="4.8820462029427096"/>
    <n v="4.8820462029427096"/>
  </r>
  <r>
    <n v="257"/>
    <x v="1"/>
    <x v="32"/>
    <n v="2005"/>
    <n v="7"/>
    <x v="4"/>
    <n v="10"/>
    <n v="32.468400196905996"/>
    <n v="324.68400196905998"/>
  </r>
  <r>
    <n v="258"/>
    <x v="6"/>
    <x v="94"/>
    <n v="2005"/>
    <n v="1"/>
    <x v="3"/>
    <n v="77"/>
    <n v="233.3993347830984"/>
    <n v="17971.748778298577"/>
  </r>
  <r>
    <n v="259"/>
    <x v="4"/>
    <x v="54"/>
    <n v="2005"/>
    <n v="2"/>
    <x v="2"/>
    <n v="65"/>
    <n v="196.49346597044766"/>
    <n v="12772.075288079097"/>
  </r>
  <r>
    <n v="260"/>
    <x v="3"/>
    <x v="53"/>
    <n v="2004"/>
    <n v="1"/>
    <x v="3"/>
    <n v="25"/>
    <n v="77.329572231774151"/>
    <n v="1933.2393057943539"/>
  </r>
  <r>
    <n v="261"/>
    <x v="8"/>
    <x v="48"/>
    <n v="2006"/>
    <n v="7"/>
    <x v="4"/>
    <n v="-1"/>
    <n v="-1.930462865623249"/>
    <n v="1.930462865623249"/>
  </r>
  <r>
    <n v="262"/>
    <x v="7"/>
    <x v="93"/>
    <n v="2006"/>
    <n v="8"/>
    <x v="1"/>
    <n v="2"/>
    <n v="7.9709250117717731"/>
    <n v="15.941850023543546"/>
  </r>
  <r>
    <n v="263"/>
    <x v="3"/>
    <x v="79"/>
    <n v="2006"/>
    <n v="11"/>
    <x v="0"/>
    <n v="62"/>
    <n v="187.61965072290988"/>
    <n v="11632.418344820413"/>
  </r>
  <r>
    <n v="264"/>
    <x v="4"/>
    <x v="69"/>
    <n v="2005"/>
    <n v="5"/>
    <x v="1"/>
    <n v="28"/>
    <n v="86.788113277044275"/>
    <n v="2430.0671717572395"/>
  </r>
  <r>
    <n v="265"/>
    <x v="1"/>
    <x v="95"/>
    <n v="2005"/>
    <n v="7"/>
    <x v="3"/>
    <n v="55"/>
    <n v="167.05079786120268"/>
    <n v="9187.793882366148"/>
  </r>
  <r>
    <n v="266"/>
    <x v="4"/>
    <x v="41"/>
    <n v="2005"/>
    <n v="6"/>
    <x v="0"/>
    <n v="28"/>
    <n v="86.636057383669893"/>
    <n v="2425.8096067427568"/>
  </r>
  <r>
    <n v="267"/>
    <x v="5"/>
    <x v="57"/>
    <n v="2005"/>
    <n v="7"/>
    <x v="1"/>
    <n v="5"/>
    <n v="16.670839286326668"/>
    <n v="83.354196431633341"/>
  </r>
  <r>
    <n v="268"/>
    <x v="5"/>
    <x v="22"/>
    <n v="2004"/>
    <n v="11"/>
    <x v="3"/>
    <n v="1"/>
    <n v="4.7722172541512009"/>
    <n v="4.7722172541512009"/>
  </r>
  <r>
    <n v="269"/>
    <x v="5"/>
    <x v="41"/>
    <n v="2005"/>
    <n v="6"/>
    <x v="1"/>
    <n v="26"/>
    <n v="80.012011803068276"/>
    <n v="2080.312306879775"/>
  </r>
  <r>
    <n v="270"/>
    <x v="3"/>
    <x v="38"/>
    <n v="2004"/>
    <n v="6"/>
    <x v="1"/>
    <n v="47"/>
    <n v="142.84602668228962"/>
    <n v="6713.7632540676123"/>
  </r>
  <r>
    <n v="271"/>
    <x v="1"/>
    <x v="21"/>
    <n v="2005"/>
    <n v="5"/>
    <x v="3"/>
    <n v="74"/>
    <n v="224.75435048565893"/>
    <n v="16631.821935938762"/>
  </r>
  <r>
    <n v="272"/>
    <x v="8"/>
    <x v="46"/>
    <n v="2006"/>
    <n v="5"/>
    <x v="0"/>
    <n v="22"/>
    <n v="68.710607050620922"/>
    <n v="1511.6333551136604"/>
  </r>
  <r>
    <n v="273"/>
    <x v="2"/>
    <x v="35"/>
    <n v="2006"/>
    <n v="6"/>
    <x v="2"/>
    <n v="70"/>
    <n v="212.26238499892682"/>
    <n v="14858.366949924877"/>
  </r>
  <r>
    <n v="274"/>
    <x v="8"/>
    <x v="5"/>
    <n v="2005"/>
    <n v="11"/>
    <x v="1"/>
    <n v="83"/>
    <n v="251.31042576912338"/>
    <n v="20858.765338837242"/>
  </r>
  <r>
    <n v="275"/>
    <x v="1"/>
    <x v="44"/>
    <n v="2005"/>
    <n v="12"/>
    <x v="3"/>
    <n v="59"/>
    <n v="179.38546683395009"/>
    <n v="10583.742543203056"/>
  </r>
  <r>
    <n v="276"/>
    <x v="8"/>
    <x v="39"/>
    <n v="2005"/>
    <n v="8"/>
    <x v="4"/>
    <n v="0"/>
    <n v="1.5831115612014064"/>
    <n v="0"/>
  </r>
  <r>
    <n v="277"/>
    <x v="1"/>
    <x v="94"/>
    <n v="2005"/>
    <n v="1"/>
    <x v="3"/>
    <n v="82"/>
    <n v="247.58247918220624"/>
    <n v="20301.763292940912"/>
  </r>
  <r>
    <n v="278"/>
    <x v="0"/>
    <x v="33"/>
    <n v="2005"/>
    <n v="3"/>
    <x v="3"/>
    <n v="29"/>
    <n v="89.053128978062901"/>
    <n v="2582.5407403638242"/>
  </r>
  <r>
    <n v="279"/>
    <x v="8"/>
    <x v="83"/>
    <n v="2004"/>
    <n v="5"/>
    <x v="1"/>
    <n v="63"/>
    <n v="191.08641465198994"/>
    <n v="12038.444123075365"/>
  </r>
  <r>
    <n v="280"/>
    <x v="7"/>
    <x v="58"/>
    <n v="2006"/>
    <n v="10"/>
    <x v="0"/>
    <n v="67"/>
    <n v="203.10846928946893"/>
    <n v="13608.267442394419"/>
  </r>
  <r>
    <n v="281"/>
    <x v="5"/>
    <x v="57"/>
    <n v="2005"/>
    <n v="7"/>
    <x v="3"/>
    <n v="3"/>
    <n v="10.780730703026945"/>
    <n v="32.342192109080834"/>
  </r>
  <r>
    <n v="282"/>
    <x v="1"/>
    <x v="90"/>
    <n v="2004"/>
    <n v="12"/>
    <x v="3"/>
    <n v="65"/>
    <n v="197.40778751122588"/>
    <n v="12831.506188229681"/>
  </r>
  <r>
    <n v="283"/>
    <x v="6"/>
    <x v="64"/>
    <n v="2004"/>
    <n v="5"/>
    <x v="2"/>
    <n v="75"/>
    <n v="227.4564792557687"/>
    <n v="17059.235944182652"/>
  </r>
  <r>
    <n v="284"/>
    <x v="6"/>
    <x v="89"/>
    <n v="2004"/>
    <n v="8"/>
    <x v="0"/>
    <n v="79"/>
    <n v="239.89546823670116"/>
    <n v="18951.741990699393"/>
  </r>
  <r>
    <n v="285"/>
    <x v="7"/>
    <x v="63"/>
    <n v="2006"/>
    <n v="8"/>
    <x v="4"/>
    <n v="-5"/>
    <n v="-12.920960169584891"/>
    <n v="64.604800847924452"/>
  </r>
  <r>
    <n v="286"/>
    <x v="7"/>
    <x v="55"/>
    <n v="2005"/>
    <n v="3"/>
    <x v="1"/>
    <n v="31"/>
    <n v="95.512317695132197"/>
    <n v="2960.8818485490983"/>
  </r>
  <r>
    <n v="287"/>
    <x v="2"/>
    <x v="7"/>
    <n v="2006"/>
    <n v="12"/>
    <x v="4"/>
    <n v="21"/>
    <n v="65.343473312315112"/>
    <n v="1372.2129395586173"/>
  </r>
  <r>
    <n v="288"/>
    <x v="2"/>
    <x v="27"/>
    <n v="2005"/>
    <n v="9"/>
    <x v="2"/>
    <n v="-8"/>
    <n v="-21.912545800386049"/>
    <n v="175.30036640308839"/>
  </r>
  <r>
    <n v="289"/>
    <x v="7"/>
    <x v="32"/>
    <n v="2005"/>
    <n v="7"/>
    <x v="2"/>
    <n v="88"/>
    <n v="266.0518691009172"/>
    <n v="23412.564480880712"/>
  </r>
  <r>
    <n v="290"/>
    <x v="6"/>
    <x v="26"/>
    <n v="2005"/>
    <n v="11"/>
    <x v="1"/>
    <n v="94"/>
    <n v="283.84678757282279"/>
    <n v="26681.598031845344"/>
  </r>
  <r>
    <n v="291"/>
    <x v="3"/>
    <x v="58"/>
    <n v="2006"/>
    <n v="10"/>
    <x v="4"/>
    <n v="83"/>
    <n v="251.49840546378712"/>
    <n v="20874.36765349433"/>
  </r>
  <r>
    <n v="292"/>
    <x v="2"/>
    <x v="45"/>
    <n v="2004"/>
    <n v="8"/>
    <x v="4"/>
    <n v="16"/>
    <n v="49.955539493154028"/>
    <n v="799.28863189046444"/>
  </r>
  <r>
    <n v="293"/>
    <x v="0"/>
    <x v="9"/>
    <n v="2006"/>
    <n v="8"/>
    <x v="4"/>
    <n v="33"/>
    <n v="100.51753262027832"/>
    <n v="3317.0785764691846"/>
  </r>
  <r>
    <n v="294"/>
    <x v="0"/>
    <x v="86"/>
    <n v="2004"/>
    <n v="2"/>
    <x v="3"/>
    <n v="-1"/>
    <n v="-0.90814028681463199"/>
    <n v="0.90814028681463199"/>
  </r>
  <r>
    <n v="295"/>
    <x v="0"/>
    <x v="73"/>
    <n v="2006"/>
    <n v="7"/>
    <x v="4"/>
    <n v="94"/>
    <n v="284.13590593464426"/>
    <n v="26708.775157856559"/>
  </r>
  <r>
    <n v="296"/>
    <x v="7"/>
    <x v="92"/>
    <n v="2005"/>
    <n v="4"/>
    <x v="1"/>
    <n v="76"/>
    <n v="230.25557022435729"/>
    <n v="17499.423337051154"/>
  </r>
  <r>
    <n v="297"/>
    <x v="0"/>
    <x v="52"/>
    <n v="2006"/>
    <n v="3"/>
    <x v="1"/>
    <n v="71"/>
    <n v="215.15645769752564"/>
    <n v="15276.108496524321"/>
  </r>
  <r>
    <n v="298"/>
    <x v="3"/>
    <x v="64"/>
    <n v="2004"/>
    <n v="5"/>
    <x v="2"/>
    <n v="56"/>
    <n v="169.19487194523822"/>
    <n v="9474.9128289333403"/>
  </r>
  <r>
    <n v="299"/>
    <x v="1"/>
    <x v="12"/>
    <n v="2005"/>
    <n v="8"/>
    <x v="0"/>
    <n v="81"/>
    <n v="245.58577912839797"/>
    <n v="19892.448109400237"/>
  </r>
  <r>
    <n v="300"/>
    <x v="3"/>
    <x v="43"/>
    <n v="2004"/>
    <n v="6"/>
    <x v="3"/>
    <n v="3"/>
    <n v="11.162502018809288"/>
    <n v="33.487506056427861"/>
  </r>
  <r>
    <n v="301"/>
    <x v="3"/>
    <x v="92"/>
    <n v="2005"/>
    <n v="4"/>
    <x v="0"/>
    <n v="60"/>
    <n v="182.21269449394873"/>
    <n v="10932.761669636924"/>
  </r>
  <r>
    <n v="302"/>
    <x v="7"/>
    <x v="25"/>
    <n v="2006"/>
    <n v="10"/>
    <x v="1"/>
    <n v="81"/>
    <n v="245.54232115102224"/>
    <n v="19888.928013232802"/>
  </r>
  <r>
    <n v="303"/>
    <x v="4"/>
    <x v="88"/>
    <n v="2004"/>
    <n v="5"/>
    <x v="1"/>
    <n v="70"/>
    <n v="211.43323649343893"/>
    <n v="14800.326554540725"/>
  </r>
  <r>
    <n v="304"/>
    <x v="8"/>
    <x v="3"/>
    <n v="2006"/>
    <n v="5"/>
    <x v="4"/>
    <n v="18"/>
    <n v="56.272584064658759"/>
    <n v="1012.9065131638577"/>
  </r>
  <r>
    <n v="305"/>
    <x v="1"/>
    <x v="54"/>
    <n v="2005"/>
    <n v="2"/>
    <x v="2"/>
    <n v="73"/>
    <n v="221.17007144401961"/>
    <n v="16145.415215413432"/>
  </r>
  <r>
    <n v="306"/>
    <x v="3"/>
    <x v="2"/>
    <n v="2005"/>
    <n v="2"/>
    <x v="1"/>
    <n v="-7"/>
    <n v="-18.782320494671733"/>
    <n v="131.47624346270214"/>
  </r>
  <r>
    <n v="307"/>
    <x v="3"/>
    <x v="65"/>
    <n v="2005"/>
    <n v="8"/>
    <x v="1"/>
    <n v="55"/>
    <n v="166.60609215413587"/>
    <n v="9163.3350684774723"/>
  </r>
  <r>
    <n v="308"/>
    <x v="8"/>
    <x v="83"/>
    <n v="2004"/>
    <n v="5"/>
    <x v="0"/>
    <n v="7"/>
    <n v="23.387374937264937"/>
    <n v="163.71162456085455"/>
  </r>
  <r>
    <n v="309"/>
    <x v="8"/>
    <x v="11"/>
    <n v="2004"/>
    <n v="11"/>
    <x v="3"/>
    <n v="63"/>
    <n v="191.44929977621479"/>
    <n v="12061.305885901531"/>
  </r>
  <r>
    <n v="310"/>
    <x v="3"/>
    <x v="32"/>
    <n v="2005"/>
    <n v="7"/>
    <x v="0"/>
    <n v="83"/>
    <n v="251.62937525083981"/>
    <n v="20885.238145819705"/>
  </r>
  <r>
    <n v="311"/>
    <x v="0"/>
    <x v="86"/>
    <n v="2004"/>
    <n v="2"/>
    <x v="0"/>
    <n v="43"/>
    <n v="130.971908096161"/>
    <n v="5631.7920481349229"/>
  </r>
  <r>
    <n v="312"/>
    <x v="3"/>
    <x v="96"/>
    <n v="2004"/>
    <n v="7"/>
    <x v="3"/>
    <n v="67"/>
    <n v="203.30298779689218"/>
    <n v="13621.300182391777"/>
  </r>
  <r>
    <n v="313"/>
    <x v="4"/>
    <x v="82"/>
    <n v="2005"/>
    <n v="12"/>
    <x v="3"/>
    <n v="-9"/>
    <n v="-24.966227969201331"/>
    <n v="224.69605172281197"/>
  </r>
  <r>
    <n v="314"/>
    <x v="8"/>
    <x v="43"/>
    <n v="2004"/>
    <n v="6"/>
    <x v="1"/>
    <n v="-1"/>
    <n v="-1.475132378251053"/>
    <n v="1.475132378251053"/>
  </r>
  <r>
    <n v="315"/>
    <x v="0"/>
    <x v="94"/>
    <n v="2005"/>
    <n v="1"/>
    <x v="1"/>
    <n v="21"/>
    <n v="65.196598797725159"/>
    <n v="1369.1285747522284"/>
  </r>
  <r>
    <n v="316"/>
    <x v="5"/>
    <x v="47"/>
    <n v="2005"/>
    <n v="11"/>
    <x v="4"/>
    <n v="6"/>
    <n v="20.103063549411871"/>
    <n v="120.61838129647123"/>
  </r>
  <r>
    <n v="317"/>
    <x v="5"/>
    <x v="53"/>
    <n v="2004"/>
    <n v="1"/>
    <x v="3"/>
    <n v="0"/>
    <n v="1.6052060341349688"/>
    <n v="0"/>
  </r>
  <r>
    <n v="318"/>
    <x v="7"/>
    <x v="81"/>
    <n v="2004"/>
    <n v="10"/>
    <x v="3"/>
    <n v="20"/>
    <n v="61.994811968474004"/>
    <n v="1239.8962393694801"/>
  </r>
  <r>
    <n v="319"/>
    <x v="2"/>
    <x v="22"/>
    <n v="2004"/>
    <n v="11"/>
    <x v="1"/>
    <n v="70"/>
    <n v="212.50263306463722"/>
    <n v="14875.184314524606"/>
  </r>
  <r>
    <n v="320"/>
    <x v="7"/>
    <x v="83"/>
    <n v="2004"/>
    <n v="5"/>
    <x v="3"/>
    <n v="94"/>
    <n v="283.88166832886924"/>
    <n v="26684.876822913709"/>
  </r>
  <r>
    <n v="321"/>
    <x v="1"/>
    <x v="81"/>
    <n v="2004"/>
    <n v="10"/>
    <x v="0"/>
    <n v="9"/>
    <n v="28.830512766101304"/>
    <n v="259.47461489491172"/>
  </r>
  <r>
    <n v="322"/>
    <x v="7"/>
    <x v="51"/>
    <n v="2005"/>
    <n v="6"/>
    <x v="4"/>
    <n v="27"/>
    <n v="83.64015403043436"/>
    <n v="2258.2841588217279"/>
  </r>
  <r>
    <n v="323"/>
    <x v="4"/>
    <x v="70"/>
    <n v="2006"/>
    <n v="3"/>
    <x v="2"/>
    <n v="43"/>
    <n v="130.94656180680516"/>
    <n v="5630.7021576926218"/>
  </r>
  <r>
    <n v="324"/>
    <x v="6"/>
    <x v="14"/>
    <n v="2006"/>
    <n v="9"/>
    <x v="1"/>
    <n v="84"/>
    <n v="254.38984191598573"/>
    <n v="21368.7467209428"/>
  </r>
  <r>
    <n v="325"/>
    <x v="1"/>
    <x v="38"/>
    <n v="2004"/>
    <n v="6"/>
    <x v="3"/>
    <n v="83"/>
    <n v="251.63175698562648"/>
    <n v="20885.435829806996"/>
  </r>
  <r>
    <n v="326"/>
    <x v="1"/>
    <x v="45"/>
    <n v="2004"/>
    <n v="8"/>
    <x v="2"/>
    <n v="89"/>
    <n v="268.67182931807514"/>
    <n v="23911.792809308688"/>
  </r>
  <r>
    <n v="327"/>
    <x v="6"/>
    <x v="84"/>
    <n v="2006"/>
    <n v="10"/>
    <x v="0"/>
    <n v="7"/>
    <n v="22.668540241379059"/>
    <n v="158.67978168965342"/>
  </r>
  <r>
    <n v="328"/>
    <x v="1"/>
    <x v="77"/>
    <n v="2004"/>
    <n v="7"/>
    <x v="1"/>
    <n v="68"/>
    <n v="205.75644454699685"/>
    <n v="13991.438229195786"/>
  </r>
  <r>
    <n v="329"/>
    <x v="6"/>
    <x v="85"/>
    <n v="2005"/>
    <n v="10"/>
    <x v="3"/>
    <n v="38"/>
    <n v="116.14288251700734"/>
    <n v="4413.429535646279"/>
  </r>
  <r>
    <n v="330"/>
    <x v="8"/>
    <x v="97"/>
    <n v="2004"/>
    <n v="1"/>
    <x v="3"/>
    <n v="90"/>
    <n v="271.3332095451583"/>
    <n v="24419.988859064248"/>
  </r>
  <r>
    <n v="331"/>
    <x v="8"/>
    <x v="45"/>
    <n v="2004"/>
    <n v="8"/>
    <x v="3"/>
    <n v="10"/>
    <n v="31.740063454597557"/>
    <n v="317.40063454597555"/>
  </r>
  <r>
    <n v="332"/>
    <x v="5"/>
    <x v="79"/>
    <n v="2006"/>
    <n v="11"/>
    <x v="1"/>
    <n v="13"/>
    <n v="40.182824201163783"/>
    <n v="522.37671461512923"/>
  </r>
  <r>
    <n v="333"/>
    <x v="7"/>
    <x v="4"/>
    <n v="2004"/>
    <n v="6"/>
    <x v="0"/>
    <n v="68"/>
    <n v="206.37862292228638"/>
    <n v="14033.746358715474"/>
  </r>
  <r>
    <n v="334"/>
    <x v="3"/>
    <x v="38"/>
    <n v="2004"/>
    <n v="6"/>
    <x v="1"/>
    <n v="40"/>
    <n v="122.17079112578179"/>
    <n v="4886.8316450312714"/>
  </r>
  <r>
    <n v="335"/>
    <x v="7"/>
    <x v="98"/>
    <n v="2005"/>
    <n v="6"/>
    <x v="1"/>
    <n v="17"/>
    <n v="52.575815801836917"/>
    <n v="893.78886863122761"/>
  </r>
  <r>
    <n v="336"/>
    <x v="5"/>
    <x v="10"/>
    <n v="2004"/>
    <n v="11"/>
    <x v="1"/>
    <n v="6"/>
    <n v="19.233532374060513"/>
    <n v="115.40119424436307"/>
  </r>
  <r>
    <n v="337"/>
    <x v="5"/>
    <x v="46"/>
    <n v="2006"/>
    <n v="5"/>
    <x v="1"/>
    <n v="27"/>
    <n v="83.786086457485794"/>
    <n v="2262.2243343521163"/>
  </r>
  <r>
    <n v="338"/>
    <x v="3"/>
    <x v="73"/>
    <n v="2006"/>
    <n v="7"/>
    <x v="1"/>
    <n v="80"/>
    <n v="242.1940649977725"/>
    <n v="19375.525199821801"/>
  </r>
  <r>
    <n v="339"/>
    <x v="4"/>
    <x v="45"/>
    <n v="2004"/>
    <n v="8"/>
    <x v="4"/>
    <n v="-1"/>
    <n v="-0.92679798413568193"/>
    <n v="0.92679798413568193"/>
  </r>
  <r>
    <n v="340"/>
    <x v="1"/>
    <x v="28"/>
    <n v="2006"/>
    <n v="3"/>
    <x v="4"/>
    <n v="89"/>
    <n v="269.26351673512869"/>
    <n v="23964.452989426452"/>
  </r>
  <r>
    <n v="341"/>
    <x v="1"/>
    <x v="55"/>
    <n v="2005"/>
    <n v="3"/>
    <x v="3"/>
    <n v="21"/>
    <n v="65.224154633884041"/>
    <n v="1369.707247311565"/>
  </r>
  <r>
    <n v="342"/>
    <x v="5"/>
    <x v="7"/>
    <n v="2006"/>
    <n v="12"/>
    <x v="0"/>
    <n v="37"/>
    <n v="113.11652988941213"/>
    <n v="4185.3116059082486"/>
  </r>
  <r>
    <n v="343"/>
    <x v="4"/>
    <x v="54"/>
    <n v="2005"/>
    <n v="2"/>
    <x v="2"/>
    <n v="15"/>
    <n v="46.637898863261832"/>
    <n v="699.56848294892745"/>
  </r>
  <r>
    <n v="344"/>
    <x v="2"/>
    <x v="64"/>
    <n v="2004"/>
    <n v="5"/>
    <x v="4"/>
    <n v="94"/>
    <n v="283.62009758002927"/>
    <n v="26660.289172522753"/>
  </r>
  <r>
    <n v="345"/>
    <x v="8"/>
    <x v="95"/>
    <n v="2005"/>
    <n v="7"/>
    <x v="4"/>
    <n v="85"/>
    <n v="257.28530472715238"/>
    <n v="21869.250901807951"/>
  </r>
  <r>
    <n v="346"/>
    <x v="4"/>
    <x v="11"/>
    <n v="2004"/>
    <n v="11"/>
    <x v="0"/>
    <n v="95"/>
    <n v="286.86402627293558"/>
    <n v="27252.08249592888"/>
  </r>
  <r>
    <n v="347"/>
    <x v="6"/>
    <x v="40"/>
    <n v="2005"/>
    <n v="5"/>
    <x v="2"/>
    <n v="25"/>
    <n v="76.368933708358369"/>
    <n v="1909.2233427089593"/>
  </r>
  <r>
    <n v="348"/>
    <x v="1"/>
    <x v="91"/>
    <n v="2006"/>
    <n v="4"/>
    <x v="4"/>
    <n v="69"/>
    <n v="208.60710544458851"/>
    <n v="14393.890275676607"/>
  </r>
  <r>
    <n v="349"/>
    <x v="7"/>
    <x v="12"/>
    <n v="2005"/>
    <n v="8"/>
    <x v="1"/>
    <n v="72"/>
    <n v="218.66914833137886"/>
    <n v="15744.178679859278"/>
  </r>
  <r>
    <n v="350"/>
    <x v="3"/>
    <x v="75"/>
    <n v="2006"/>
    <n v="2"/>
    <x v="2"/>
    <n v="-4"/>
    <n v="-9.5040489301123898"/>
    <n v="38.016195720449559"/>
  </r>
  <r>
    <n v="351"/>
    <x v="4"/>
    <x v="51"/>
    <n v="2005"/>
    <n v="6"/>
    <x v="2"/>
    <n v="21"/>
    <n v="64.847838929147329"/>
    <n v="1361.804617512094"/>
  </r>
  <r>
    <n v="352"/>
    <x v="4"/>
    <x v="94"/>
    <n v="2005"/>
    <n v="1"/>
    <x v="3"/>
    <n v="85"/>
    <n v="256.96799909003533"/>
    <n v="21842.279922653004"/>
  </r>
  <r>
    <n v="353"/>
    <x v="6"/>
    <x v="27"/>
    <n v="2005"/>
    <n v="9"/>
    <x v="3"/>
    <n v="85"/>
    <n v="257.09598807037378"/>
    <n v="21853.158985981772"/>
  </r>
  <r>
    <n v="354"/>
    <x v="2"/>
    <x v="85"/>
    <n v="2005"/>
    <n v="10"/>
    <x v="0"/>
    <n v="79"/>
    <n v="239.75589662492749"/>
    <n v="18940.715833369271"/>
  </r>
  <r>
    <n v="355"/>
    <x v="7"/>
    <x v="29"/>
    <n v="2006"/>
    <n v="9"/>
    <x v="0"/>
    <n v="81"/>
    <n v="245.01127594931819"/>
    <n v="19845.913351894775"/>
  </r>
  <r>
    <n v="356"/>
    <x v="2"/>
    <x v="93"/>
    <n v="2006"/>
    <n v="8"/>
    <x v="3"/>
    <n v="76"/>
    <n v="229.57757100656295"/>
    <n v="17447.895396498785"/>
  </r>
  <r>
    <n v="357"/>
    <x v="2"/>
    <x v="41"/>
    <n v="2005"/>
    <n v="6"/>
    <x v="0"/>
    <n v="31"/>
    <n v="95.411837871052697"/>
    <n v="2957.7669740026336"/>
  </r>
  <r>
    <n v="358"/>
    <x v="3"/>
    <x v="24"/>
    <n v="2005"/>
    <n v="9"/>
    <x v="3"/>
    <n v="44"/>
    <n v="133.84155746359221"/>
    <n v="5889.0285283980575"/>
  </r>
  <r>
    <n v="359"/>
    <x v="0"/>
    <x v="7"/>
    <n v="2006"/>
    <n v="12"/>
    <x v="2"/>
    <n v="44"/>
    <n v="133.90724137081764"/>
    <n v="5891.9186203159761"/>
  </r>
  <r>
    <n v="360"/>
    <x v="5"/>
    <x v="64"/>
    <n v="2004"/>
    <n v="5"/>
    <x v="4"/>
    <n v="70"/>
    <n v="211.68588054687572"/>
    <n v="14818.011638281301"/>
  </r>
  <r>
    <n v="361"/>
    <x v="5"/>
    <x v="10"/>
    <n v="2004"/>
    <n v="11"/>
    <x v="1"/>
    <n v="-4"/>
    <n v="-9.4531080152815825"/>
    <n v="37.81243206112633"/>
  </r>
  <r>
    <n v="362"/>
    <x v="7"/>
    <x v="26"/>
    <n v="2005"/>
    <n v="11"/>
    <x v="0"/>
    <n v="28"/>
    <n v="86.334638190049276"/>
    <n v="2417.3698693213796"/>
  </r>
  <r>
    <n v="363"/>
    <x v="2"/>
    <x v="84"/>
    <n v="2006"/>
    <n v="10"/>
    <x v="4"/>
    <n v="83"/>
    <n v="250.60923862889706"/>
    <n v="20800.566806198454"/>
  </r>
  <r>
    <n v="364"/>
    <x v="8"/>
    <x v="8"/>
    <n v="2006"/>
    <n v="7"/>
    <x v="0"/>
    <n v="46"/>
    <n v="140.47993678432567"/>
    <n v="6462.077092078981"/>
  </r>
  <r>
    <n v="365"/>
    <x v="7"/>
    <x v="3"/>
    <n v="2006"/>
    <n v="5"/>
    <x v="0"/>
    <n v="88"/>
    <n v="266.35125676130951"/>
    <n v="23438.910594995235"/>
  </r>
  <r>
    <n v="366"/>
    <x v="6"/>
    <x v="85"/>
    <n v="2005"/>
    <n v="10"/>
    <x v="0"/>
    <n v="-9"/>
    <n v="-24.537461299444743"/>
    <n v="220.83715169500269"/>
  </r>
  <r>
    <n v="367"/>
    <x v="1"/>
    <x v="39"/>
    <n v="2005"/>
    <n v="8"/>
    <x v="1"/>
    <n v="-8"/>
    <n v="-21.825357589950652"/>
    <n v="174.60286071960522"/>
  </r>
  <r>
    <n v="368"/>
    <x v="4"/>
    <x v="8"/>
    <n v="2006"/>
    <n v="7"/>
    <x v="1"/>
    <n v="37"/>
    <n v="113.0101592216552"/>
    <n v="4181.3758912012427"/>
  </r>
  <r>
    <n v="369"/>
    <x v="1"/>
    <x v="86"/>
    <n v="2004"/>
    <n v="2"/>
    <x v="1"/>
    <n v="20"/>
    <n v="61.67879282842005"/>
    <n v="1233.5758565684009"/>
  </r>
  <r>
    <n v="370"/>
    <x v="5"/>
    <x v="27"/>
    <n v="2005"/>
    <n v="9"/>
    <x v="0"/>
    <n v="2"/>
    <n v="7.7509272810830456"/>
    <n v="15.501854562166091"/>
  </r>
  <r>
    <n v="371"/>
    <x v="2"/>
    <x v="65"/>
    <n v="2005"/>
    <n v="8"/>
    <x v="3"/>
    <n v="36"/>
    <n v="110.59418125988078"/>
    <n v="3981.3905253557082"/>
  </r>
  <r>
    <n v="372"/>
    <x v="2"/>
    <x v="68"/>
    <n v="2005"/>
    <n v="10"/>
    <x v="4"/>
    <n v="34"/>
    <n v="103.88965096458593"/>
    <n v="3532.2481327959213"/>
  </r>
  <r>
    <n v="373"/>
    <x v="8"/>
    <x v="16"/>
    <n v="2006"/>
    <n v="4"/>
    <x v="3"/>
    <n v="84"/>
    <n v="253.89322061575038"/>
    <n v="21327.03053172303"/>
  </r>
  <r>
    <n v="374"/>
    <x v="1"/>
    <x v="63"/>
    <n v="2006"/>
    <n v="8"/>
    <x v="4"/>
    <n v="89"/>
    <n v="268.47594870423103"/>
    <n v="23894.35943467656"/>
  </r>
  <r>
    <n v="375"/>
    <x v="3"/>
    <x v="20"/>
    <n v="2006"/>
    <n v="2"/>
    <x v="0"/>
    <n v="31"/>
    <n v="95.680691267513808"/>
    <n v="2966.1014292929281"/>
  </r>
  <r>
    <n v="376"/>
    <x v="8"/>
    <x v="6"/>
    <n v="2004"/>
    <n v="3"/>
    <x v="0"/>
    <n v="7"/>
    <n v="22.545863255239365"/>
    <n v="157.82104278667555"/>
  </r>
  <r>
    <n v="377"/>
    <x v="1"/>
    <x v="36"/>
    <n v="2004"/>
    <n v="2"/>
    <x v="0"/>
    <n v="7"/>
    <n v="22.939193343037168"/>
    <n v="160.57435340126017"/>
  </r>
  <r>
    <n v="378"/>
    <x v="6"/>
    <x v="34"/>
    <n v="2006"/>
    <n v="2"/>
    <x v="3"/>
    <n v="76"/>
    <n v="229.89259006043184"/>
    <n v="17471.836844592821"/>
  </r>
  <r>
    <n v="379"/>
    <x v="3"/>
    <x v="96"/>
    <n v="2004"/>
    <n v="7"/>
    <x v="1"/>
    <n v="6"/>
    <n v="19.561017308486775"/>
    <n v="117.36610385092065"/>
  </r>
  <r>
    <n v="380"/>
    <x v="5"/>
    <x v="25"/>
    <n v="2006"/>
    <n v="10"/>
    <x v="0"/>
    <n v="43"/>
    <n v="130.28590210776713"/>
    <n v="5602.2937906339866"/>
  </r>
  <r>
    <n v="381"/>
    <x v="8"/>
    <x v="53"/>
    <n v="2004"/>
    <n v="1"/>
    <x v="4"/>
    <n v="20"/>
    <n v="62.18277208256027"/>
    <n v="1243.6554416512054"/>
  </r>
  <r>
    <n v="382"/>
    <x v="3"/>
    <x v="70"/>
    <n v="2006"/>
    <n v="3"/>
    <x v="2"/>
    <n v="11"/>
    <n v="35.076818705440886"/>
    <n v="385.84500575984976"/>
  </r>
  <r>
    <n v="383"/>
    <x v="7"/>
    <x v="51"/>
    <n v="2005"/>
    <n v="6"/>
    <x v="3"/>
    <n v="35"/>
    <n v="107.05323824700537"/>
    <n v="3746.8633386451879"/>
  </r>
  <r>
    <n v="384"/>
    <x v="6"/>
    <x v="70"/>
    <n v="2006"/>
    <n v="3"/>
    <x v="1"/>
    <n v="72"/>
    <n v="218.15023917907857"/>
    <n v="15706.817220893658"/>
  </r>
  <r>
    <n v="385"/>
    <x v="8"/>
    <x v="64"/>
    <n v="2004"/>
    <n v="5"/>
    <x v="1"/>
    <n v="49"/>
    <n v="148.92692975074797"/>
    <n v="7297.4195577866503"/>
  </r>
  <r>
    <n v="386"/>
    <x v="7"/>
    <x v="52"/>
    <n v="2006"/>
    <n v="3"/>
    <x v="1"/>
    <n v="88"/>
    <n v="266.64631383797939"/>
    <n v="23464.875617742186"/>
  </r>
  <r>
    <n v="387"/>
    <x v="2"/>
    <x v="28"/>
    <n v="2006"/>
    <n v="3"/>
    <x v="1"/>
    <n v="45"/>
    <n v="136.00734165157533"/>
    <n v="6120.3303743208899"/>
  </r>
  <r>
    <n v="388"/>
    <x v="2"/>
    <x v="6"/>
    <n v="2004"/>
    <n v="3"/>
    <x v="0"/>
    <n v="37"/>
    <n v="112.92900415721101"/>
    <n v="4178.3731538168076"/>
  </r>
  <r>
    <n v="389"/>
    <x v="4"/>
    <x v="37"/>
    <n v="2005"/>
    <n v="4"/>
    <x v="0"/>
    <n v="12"/>
    <n v="38.618337900456311"/>
    <n v="463.42005480547573"/>
  </r>
  <r>
    <n v="390"/>
    <x v="7"/>
    <x v="83"/>
    <n v="2004"/>
    <n v="5"/>
    <x v="4"/>
    <n v="18"/>
    <n v="55.932067779481031"/>
    <n v="1006.7772200306586"/>
  </r>
  <r>
    <n v="391"/>
    <x v="1"/>
    <x v="67"/>
    <n v="2006"/>
    <n v="1"/>
    <x v="0"/>
    <n v="75"/>
    <n v="226.99796556311475"/>
    <n v="17024.847417233606"/>
  </r>
  <r>
    <n v="392"/>
    <x v="7"/>
    <x v="2"/>
    <n v="2005"/>
    <n v="2"/>
    <x v="1"/>
    <n v="8"/>
    <n v="26.314204821327241"/>
    <n v="210.51363857061793"/>
  </r>
  <r>
    <n v="393"/>
    <x v="0"/>
    <x v="0"/>
    <n v="2004"/>
    <n v="4"/>
    <x v="0"/>
    <n v="37"/>
    <n v="112.53534248627696"/>
    <n v="4163.8076719922474"/>
  </r>
  <r>
    <n v="394"/>
    <x v="2"/>
    <x v="50"/>
    <n v="2004"/>
    <n v="12"/>
    <x v="0"/>
    <n v="-6"/>
    <n v="-16.412365818215765"/>
    <n v="98.474194909294596"/>
  </r>
  <r>
    <n v="395"/>
    <x v="0"/>
    <x v="83"/>
    <n v="2004"/>
    <n v="5"/>
    <x v="2"/>
    <n v="56"/>
    <n v="169.27515470165261"/>
    <n v="9479.4086632925464"/>
  </r>
  <r>
    <n v="396"/>
    <x v="7"/>
    <x v="90"/>
    <n v="2004"/>
    <n v="12"/>
    <x v="3"/>
    <n v="53"/>
    <n v="161.32546557795675"/>
    <n v="8550.2496756317069"/>
  </r>
  <r>
    <n v="397"/>
    <x v="5"/>
    <x v="64"/>
    <n v="2004"/>
    <n v="5"/>
    <x v="0"/>
    <n v="62"/>
    <n v="187.71993550398903"/>
    <n v="11638.63600124732"/>
  </r>
  <r>
    <n v="398"/>
    <x v="2"/>
    <x v="55"/>
    <n v="2005"/>
    <n v="3"/>
    <x v="4"/>
    <n v="90"/>
    <n v="271.30519777626336"/>
    <n v="24417.467799863702"/>
  </r>
  <r>
    <n v="399"/>
    <x v="2"/>
    <x v="53"/>
    <n v="2004"/>
    <n v="1"/>
    <x v="3"/>
    <n v="30"/>
    <n v="92.293324121451917"/>
    <n v="2768.7997236435576"/>
  </r>
  <r>
    <n v="400"/>
    <x v="4"/>
    <x v="54"/>
    <n v="2005"/>
    <n v="2"/>
    <x v="1"/>
    <n v="36"/>
    <n v="110.39391248869612"/>
    <n v="3974.18084959306"/>
  </r>
  <r>
    <n v="401"/>
    <x v="5"/>
    <x v="33"/>
    <n v="2005"/>
    <n v="3"/>
    <x v="3"/>
    <n v="76"/>
    <n v="230.11911772178482"/>
    <n v="17489.052946855645"/>
  </r>
  <r>
    <n v="402"/>
    <x v="6"/>
    <x v="37"/>
    <n v="2005"/>
    <n v="4"/>
    <x v="0"/>
    <n v="-4"/>
    <n v="-10.045852408088738"/>
    <n v="40.183409632354952"/>
  </r>
  <r>
    <n v="403"/>
    <x v="4"/>
    <x v="90"/>
    <n v="2004"/>
    <n v="12"/>
    <x v="2"/>
    <n v="26"/>
    <n v="80.067286712333498"/>
    <n v="2081.749454520671"/>
  </r>
  <r>
    <n v="404"/>
    <x v="5"/>
    <x v="69"/>
    <n v="2005"/>
    <n v="5"/>
    <x v="0"/>
    <n v="-5"/>
    <n v="-12.799843018696107"/>
    <n v="63.999215093480537"/>
  </r>
  <r>
    <n v="405"/>
    <x v="3"/>
    <x v="88"/>
    <n v="2004"/>
    <n v="5"/>
    <x v="1"/>
    <n v="44"/>
    <n v="133.92031416884828"/>
    <n v="5892.493823429324"/>
  </r>
  <r>
    <n v="406"/>
    <x v="4"/>
    <x v="59"/>
    <n v="2004"/>
    <n v="2"/>
    <x v="4"/>
    <n v="91"/>
    <n v="274.81127367201924"/>
    <n v="25007.825904153749"/>
  </r>
  <r>
    <n v="407"/>
    <x v="6"/>
    <x v="1"/>
    <n v="2004"/>
    <n v="3"/>
    <x v="0"/>
    <n v="78"/>
    <n v="235.98595343131922"/>
    <n v="18406.904367642899"/>
  </r>
  <r>
    <n v="408"/>
    <x v="7"/>
    <x v="3"/>
    <n v="2006"/>
    <n v="5"/>
    <x v="0"/>
    <n v="69"/>
    <n v="208.58962786585158"/>
    <n v="14392.684322743758"/>
  </r>
  <r>
    <n v="409"/>
    <x v="0"/>
    <x v="81"/>
    <n v="2004"/>
    <n v="10"/>
    <x v="4"/>
    <n v="74"/>
    <n v="224.0430547727791"/>
    <n v="16579.186053185655"/>
  </r>
  <r>
    <n v="410"/>
    <x v="3"/>
    <x v="57"/>
    <n v="2005"/>
    <n v="7"/>
    <x v="1"/>
    <n v="71"/>
    <n v="215.12402518996404"/>
    <n v="15273.805788487447"/>
  </r>
  <r>
    <n v="411"/>
    <x v="0"/>
    <x v="29"/>
    <n v="2006"/>
    <n v="9"/>
    <x v="2"/>
    <n v="34"/>
    <n v="103.84939593855748"/>
    <n v="3530.8794619109544"/>
  </r>
  <r>
    <n v="412"/>
    <x v="7"/>
    <x v="98"/>
    <n v="2005"/>
    <n v="6"/>
    <x v="4"/>
    <n v="93"/>
    <n v="281.17054419951137"/>
    <n v="26148.860610554559"/>
  </r>
  <r>
    <n v="413"/>
    <x v="1"/>
    <x v="2"/>
    <n v="2005"/>
    <n v="2"/>
    <x v="1"/>
    <n v="60"/>
    <n v="182.60959965033061"/>
    <n v="10956.575979019837"/>
  </r>
  <r>
    <n v="414"/>
    <x v="8"/>
    <x v="74"/>
    <n v="2004"/>
    <n v="4"/>
    <x v="1"/>
    <n v="37"/>
    <n v="112.43397722732024"/>
    <n v="4160.057157410849"/>
  </r>
  <r>
    <n v="415"/>
    <x v="7"/>
    <x v="43"/>
    <n v="2004"/>
    <n v="6"/>
    <x v="3"/>
    <n v="26"/>
    <n v="79.913804333123736"/>
    <n v="2077.758912661217"/>
  </r>
  <r>
    <n v="416"/>
    <x v="3"/>
    <x v="32"/>
    <n v="2005"/>
    <n v="7"/>
    <x v="3"/>
    <n v="2"/>
    <n v="8.5397555339606015"/>
    <n v="17.079511067921203"/>
  </r>
  <r>
    <n v="417"/>
    <x v="5"/>
    <x v="68"/>
    <n v="2005"/>
    <n v="10"/>
    <x v="1"/>
    <n v="-9"/>
    <n v="-25.920453761182117"/>
    <n v="233.28408385063904"/>
  </r>
  <r>
    <n v="418"/>
    <x v="0"/>
    <x v="34"/>
    <n v="2006"/>
    <n v="2"/>
    <x v="1"/>
    <n v="46"/>
    <n v="139.68753059266518"/>
    <n v="6425.6264072625981"/>
  </r>
  <r>
    <n v="419"/>
    <x v="5"/>
    <x v="1"/>
    <n v="2004"/>
    <n v="3"/>
    <x v="4"/>
    <n v="0"/>
    <n v="2.3470477551262947"/>
    <n v="0"/>
  </r>
  <r>
    <n v="420"/>
    <x v="1"/>
    <x v="10"/>
    <n v="2004"/>
    <n v="11"/>
    <x v="1"/>
    <n v="79"/>
    <n v="239.2208514522392"/>
    <n v="18898.447264726896"/>
  </r>
  <r>
    <n v="421"/>
    <x v="2"/>
    <x v="94"/>
    <n v="2005"/>
    <n v="1"/>
    <x v="1"/>
    <n v="48"/>
    <n v="146.50697859164157"/>
    <n v="7032.3349723987958"/>
  </r>
  <r>
    <n v="422"/>
    <x v="3"/>
    <x v="67"/>
    <n v="2006"/>
    <n v="1"/>
    <x v="3"/>
    <n v="77"/>
    <n v="233.0800910699262"/>
    <n v="17947.167012384318"/>
  </r>
  <r>
    <n v="423"/>
    <x v="7"/>
    <x v="75"/>
    <n v="2006"/>
    <n v="2"/>
    <x v="1"/>
    <n v="-10"/>
    <n v="-26.967932789902449"/>
    <n v="269.67932789902449"/>
  </r>
  <r>
    <n v="424"/>
    <x v="0"/>
    <x v="39"/>
    <n v="2005"/>
    <n v="8"/>
    <x v="2"/>
    <n v="45"/>
    <n v="137.23163667167327"/>
    <n v="6175.423650225297"/>
  </r>
  <r>
    <n v="425"/>
    <x v="4"/>
    <x v="49"/>
    <n v="2005"/>
    <n v="1"/>
    <x v="1"/>
    <n v="17"/>
    <n v="53.565793196028118"/>
    <n v="910.61848433247803"/>
  </r>
  <r>
    <n v="426"/>
    <x v="7"/>
    <x v="65"/>
    <n v="2005"/>
    <n v="8"/>
    <x v="3"/>
    <n v="-4"/>
    <n v="-10.36408331456853"/>
    <n v="41.456333258274121"/>
  </r>
  <r>
    <n v="427"/>
    <x v="3"/>
    <x v="7"/>
    <n v="2006"/>
    <n v="12"/>
    <x v="4"/>
    <n v="43"/>
    <n v="130.80350038976189"/>
    <n v="5624.5505167597612"/>
  </r>
  <r>
    <n v="428"/>
    <x v="4"/>
    <x v="71"/>
    <n v="2004"/>
    <n v="10"/>
    <x v="3"/>
    <n v="41"/>
    <n v="125.18937528559893"/>
    <n v="5132.7643867095558"/>
  </r>
  <r>
    <n v="429"/>
    <x v="7"/>
    <x v="35"/>
    <n v="2006"/>
    <n v="6"/>
    <x v="2"/>
    <n v="-4"/>
    <n v="-9.8762446340450722"/>
    <n v="39.504978536180289"/>
  </r>
  <r>
    <n v="430"/>
    <x v="6"/>
    <x v="31"/>
    <n v="2004"/>
    <n v="9"/>
    <x v="1"/>
    <n v="6"/>
    <n v="20.388215317654449"/>
    <n v="122.32929190592669"/>
  </r>
  <r>
    <n v="431"/>
    <x v="2"/>
    <x v="46"/>
    <n v="2006"/>
    <n v="5"/>
    <x v="1"/>
    <n v="8"/>
    <n v="25.124465791488021"/>
    <n v="200.99572633190417"/>
  </r>
  <r>
    <n v="432"/>
    <x v="1"/>
    <x v="77"/>
    <n v="2004"/>
    <n v="7"/>
    <x v="3"/>
    <n v="43"/>
    <n v="131.20326238549768"/>
    <n v="5641.7402825764002"/>
  </r>
  <r>
    <n v="433"/>
    <x v="0"/>
    <x v="38"/>
    <n v="2004"/>
    <n v="6"/>
    <x v="3"/>
    <n v="47"/>
    <n v="142.67305731753257"/>
    <n v="6705.6336939240309"/>
  </r>
  <r>
    <n v="434"/>
    <x v="1"/>
    <x v="63"/>
    <n v="2006"/>
    <n v="8"/>
    <x v="0"/>
    <n v="13"/>
    <n v="41.344467136527072"/>
    <n v="537.47807277485197"/>
  </r>
  <r>
    <n v="435"/>
    <x v="7"/>
    <x v="20"/>
    <n v="2006"/>
    <n v="2"/>
    <x v="1"/>
    <n v="9"/>
    <n v="28.804240494297932"/>
    <n v="259.2381644486814"/>
  </r>
  <r>
    <n v="436"/>
    <x v="0"/>
    <x v="86"/>
    <n v="2004"/>
    <n v="2"/>
    <x v="3"/>
    <n v="22"/>
    <n v="67.510047922862512"/>
    <n v="1485.2210543029753"/>
  </r>
  <r>
    <n v="437"/>
    <x v="3"/>
    <x v="70"/>
    <n v="2006"/>
    <n v="3"/>
    <x v="3"/>
    <n v="87"/>
    <n v="263.06877286650899"/>
    <n v="22886.983239386282"/>
  </r>
  <r>
    <n v="438"/>
    <x v="5"/>
    <x v="25"/>
    <n v="2006"/>
    <n v="10"/>
    <x v="1"/>
    <n v="15"/>
    <n v="46.297252141958666"/>
    <n v="694.45878212937998"/>
  </r>
  <r>
    <n v="439"/>
    <x v="8"/>
    <x v="25"/>
    <n v="2006"/>
    <n v="10"/>
    <x v="3"/>
    <n v="27"/>
    <n v="83.407614775333784"/>
    <n v="2252.0055989340121"/>
  </r>
  <r>
    <n v="440"/>
    <x v="4"/>
    <x v="16"/>
    <n v="2006"/>
    <n v="4"/>
    <x v="2"/>
    <n v="78"/>
    <n v="236.44426202228297"/>
    <n v="18442.65243773807"/>
  </r>
  <r>
    <n v="441"/>
    <x v="8"/>
    <x v="61"/>
    <n v="2005"/>
    <n v="3"/>
    <x v="4"/>
    <n v="27"/>
    <n v="82.997777309268898"/>
    <n v="2240.9399873502603"/>
  </r>
  <r>
    <n v="442"/>
    <x v="8"/>
    <x v="97"/>
    <n v="2004"/>
    <n v="1"/>
    <x v="1"/>
    <n v="19"/>
    <n v="59.621865554565929"/>
    <n v="1132.8154455367526"/>
  </r>
  <r>
    <n v="443"/>
    <x v="2"/>
    <x v="59"/>
    <n v="2004"/>
    <n v="2"/>
    <x v="4"/>
    <n v="0"/>
    <n v="2.3705199513077329"/>
    <n v="0"/>
  </r>
  <r>
    <n v="444"/>
    <x v="0"/>
    <x v="90"/>
    <n v="2004"/>
    <n v="12"/>
    <x v="3"/>
    <n v="30"/>
    <n v="91.969621588308584"/>
    <n v="2759.0886476492574"/>
  </r>
  <r>
    <n v="445"/>
    <x v="5"/>
    <x v="9"/>
    <n v="2006"/>
    <n v="8"/>
    <x v="2"/>
    <n v="17"/>
    <n v="52.938579538531904"/>
    <n v="899.95585215504241"/>
  </r>
  <r>
    <n v="446"/>
    <x v="1"/>
    <x v="98"/>
    <n v="2005"/>
    <n v="6"/>
    <x v="0"/>
    <n v="36"/>
    <n v="109.95144430067725"/>
    <n v="3958.2519948243812"/>
  </r>
  <r>
    <n v="447"/>
    <x v="1"/>
    <x v="67"/>
    <n v="2006"/>
    <n v="1"/>
    <x v="1"/>
    <n v="-4"/>
    <n v="-10.242938195130456"/>
    <n v="40.971752780521825"/>
  </r>
  <r>
    <n v="448"/>
    <x v="8"/>
    <x v="53"/>
    <n v="2004"/>
    <n v="1"/>
    <x v="4"/>
    <n v="4"/>
    <n v="14.170380845910964"/>
    <n v="56.681523383643857"/>
  </r>
  <r>
    <n v="449"/>
    <x v="2"/>
    <x v="38"/>
    <n v="2004"/>
    <n v="6"/>
    <x v="3"/>
    <n v="81"/>
    <n v="244.97499865385612"/>
    <n v="19842.974890962345"/>
  </r>
  <r>
    <n v="450"/>
    <x v="5"/>
    <x v="50"/>
    <n v="2004"/>
    <n v="12"/>
    <x v="3"/>
    <n v="87"/>
    <n v="263.83037846281559"/>
    <n v="22953.242926264957"/>
  </r>
  <r>
    <n v="451"/>
    <x v="0"/>
    <x v="36"/>
    <n v="2004"/>
    <n v="2"/>
    <x v="3"/>
    <n v="13"/>
    <n v="40.507831778483222"/>
    <n v="526.60181312028192"/>
  </r>
  <r>
    <n v="452"/>
    <x v="3"/>
    <x v="88"/>
    <n v="2004"/>
    <n v="5"/>
    <x v="0"/>
    <n v="48"/>
    <n v="145.84691044279441"/>
    <n v="7000.6517012541317"/>
  </r>
  <r>
    <n v="453"/>
    <x v="0"/>
    <x v="68"/>
    <n v="2005"/>
    <n v="10"/>
    <x v="2"/>
    <n v="2"/>
    <n v="7.0981331873476012"/>
    <n v="14.196266374695202"/>
  </r>
  <r>
    <n v="454"/>
    <x v="7"/>
    <x v="4"/>
    <n v="2004"/>
    <n v="6"/>
    <x v="0"/>
    <n v="32"/>
    <n v="98.366647965700452"/>
    <n v="3147.7327349024144"/>
  </r>
  <r>
    <n v="455"/>
    <x v="2"/>
    <x v="12"/>
    <n v="2005"/>
    <n v="8"/>
    <x v="0"/>
    <n v="13"/>
    <n v="41.16877365274803"/>
    <n v="535.19405748572444"/>
  </r>
  <r>
    <n v="456"/>
    <x v="8"/>
    <x v="58"/>
    <n v="2006"/>
    <n v="10"/>
    <x v="4"/>
    <n v="94"/>
    <n v="283.45251417423401"/>
    <n v="26644.536332377997"/>
  </r>
  <r>
    <n v="457"/>
    <x v="7"/>
    <x v="52"/>
    <n v="2006"/>
    <n v="3"/>
    <x v="4"/>
    <n v="63"/>
    <n v="190.83724952198969"/>
    <n v="12022.74671988535"/>
  </r>
  <r>
    <n v="458"/>
    <x v="3"/>
    <x v="62"/>
    <n v="2006"/>
    <n v="6"/>
    <x v="1"/>
    <n v="45"/>
    <n v="136.97942653814263"/>
    <n v="6164.0741942164186"/>
  </r>
  <r>
    <n v="459"/>
    <x v="4"/>
    <x v="37"/>
    <n v="2005"/>
    <n v="4"/>
    <x v="4"/>
    <n v="71"/>
    <n v="214.76898776471646"/>
    <n v="15248.598131294868"/>
  </r>
  <r>
    <n v="460"/>
    <x v="4"/>
    <x v="74"/>
    <n v="2004"/>
    <n v="4"/>
    <x v="4"/>
    <n v="74"/>
    <n v="224.18238847872837"/>
    <n v="16589.496747425899"/>
  </r>
  <r>
    <n v="461"/>
    <x v="2"/>
    <x v="97"/>
    <n v="2004"/>
    <n v="1"/>
    <x v="4"/>
    <n v="48"/>
    <n v="145.64951342948135"/>
    <n v="6991.176644615105"/>
  </r>
  <r>
    <n v="462"/>
    <x v="5"/>
    <x v="86"/>
    <n v="2004"/>
    <n v="2"/>
    <x v="0"/>
    <n v="63"/>
    <n v="191.1884163928766"/>
    <n v="12044.870232751226"/>
  </r>
  <r>
    <n v="463"/>
    <x v="4"/>
    <x v="92"/>
    <n v="2005"/>
    <n v="4"/>
    <x v="0"/>
    <n v="48"/>
    <n v="145.69127497854927"/>
    <n v="6993.1811989703656"/>
  </r>
  <r>
    <n v="464"/>
    <x v="1"/>
    <x v="93"/>
    <n v="2006"/>
    <n v="8"/>
    <x v="4"/>
    <n v="26"/>
    <n v="80.6144268681997"/>
    <n v="2095.9750985731921"/>
  </r>
  <r>
    <n v="465"/>
    <x v="2"/>
    <x v="62"/>
    <n v="2006"/>
    <n v="6"/>
    <x v="3"/>
    <n v="58"/>
    <n v="176.26520049915879"/>
    <n v="10223.381628951211"/>
  </r>
  <r>
    <n v="466"/>
    <x v="3"/>
    <x v="75"/>
    <n v="2006"/>
    <n v="2"/>
    <x v="0"/>
    <n v="2"/>
    <n v="8.7479494068217463"/>
    <n v="17.495898813643493"/>
  </r>
  <r>
    <n v="467"/>
    <x v="4"/>
    <x v="9"/>
    <n v="2006"/>
    <n v="8"/>
    <x v="0"/>
    <n v="36"/>
    <n v="109.67661001591094"/>
    <n v="3948.3579605727937"/>
  </r>
  <r>
    <n v="468"/>
    <x v="8"/>
    <x v="51"/>
    <n v="2005"/>
    <n v="6"/>
    <x v="4"/>
    <n v="22"/>
    <n v="68.355074793823817"/>
    <n v="1503.811645464124"/>
  </r>
  <r>
    <n v="469"/>
    <x v="8"/>
    <x v="39"/>
    <n v="2005"/>
    <n v="8"/>
    <x v="0"/>
    <n v="92"/>
    <n v="277.66680522408262"/>
    <n v="25545.3460806156"/>
  </r>
  <r>
    <n v="470"/>
    <x v="0"/>
    <x v="71"/>
    <n v="2004"/>
    <n v="10"/>
    <x v="1"/>
    <n v="29"/>
    <n v="88.713589465763263"/>
    <n v="2572.6940945071347"/>
  </r>
  <r>
    <n v="471"/>
    <x v="2"/>
    <x v="84"/>
    <n v="2006"/>
    <n v="10"/>
    <x v="0"/>
    <n v="42"/>
    <n v="128.17075092766001"/>
    <n v="5383.1715389617202"/>
  </r>
  <r>
    <n v="472"/>
    <x v="5"/>
    <x v="74"/>
    <n v="2004"/>
    <n v="4"/>
    <x v="0"/>
    <n v="25"/>
    <n v="77.315706522508677"/>
    <n v="1932.892663062717"/>
  </r>
  <r>
    <n v="473"/>
    <x v="4"/>
    <x v="61"/>
    <n v="2005"/>
    <n v="3"/>
    <x v="1"/>
    <n v="40"/>
    <n v="122.53928167294391"/>
    <n v="4901.5712669177565"/>
  </r>
  <r>
    <n v="474"/>
    <x v="8"/>
    <x v="88"/>
    <n v="2004"/>
    <n v="5"/>
    <x v="0"/>
    <n v="3"/>
    <n v="10.570883063872969"/>
    <n v="31.712649191618908"/>
  </r>
  <r>
    <n v="475"/>
    <x v="0"/>
    <x v="95"/>
    <n v="2005"/>
    <n v="7"/>
    <x v="1"/>
    <n v="-1"/>
    <n v="-0.82178994105370951"/>
    <n v="0.82178994105370951"/>
  </r>
  <r>
    <n v="476"/>
    <x v="2"/>
    <x v="29"/>
    <n v="2006"/>
    <n v="9"/>
    <x v="1"/>
    <n v="12"/>
    <n v="37.686101056343105"/>
    <n v="452.23321267611726"/>
  </r>
  <r>
    <n v="477"/>
    <x v="8"/>
    <x v="4"/>
    <n v="2004"/>
    <n v="6"/>
    <x v="3"/>
    <n v="0"/>
    <n v="2.0013600167772623"/>
    <n v="0"/>
  </r>
  <r>
    <n v="478"/>
    <x v="1"/>
    <x v="75"/>
    <n v="2006"/>
    <n v="2"/>
    <x v="0"/>
    <n v="35"/>
    <n v="106.26347084870943"/>
    <n v="3719.22147970483"/>
  </r>
  <r>
    <n v="479"/>
    <x v="6"/>
    <x v="40"/>
    <n v="2005"/>
    <n v="5"/>
    <x v="1"/>
    <n v="2"/>
    <n v="7.6817477771075868"/>
    <n v="15.363495554215174"/>
  </r>
  <r>
    <n v="480"/>
    <x v="3"/>
    <x v="3"/>
    <n v="2006"/>
    <n v="5"/>
    <x v="2"/>
    <n v="10"/>
    <n v="31.785155418327982"/>
    <n v="317.8515541832798"/>
  </r>
  <r>
    <n v="481"/>
    <x v="7"/>
    <x v="85"/>
    <n v="2005"/>
    <n v="10"/>
    <x v="3"/>
    <n v="6"/>
    <n v="19.733545359470948"/>
    <n v="118.40127215682568"/>
  </r>
  <r>
    <n v="482"/>
    <x v="7"/>
    <x v="1"/>
    <n v="2004"/>
    <n v="3"/>
    <x v="0"/>
    <n v="4"/>
    <n v="14.10456917940213"/>
    <n v="56.418276717608521"/>
  </r>
  <r>
    <n v="483"/>
    <x v="8"/>
    <x v="84"/>
    <n v="2006"/>
    <n v="10"/>
    <x v="4"/>
    <n v="91"/>
    <n v="274.92032051274288"/>
    <n v="25017.749166659603"/>
  </r>
  <r>
    <n v="484"/>
    <x v="7"/>
    <x v="8"/>
    <n v="2006"/>
    <n v="7"/>
    <x v="0"/>
    <n v="12"/>
    <n v="37.877226411963186"/>
    <n v="454.5267169435582"/>
  </r>
  <r>
    <n v="485"/>
    <x v="3"/>
    <x v="22"/>
    <n v="2004"/>
    <n v="11"/>
    <x v="1"/>
    <n v="21"/>
    <n v="65.281423150866814"/>
    <n v="1370.909886168203"/>
  </r>
  <r>
    <n v="486"/>
    <x v="7"/>
    <x v="55"/>
    <n v="2005"/>
    <n v="3"/>
    <x v="4"/>
    <n v="44"/>
    <n v="134.31454889834902"/>
    <n v="5909.8401515273563"/>
  </r>
  <r>
    <n v="487"/>
    <x v="0"/>
    <x v="49"/>
    <n v="2005"/>
    <n v="1"/>
    <x v="3"/>
    <n v="75"/>
    <n v="227.09867242909783"/>
    <n v="17032.400432182338"/>
  </r>
  <r>
    <n v="488"/>
    <x v="0"/>
    <x v="87"/>
    <n v="2004"/>
    <n v="7"/>
    <x v="3"/>
    <n v="37"/>
    <n v="112.99692232382439"/>
    <n v="4180.8861259815021"/>
  </r>
  <r>
    <n v="489"/>
    <x v="3"/>
    <x v="73"/>
    <n v="2006"/>
    <n v="7"/>
    <x v="3"/>
    <n v="58"/>
    <n v="176.06598986452823"/>
    <n v="10211.827412142638"/>
  </r>
  <r>
    <n v="490"/>
    <x v="7"/>
    <x v="75"/>
    <n v="2006"/>
    <n v="2"/>
    <x v="3"/>
    <n v="74"/>
    <n v="223.60878513520231"/>
    <n v="16547.05010000497"/>
  </r>
  <r>
    <n v="491"/>
    <x v="1"/>
    <x v="38"/>
    <n v="2004"/>
    <n v="6"/>
    <x v="1"/>
    <n v="64"/>
    <n v="193.54947188165715"/>
    <n v="12387.166200426058"/>
  </r>
  <r>
    <n v="492"/>
    <x v="0"/>
    <x v="5"/>
    <n v="2005"/>
    <n v="11"/>
    <x v="2"/>
    <n v="53"/>
    <n v="160.46113209921771"/>
    <n v="8504.4400012585393"/>
  </r>
  <r>
    <n v="493"/>
    <x v="2"/>
    <x v="74"/>
    <n v="2004"/>
    <n v="4"/>
    <x v="3"/>
    <n v="-1"/>
    <n v="-0.45003305566648821"/>
    <n v="0.45003305566648821"/>
  </r>
  <r>
    <n v="494"/>
    <x v="2"/>
    <x v="52"/>
    <n v="2006"/>
    <n v="3"/>
    <x v="4"/>
    <n v="21"/>
    <n v="65.06546054796479"/>
    <n v="1366.3746715072607"/>
  </r>
  <r>
    <n v="495"/>
    <x v="7"/>
    <x v="34"/>
    <n v="2006"/>
    <n v="2"/>
    <x v="4"/>
    <n v="90"/>
    <n v="271.33770442615577"/>
    <n v="24420.393398354019"/>
  </r>
  <r>
    <n v="496"/>
    <x v="7"/>
    <x v="72"/>
    <n v="2005"/>
    <n v="10"/>
    <x v="2"/>
    <n v="61"/>
    <n v="184.82822454861244"/>
    <n v="11274.521697465359"/>
  </r>
  <r>
    <n v="497"/>
    <x v="0"/>
    <x v="69"/>
    <n v="2005"/>
    <n v="5"/>
    <x v="4"/>
    <n v="64"/>
    <n v="193.98125439867269"/>
    <n v="12414.800281515052"/>
  </r>
  <r>
    <n v="498"/>
    <x v="3"/>
    <x v="52"/>
    <n v="2006"/>
    <n v="3"/>
    <x v="3"/>
    <n v="79"/>
    <n v="238.60895261406517"/>
    <n v="18850.10725651115"/>
  </r>
  <r>
    <n v="499"/>
    <x v="3"/>
    <x v="46"/>
    <n v="2006"/>
    <n v="5"/>
    <x v="1"/>
    <n v="11"/>
    <n v="34.580350260479243"/>
    <n v="380.38385286527165"/>
  </r>
  <r>
    <n v="500"/>
    <x v="4"/>
    <x v="62"/>
    <n v="2006"/>
    <n v="6"/>
    <x v="4"/>
    <n v="17"/>
    <n v="52.992178326548526"/>
    <n v="900.867031551325"/>
  </r>
  <r>
    <n v="501"/>
    <x v="4"/>
    <x v="84"/>
    <n v="2006"/>
    <n v="10"/>
    <x v="0"/>
    <n v="-10"/>
    <n v="-28.507437864458012"/>
    <n v="285.07437864458012"/>
  </r>
  <r>
    <n v="502"/>
    <x v="5"/>
    <x v="88"/>
    <n v="2004"/>
    <n v="5"/>
    <x v="4"/>
    <n v="61"/>
    <n v="185.38151200169028"/>
    <n v="11308.272232103107"/>
  </r>
  <r>
    <n v="503"/>
    <x v="2"/>
    <x v="32"/>
    <n v="2005"/>
    <n v="7"/>
    <x v="3"/>
    <n v="81"/>
    <n v="245.19138414086007"/>
    <n v="19860.502115409665"/>
  </r>
  <r>
    <n v="504"/>
    <x v="4"/>
    <x v="50"/>
    <n v="2004"/>
    <n v="12"/>
    <x v="4"/>
    <n v="86"/>
    <n v="259.65061904974743"/>
    <n v="22329.953238278278"/>
  </r>
  <r>
    <n v="505"/>
    <x v="5"/>
    <x v="43"/>
    <n v="2004"/>
    <n v="6"/>
    <x v="3"/>
    <n v="-6"/>
    <n v="-16.598209454734359"/>
    <n v="99.589256728406156"/>
  </r>
  <r>
    <n v="506"/>
    <x v="7"/>
    <x v="24"/>
    <n v="2005"/>
    <n v="9"/>
    <x v="2"/>
    <n v="75"/>
    <n v="226.29108110625336"/>
    <n v="16971.831082969002"/>
  </r>
  <r>
    <n v="507"/>
    <x v="3"/>
    <x v="95"/>
    <n v="2005"/>
    <n v="7"/>
    <x v="4"/>
    <n v="87"/>
    <n v="262.49660177211871"/>
    <n v="22837.204354174326"/>
  </r>
  <r>
    <n v="508"/>
    <x v="8"/>
    <x v="48"/>
    <n v="2006"/>
    <n v="7"/>
    <x v="1"/>
    <n v="15"/>
    <n v="47.143262888260409"/>
    <n v="707.14894332390611"/>
  </r>
  <r>
    <n v="509"/>
    <x v="7"/>
    <x v="61"/>
    <n v="2005"/>
    <n v="3"/>
    <x v="2"/>
    <n v="6"/>
    <n v="20.042838163999704"/>
    <n v="120.25702898399823"/>
  </r>
  <r>
    <n v="510"/>
    <x v="3"/>
    <x v="86"/>
    <n v="2004"/>
    <n v="2"/>
    <x v="3"/>
    <n v="4"/>
    <n v="14.012285541104387"/>
    <n v="56.049142164417546"/>
  </r>
  <r>
    <n v="511"/>
    <x v="7"/>
    <x v="99"/>
    <n v="2006"/>
    <n v="4"/>
    <x v="3"/>
    <n v="56"/>
    <n v="169.24877716888537"/>
    <n v="9477.9315214575799"/>
  </r>
  <r>
    <n v="512"/>
    <x v="0"/>
    <x v="88"/>
    <n v="2004"/>
    <n v="5"/>
    <x v="1"/>
    <n v="76"/>
    <n v="230.1804612249874"/>
    <n v="17493.715053099044"/>
  </r>
  <r>
    <n v="513"/>
    <x v="1"/>
    <x v="32"/>
    <n v="2005"/>
    <n v="7"/>
    <x v="2"/>
    <n v="27"/>
    <n v="82.599143929902795"/>
    <n v="2230.1768861073756"/>
  </r>
  <r>
    <n v="514"/>
    <x v="0"/>
    <x v="60"/>
    <n v="2005"/>
    <n v="12"/>
    <x v="1"/>
    <n v="58"/>
    <n v="175.77181619024202"/>
    <n v="10194.765339034037"/>
  </r>
  <r>
    <n v="515"/>
    <x v="7"/>
    <x v="59"/>
    <n v="2004"/>
    <n v="2"/>
    <x v="2"/>
    <n v="67"/>
    <n v="202.62226122372601"/>
    <n v="13575.691501989642"/>
  </r>
  <r>
    <n v="516"/>
    <x v="4"/>
    <x v="27"/>
    <n v="2005"/>
    <n v="9"/>
    <x v="0"/>
    <n v="79"/>
    <n v="238.78594564649822"/>
    <n v="18864.089706073359"/>
  </r>
  <r>
    <n v="517"/>
    <x v="5"/>
    <x v="31"/>
    <n v="2004"/>
    <n v="9"/>
    <x v="4"/>
    <n v="38"/>
    <n v="116.68598743448534"/>
    <n v="4434.0675225104433"/>
  </r>
  <r>
    <n v="518"/>
    <x v="0"/>
    <x v="0"/>
    <n v="2004"/>
    <n v="4"/>
    <x v="4"/>
    <n v="4"/>
    <n v="13.641635237019504"/>
    <n v="54.566540948078014"/>
  </r>
  <r>
    <n v="519"/>
    <x v="3"/>
    <x v="70"/>
    <n v="2006"/>
    <n v="3"/>
    <x v="3"/>
    <n v="45"/>
    <n v="137.06873634212499"/>
    <n v="6168.0931353956248"/>
  </r>
  <r>
    <n v="520"/>
    <x v="0"/>
    <x v="83"/>
    <n v="2004"/>
    <n v="5"/>
    <x v="1"/>
    <n v="10"/>
    <n v="32.194899991771997"/>
    <n v="321.94899991771996"/>
  </r>
  <r>
    <n v="521"/>
    <x v="1"/>
    <x v="47"/>
    <n v="2005"/>
    <n v="11"/>
    <x v="1"/>
    <n v="86"/>
    <n v="260.39717870163332"/>
    <n v="22394.157368340464"/>
  </r>
  <r>
    <n v="522"/>
    <x v="8"/>
    <x v="46"/>
    <n v="2006"/>
    <n v="5"/>
    <x v="1"/>
    <n v="75"/>
    <n v="226.71443824204945"/>
    <n v="17003.58286815371"/>
  </r>
  <r>
    <n v="523"/>
    <x v="6"/>
    <x v="61"/>
    <n v="2005"/>
    <n v="3"/>
    <x v="3"/>
    <n v="77"/>
    <n v="232.49630521155086"/>
    <n v="17902.215501289415"/>
  </r>
  <r>
    <n v="524"/>
    <x v="6"/>
    <x v="6"/>
    <n v="2004"/>
    <n v="3"/>
    <x v="3"/>
    <n v="10"/>
    <n v="31.818132134554009"/>
    <n v="318.18132134554008"/>
  </r>
  <r>
    <n v="525"/>
    <x v="5"/>
    <x v="71"/>
    <n v="2004"/>
    <n v="10"/>
    <x v="1"/>
    <n v="62"/>
    <n v="188.38088235582651"/>
    <n v="11679.614706061244"/>
  </r>
  <r>
    <n v="526"/>
    <x v="0"/>
    <x v="97"/>
    <n v="2004"/>
    <n v="1"/>
    <x v="0"/>
    <n v="73"/>
    <n v="221.29214849175239"/>
    <n v="16154.326839897923"/>
  </r>
  <r>
    <n v="527"/>
    <x v="7"/>
    <x v="53"/>
    <n v="2004"/>
    <n v="1"/>
    <x v="1"/>
    <n v="62"/>
    <n v="187.23352558776915"/>
    <n v="11608.478586441688"/>
  </r>
  <r>
    <n v="528"/>
    <x v="3"/>
    <x v="35"/>
    <n v="2006"/>
    <n v="6"/>
    <x v="4"/>
    <n v="11"/>
    <n v="35.723241285873279"/>
    <n v="392.95565414460606"/>
  </r>
  <r>
    <n v="529"/>
    <x v="1"/>
    <x v="60"/>
    <n v="2005"/>
    <n v="12"/>
    <x v="4"/>
    <n v="28"/>
    <n v="86.078223340302799"/>
    <n v="2410.1902535284785"/>
  </r>
  <r>
    <n v="530"/>
    <x v="1"/>
    <x v="89"/>
    <n v="2004"/>
    <n v="8"/>
    <x v="4"/>
    <n v="57"/>
    <n v="172.3620870689609"/>
    <n v="9824.6389629307723"/>
  </r>
  <r>
    <n v="531"/>
    <x v="8"/>
    <x v="90"/>
    <n v="2004"/>
    <n v="12"/>
    <x v="3"/>
    <n v="34"/>
    <n v="103.4937406460938"/>
    <n v="3518.7871819671891"/>
  </r>
  <r>
    <n v="532"/>
    <x v="7"/>
    <x v="85"/>
    <n v="2005"/>
    <n v="10"/>
    <x v="3"/>
    <n v="89"/>
    <n v="267.86415015075153"/>
    <n v="23839.909363416886"/>
  </r>
  <r>
    <n v="533"/>
    <x v="1"/>
    <x v="19"/>
    <n v="2004"/>
    <n v="9"/>
    <x v="0"/>
    <n v="32"/>
    <n v="97.889348643674225"/>
    <n v="3132.4591565975752"/>
  </r>
  <r>
    <n v="534"/>
    <x v="3"/>
    <x v="66"/>
    <n v="2006"/>
    <n v="11"/>
    <x v="3"/>
    <n v="38"/>
    <n v="116.04458768996518"/>
    <n v="4409.6943322186771"/>
  </r>
  <r>
    <n v="535"/>
    <x v="5"/>
    <x v="65"/>
    <n v="2005"/>
    <n v="8"/>
    <x v="0"/>
    <n v="82"/>
    <n v="248.04707692390426"/>
    <n v="20339.860307760147"/>
  </r>
  <r>
    <n v="536"/>
    <x v="7"/>
    <x v="64"/>
    <n v="2004"/>
    <n v="5"/>
    <x v="1"/>
    <n v="29"/>
    <n v="89.294687359204545"/>
    <n v="2589.5459334169318"/>
  </r>
  <r>
    <n v="537"/>
    <x v="6"/>
    <x v="58"/>
    <n v="2006"/>
    <n v="10"/>
    <x v="2"/>
    <n v="17"/>
    <n v="52.246197330854876"/>
    <n v="888.18535462453292"/>
  </r>
  <r>
    <n v="538"/>
    <x v="1"/>
    <x v="45"/>
    <n v="2004"/>
    <n v="8"/>
    <x v="3"/>
    <n v="50"/>
    <n v="151.86525901218997"/>
    <n v="7593.2629506094981"/>
  </r>
  <r>
    <n v="539"/>
    <x v="4"/>
    <x v="0"/>
    <n v="2004"/>
    <n v="4"/>
    <x v="2"/>
    <n v="7"/>
    <n v="22.95994805531884"/>
    <n v="160.71963638723187"/>
  </r>
  <r>
    <n v="540"/>
    <x v="2"/>
    <x v="61"/>
    <n v="2005"/>
    <n v="3"/>
    <x v="0"/>
    <n v="50"/>
    <n v="151.36182402448466"/>
    <n v="7568.0912012242334"/>
  </r>
  <r>
    <n v="541"/>
    <x v="5"/>
    <x v="2"/>
    <n v="2005"/>
    <n v="2"/>
    <x v="2"/>
    <n v="20"/>
    <n v="61.878678847796238"/>
    <n v="1237.5735769559246"/>
  </r>
  <r>
    <n v="542"/>
    <x v="7"/>
    <x v="2"/>
    <n v="2005"/>
    <n v="2"/>
    <x v="1"/>
    <n v="37"/>
    <n v="112.83363370259229"/>
    <n v="4174.844446995915"/>
  </r>
  <r>
    <n v="543"/>
    <x v="3"/>
    <x v="80"/>
    <n v="2004"/>
    <n v="9"/>
    <x v="4"/>
    <n v="58"/>
    <n v="176.6097113560426"/>
    <n v="10243.36325865047"/>
  </r>
  <r>
    <n v="544"/>
    <x v="4"/>
    <x v="67"/>
    <n v="2006"/>
    <n v="1"/>
    <x v="1"/>
    <n v="25"/>
    <n v="76.920283125674487"/>
    <n v="1923.0070781418622"/>
  </r>
  <r>
    <n v="545"/>
    <x v="1"/>
    <x v="0"/>
    <n v="2004"/>
    <n v="4"/>
    <x v="3"/>
    <n v="34"/>
    <n v="103.18208157525912"/>
    <n v="3508.1907735588102"/>
  </r>
  <r>
    <n v="546"/>
    <x v="0"/>
    <x v="25"/>
    <n v="2006"/>
    <n v="10"/>
    <x v="1"/>
    <n v="3"/>
    <n v="11.582072936390588"/>
    <n v="34.746218809171765"/>
  </r>
  <r>
    <n v="547"/>
    <x v="0"/>
    <x v="58"/>
    <n v="2006"/>
    <n v="10"/>
    <x v="2"/>
    <n v="63"/>
    <n v="190.58521809047551"/>
    <n v="12006.868739699958"/>
  </r>
  <r>
    <n v="548"/>
    <x v="0"/>
    <x v="56"/>
    <n v="2006"/>
    <n v="1"/>
    <x v="3"/>
    <n v="44"/>
    <n v="133.61508244900483"/>
    <n v="5879.0636277562126"/>
  </r>
  <r>
    <n v="549"/>
    <x v="8"/>
    <x v="15"/>
    <n v="2004"/>
    <n v="4"/>
    <x v="3"/>
    <n v="87"/>
    <n v="263.16283259571526"/>
    <n v="22895.166435827228"/>
  </r>
  <r>
    <n v="550"/>
    <x v="7"/>
    <x v="2"/>
    <n v="2005"/>
    <n v="2"/>
    <x v="2"/>
    <n v="4"/>
    <n v="14.191095035521025"/>
    <n v="56.7643801420841"/>
  </r>
  <r>
    <n v="551"/>
    <x v="2"/>
    <x v="91"/>
    <n v="2006"/>
    <n v="4"/>
    <x v="1"/>
    <n v="93"/>
    <n v="281.17072628162578"/>
    <n v="26148.877544191197"/>
  </r>
  <r>
    <n v="552"/>
    <x v="5"/>
    <x v="10"/>
    <n v="2004"/>
    <n v="11"/>
    <x v="2"/>
    <n v="10"/>
    <n v="32.065090501540446"/>
    <n v="320.65090501540448"/>
  </r>
  <r>
    <n v="553"/>
    <x v="3"/>
    <x v="7"/>
    <n v="2006"/>
    <n v="12"/>
    <x v="4"/>
    <n v="19"/>
    <n v="58.972126169367577"/>
    <n v="1120.4703972179839"/>
  </r>
  <r>
    <n v="554"/>
    <x v="1"/>
    <x v="95"/>
    <n v="2005"/>
    <n v="7"/>
    <x v="3"/>
    <n v="30"/>
    <n v="92.527630840276103"/>
    <n v="2775.8289252082832"/>
  </r>
  <r>
    <n v="555"/>
    <x v="2"/>
    <x v="76"/>
    <n v="2006"/>
    <n v="11"/>
    <x v="4"/>
    <n v="-1"/>
    <n v="-1.2782372664639507"/>
    <n v="1.2782372664639507"/>
  </r>
  <r>
    <n v="556"/>
    <x v="7"/>
    <x v="16"/>
    <n v="2006"/>
    <n v="4"/>
    <x v="3"/>
    <n v="46"/>
    <n v="139.41162650743053"/>
    <n v="6412.9348193418045"/>
  </r>
  <r>
    <n v="557"/>
    <x v="5"/>
    <x v="80"/>
    <n v="2004"/>
    <n v="9"/>
    <x v="1"/>
    <n v="44"/>
    <n v="133.50877739627518"/>
    <n v="5874.386205436108"/>
  </r>
  <r>
    <n v="558"/>
    <x v="0"/>
    <x v="17"/>
    <n v="2004"/>
    <n v="10"/>
    <x v="3"/>
    <n v="47"/>
    <n v="143.21221530085697"/>
    <n v="6730.9741191402773"/>
  </r>
  <r>
    <n v="559"/>
    <x v="7"/>
    <x v="29"/>
    <n v="2006"/>
    <n v="9"/>
    <x v="3"/>
    <n v="86"/>
    <n v="260.39157259526775"/>
    <n v="22393.675243193025"/>
  </r>
  <r>
    <n v="560"/>
    <x v="7"/>
    <x v="73"/>
    <n v="2006"/>
    <n v="7"/>
    <x v="1"/>
    <n v="76"/>
    <n v="229.96347977242982"/>
    <n v="17477.224462704668"/>
  </r>
  <r>
    <n v="561"/>
    <x v="3"/>
    <x v="0"/>
    <n v="2004"/>
    <n v="4"/>
    <x v="4"/>
    <n v="55"/>
    <n v="166.99029890676019"/>
    <n v="9184.4664398718105"/>
  </r>
  <r>
    <n v="562"/>
    <x v="2"/>
    <x v="64"/>
    <n v="2004"/>
    <n v="5"/>
    <x v="3"/>
    <n v="-1"/>
    <n v="-0.79289798318866422"/>
    <n v="0.79289798318866422"/>
  </r>
  <r>
    <n v="563"/>
    <x v="2"/>
    <x v="87"/>
    <n v="2004"/>
    <n v="7"/>
    <x v="4"/>
    <n v="62"/>
    <n v="187.63361707571198"/>
    <n v="11633.284258694142"/>
  </r>
  <r>
    <n v="564"/>
    <x v="2"/>
    <x v="97"/>
    <n v="2004"/>
    <n v="1"/>
    <x v="1"/>
    <n v="73"/>
    <n v="220.96515803490902"/>
    <n v="16130.45653654836"/>
  </r>
  <r>
    <n v="565"/>
    <x v="1"/>
    <x v="22"/>
    <n v="2004"/>
    <n v="11"/>
    <x v="2"/>
    <n v="12"/>
    <n v="38.43875396047023"/>
    <n v="461.26504752564279"/>
  </r>
  <r>
    <n v="566"/>
    <x v="6"/>
    <x v="89"/>
    <n v="2004"/>
    <n v="8"/>
    <x v="4"/>
    <n v="0"/>
    <n v="1.5994060348452668"/>
    <n v="0"/>
  </r>
  <r>
    <n v="567"/>
    <x v="8"/>
    <x v="63"/>
    <n v="2006"/>
    <n v="8"/>
    <x v="3"/>
    <n v="23"/>
    <n v="71.39535724005502"/>
    <n v="1642.0932165212655"/>
  </r>
  <r>
    <n v="568"/>
    <x v="8"/>
    <x v="49"/>
    <n v="2005"/>
    <n v="1"/>
    <x v="3"/>
    <n v="73"/>
    <n v="220.80778472883722"/>
    <n v="16118.968285205117"/>
  </r>
  <r>
    <n v="569"/>
    <x v="7"/>
    <x v="98"/>
    <n v="2005"/>
    <n v="6"/>
    <x v="0"/>
    <n v="73"/>
    <n v="221.78112807048697"/>
    <n v="16190.022349145549"/>
  </r>
  <r>
    <n v="570"/>
    <x v="6"/>
    <x v="61"/>
    <n v="2005"/>
    <n v="3"/>
    <x v="1"/>
    <n v="43"/>
    <n v="131.05809583118935"/>
    <n v="5635.498120741142"/>
  </r>
  <r>
    <n v="571"/>
    <x v="1"/>
    <x v="73"/>
    <n v="2006"/>
    <n v="7"/>
    <x v="2"/>
    <n v="60"/>
    <n v="182.29246065825532"/>
    <n v="10937.547639495318"/>
  </r>
  <r>
    <n v="572"/>
    <x v="6"/>
    <x v="23"/>
    <n v="2006"/>
    <n v="12"/>
    <x v="0"/>
    <n v="40"/>
    <n v="121.86602847443184"/>
    <n v="4874.6411389772738"/>
  </r>
  <r>
    <n v="573"/>
    <x v="7"/>
    <x v="57"/>
    <n v="2005"/>
    <n v="7"/>
    <x v="0"/>
    <n v="-7"/>
    <n v="-18.9155229231676"/>
    <n v="132.4086604621732"/>
  </r>
  <r>
    <n v="574"/>
    <x v="0"/>
    <x v="19"/>
    <n v="2004"/>
    <n v="9"/>
    <x v="1"/>
    <n v="39"/>
    <n v="118.36577315011976"/>
    <n v="4616.2651528546712"/>
  </r>
  <r>
    <n v="575"/>
    <x v="4"/>
    <x v="13"/>
    <n v="2005"/>
    <n v="1"/>
    <x v="4"/>
    <n v="84"/>
    <n v="253.79033414178701"/>
    <n v="21318.388067910109"/>
  </r>
  <r>
    <n v="576"/>
    <x v="7"/>
    <x v="16"/>
    <n v="2006"/>
    <n v="4"/>
    <x v="2"/>
    <n v="92"/>
    <n v="277.80911377540116"/>
    <n v="25558.438467336906"/>
  </r>
  <r>
    <n v="577"/>
    <x v="1"/>
    <x v="68"/>
    <n v="2005"/>
    <n v="10"/>
    <x v="4"/>
    <n v="68"/>
    <n v="206.08318598884486"/>
    <n v="14013.656647241451"/>
  </r>
  <r>
    <n v="578"/>
    <x v="1"/>
    <x v="22"/>
    <n v="2004"/>
    <n v="11"/>
    <x v="0"/>
    <n v="7"/>
    <n v="23.192583270070902"/>
    <n v="162.3480828904963"/>
  </r>
  <r>
    <n v="579"/>
    <x v="3"/>
    <x v="84"/>
    <n v="2006"/>
    <n v="10"/>
    <x v="3"/>
    <n v="-9"/>
    <n v="-24.836237139949766"/>
    <n v="223.52613425954789"/>
  </r>
  <r>
    <n v="580"/>
    <x v="8"/>
    <x v="85"/>
    <n v="2005"/>
    <n v="10"/>
    <x v="4"/>
    <n v="51"/>
    <n v="154.40065127641515"/>
    <n v="7874.4332150971723"/>
  </r>
  <r>
    <n v="581"/>
    <x v="1"/>
    <x v="5"/>
    <n v="2005"/>
    <n v="11"/>
    <x v="0"/>
    <n v="59"/>
    <n v="178.89731679899467"/>
    <n v="10554.941691140686"/>
  </r>
  <r>
    <n v="582"/>
    <x v="5"/>
    <x v="47"/>
    <n v="2005"/>
    <n v="11"/>
    <x v="4"/>
    <n v="64"/>
    <n v="194.44151134010454"/>
    <n v="12444.256725766691"/>
  </r>
  <r>
    <n v="583"/>
    <x v="8"/>
    <x v="26"/>
    <n v="2005"/>
    <n v="11"/>
    <x v="0"/>
    <n v="0"/>
    <n v="2.516330534249033"/>
    <n v="0"/>
  </r>
  <r>
    <n v="584"/>
    <x v="7"/>
    <x v="54"/>
    <n v="2005"/>
    <n v="2"/>
    <x v="4"/>
    <n v="81"/>
    <n v="243.81590205081088"/>
    <n v="19749.088066115681"/>
  </r>
  <r>
    <n v="585"/>
    <x v="6"/>
    <x v="37"/>
    <n v="2005"/>
    <n v="4"/>
    <x v="2"/>
    <n v="93"/>
    <n v="280.7978115895645"/>
    <n v="26114.196477829501"/>
  </r>
  <r>
    <n v="586"/>
    <x v="8"/>
    <x v="20"/>
    <n v="2006"/>
    <n v="2"/>
    <x v="0"/>
    <n v="20"/>
    <n v="61.967424849894947"/>
    <n v="1239.348496997899"/>
  </r>
  <r>
    <n v="587"/>
    <x v="2"/>
    <x v="98"/>
    <n v="2005"/>
    <n v="6"/>
    <x v="3"/>
    <n v="39"/>
    <n v="119.9083594229058"/>
    <n v="4676.4260174933261"/>
  </r>
  <r>
    <n v="588"/>
    <x v="5"/>
    <x v="17"/>
    <n v="2004"/>
    <n v="10"/>
    <x v="1"/>
    <n v="6"/>
    <n v="20.018331980892231"/>
    <n v="120.10999188535339"/>
  </r>
  <r>
    <n v="589"/>
    <x v="5"/>
    <x v="59"/>
    <n v="2004"/>
    <n v="2"/>
    <x v="1"/>
    <n v="34"/>
    <n v="103.67942872150846"/>
    <n v="3525.1005765312875"/>
  </r>
  <r>
    <n v="590"/>
    <x v="1"/>
    <x v="20"/>
    <n v="2006"/>
    <n v="2"/>
    <x v="0"/>
    <n v="33"/>
    <n v="101.31101808549928"/>
    <n v="3343.2635968214763"/>
  </r>
  <r>
    <n v="591"/>
    <x v="2"/>
    <x v="53"/>
    <n v="2004"/>
    <n v="1"/>
    <x v="2"/>
    <n v="-10"/>
    <n v="-28.463885870908516"/>
    <n v="284.63885870908518"/>
  </r>
  <r>
    <n v="592"/>
    <x v="8"/>
    <x v="9"/>
    <n v="2006"/>
    <n v="8"/>
    <x v="3"/>
    <n v="47"/>
    <n v="141.97140662710891"/>
    <n v="6672.6561114741189"/>
  </r>
  <r>
    <n v="593"/>
    <x v="6"/>
    <x v="53"/>
    <n v="2004"/>
    <n v="1"/>
    <x v="1"/>
    <n v="94"/>
    <n v="284.61276074739663"/>
    <n v="26753.599510255284"/>
  </r>
  <r>
    <n v="594"/>
    <x v="1"/>
    <x v="18"/>
    <n v="2006"/>
    <n v="6"/>
    <x v="1"/>
    <n v="92"/>
    <n v="278.22640918878471"/>
    <n v="25596.829645368194"/>
  </r>
  <r>
    <n v="595"/>
    <x v="4"/>
    <x v="94"/>
    <n v="2005"/>
    <n v="1"/>
    <x v="0"/>
    <n v="68"/>
    <n v="205.95905527766212"/>
    <n v="14005.215758881024"/>
  </r>
  <r>
    <n v="596"/>
    <x v="7"/>
    <x v="6"/>
    <n v="2004"/>
    <n v="3"/>
    <x v="0"/>
    <n v="37"/>
    <n v="112.85151912863849"/>
    <n v="4175.506207759624"/>
  </r>
  <r>
    <n v="597"/>
    <x v="6"/>
    <x v="87"/>
    <n v="2004"/>
    <n v="7"/>
    <x v="3"/>
    <n v="78"/>
    <n v="235.37144026519812"/>
    <n v="18358.972340685454"/>
  </r>
  <r>
    <n v="598"/>
    <x v="1"/>
    <x v="23"/>
    <n v="2006"/>
    <n v="12"/>
    <x v="3"/>
    <n v="14"/>
    <n v="43.756013144501985"/>
    <n v="612.58418402302777"/>
  </r>
  <r>
    <n v="599"/>
    <x v="8"/>
    <x v="79"/>
    <n v="2006"/>
    <n v="11"/>
    <x v="1"/>
    <n v="33"/>
    <n v="100.54958475062591"/>
    <n v="3318.136296770655"/>
  </r>
  <r>
    <n v="600"/>
    <x v="6"/>
    <x v="4"/>
    <n v="2004"/>
    <n v="6"/>
    <x v="3"/>
    <n v="64"/>
    <n v="194.18188189830369"/>
    <n v="12427.640441491436"/>
  </r>
  <r>
    <n v="601"/>
    <x v="3"/>
    <x v="9"/>
    <n v="2006"/>
    <n v="8"/>
    <x v="0"/>
    <n v="6"/>
    <n v="20.229703821540529"/>
    <n v="121.37822292924318"/>
  </r>
  <r>
    <n v="602"/>
    <x v="8"/>
    <x v="18"/>
    <n v="2006"/>
    <n v="6"/>
    <x v="2"/>
    <n v="65"/>
    <n v="197.4890682991998"/>
    <n v="12836.789439447986"/>
  </r>
  <r>
    <n v="603"/>
    <x v="0"/>
    <x v="53"/>
    <n v="2004"/>
    <n v="1"/>
    <x v="4"/>
    <n v="24"/>
    <n v="74.283089497229128"/>
    <n v="1782.7941479334991"/>
  </r>
  <r>
    <n v="604"/>
    <x v="4"/>
    <x v="60"/>
    <n v="2005"/>
    <n v="12"/>
    <x v="2"/>
    <n v="89"/>
    <n v="269.00888504806545"/>
    <n v="23941.790769277824"/>
  </r>
  <r>
    <n v="605"/>
    <x v="4"/>
    <x v="68"/>
    <n v="2005"/>
    <n v="10"/>
    <x v="4"/>
    <n v="94"/>
    <n v="284.24987523561106"/>
    <n v="26719.488272147439"/>
  </r>
  <r>
    <n v="606"/>
    <x v="3"/>
    <x v="44"/>
    <n v="2005"/>
    <n v="12"/>
    <x v="1"/>
    <n v="67"/>
    <n v="203.71315269974144"/>
    <n v="13648.781230882676"/>
  </r>
  <r>
    <n v="607"/>
    <x v="4"/>
    <x v="45"/>
    <n v="2004"/>
    <n v="8"/>
    <x v="4"/>
    <n v="7"/>
    <n v="23.434372885216568"/>
    <n v="164.04061019651598"/>
  </r>
  <r>
    <n v="608"/>
    <x v="4"/>
    <x v="19"/>
    <n v="2004"/>
    <n v="9"/>
    <x v="1"/>
    <n v="58"/>
    <n v="176.00311303023639"/>
    <n v="10208.18055575371"/>
  </r>
  <r>
    <n v="609"/>
    <x v="7"/>
    <x v="4"/>
    <n v="2004"/>
    <n v="6"/>
    <x v="4"/>
    <n v="77"/>
    <n v="232.66821530494673"/>
    <n v="17915.452578480898"/>
  </r>
  <r>
    <n v="610"/>
    <x v="3"/>
    <x v="27"/>
    <n v="2005"/>
    <n v="9"/>
    <x v="3"/>
    <n v="50"/>
    <n v="151.12327703696886"/>
    <n v="7556.1638518484433"/>
  </r>
  <r>
    <n v="611"/>
    <x v="0"/>
    <x v="9"/>
    <n v="2006"/>
    <n v="8"/>
    <x v="0"/>
    <n v="10"/>
    <n v="32.139866181276794"/>
    <n v="321.39866181276795"/>
  </r>
  <r>
    <n v="612"/>
    <x v="1"/>
    <x v="12"/>
    <n v="2005"/>
    <n v="8"/>
    <x v="4"/>
    <n v="2"/>
    <n v="7.7805066936063501"/>
    <n v="15.5610133872127"/>
  </r>
  <r>
    <n v="613"/>
    <x v="2"/>
    <x v="73"/>
    <n v="2006"/>
    <n v="7"/>
    <x v="4"/>
    <n v="17"/>
    <n v="53.692138808043005"/>
    <n v="912.76635973673103"/>
  </r>
  <r>
    <n v="614"/>
    <x v="5"/>
    <x v="21"/>
    <n v="2005"/>
    <n v="5"/>
    <x v="4"/>
    <n v="90"/>
    <n v="272.41389128062559"/>
    <n v="24517.250215256303"/>
  </r>
  <r>
    <n v="615"/>
    <x v="1"/>
    <x v="66"/>
    <n v="2006"/>
    <n v="11"/>
    <x v="1"/>
    <n v="58"/>
    <n v="175.59064342356595"/>
    <n v="10184.257318566824"/>
  </r>
  <r>
    <n v="616"/>
    <x v="5"/>
    <x v="67"/>
    <n v="2006"/>
    <n v="1"/>
    <x v="4"/>
    <n v="66"/>
    <n v="199.92690698146819"/>
    <n v="13195.175860776901"/>
  </r>
  <r>
    <n v="617"/>
    <x v="7"/>
    <x v="43"/>
    <n v="2004"/>
    <n v="6"/>
    <x v="3"/>
    <n v="6"/>
    <n v="20.242222983134283"/>
    <n v="121.4533378988057"/>
  </r>
  <r>
    <n v="618"/>
    <x v="4"/>
    <x v="91"/>
    <n v="2006"/>
    <n v="4"/>
    <x v="0"/>
    <n v="90"/>
    <n v="272.58718593660444"/>
    <n v="24532.846734294399"/>
  </r>
  <r>
    <n v="619"/>
    <x v="4"/>
    <x v="3"/>
    <n v="2006"/>
    <n v="5"/>
    <x v="0"/>
    <n v="38"/>
    <n v="115.85799136725458"/>
    <n v="4402.6036719556741"/>
  </r>
  <r>
    <n v="620"/>
    <x v="5"/>
    <x v="71"/>
    <n v="2004"/>
    <n v="10"/>
    <x v="4"/>
    <n v="3"/>
    <n v="10.907655295049528"/>
    <n v="32.722965885148582"/>
  </r>
  <r>
    <n v="621"/>
    <x v="6"/>
    <x v="15"/>
    <n v="2004"/>
    <n v="4"/>
    <x v="1"/>
    <n v="-4"/>
    <n v="-10.39215955971811"/>
    <n v="41.568638238872438"/>
  </r>
  <r>
    <n v="622"/>
    <x v="2"/>
    <x v="4"/>
    <n v="2004"/>
    <n v="6"/>
    <x v="3"/>
    <n v="8"/>
    <n v="25.899680153324056"/>
    <n v="207.19744122659245"/>
  </r>
  <r>
    <n v="623"/>
    <x v="4"/>
    <x v="0"/>
    <n v="2004"/>
    <n v="4"/>
    <x v="4"/>
    <n v="-8"/>
    <n v="-22.23218548835203"/>
    <n v="177.85748390681624"/>
  </r>
  <r>
    <n v="624"/>
    <x v="1"/>
    <x v="19"/>
    <n v="2004"/>
    <n v="9"/>
    <x v="4"/>
    <n v="72"/>
    <n v="218.68777878091251"/>
    <n v="15745.520072225701"/>
  </r>
  <r>
    <n v="625"/>
    <x v="7"/>
    <x v="67"/>
    <n v="2006"/>
    <n v="1"/>
    <x v="3"/>
    <n v="83"/>
    <n v="250.66590250032371"/>
    <n v="20805.269907526868"/>
  </r>
  <r>
    <n v="626"/>
    <x v="3"/>
    <x v="18"/>
    <n v="2006"/>
    <n v="6"/>
    <x v="1"/>
    <n v="12"/>
    <n v="38.977588204951147"/>
    <n v="467.73105845941376"/>
  </r>
  <r>
    <n v="627"/>
    <x v="4"/>
    <x v="3"/>
    <n v="2006"/>
    <n v="5"/>
    <x v="1"/>
    <n v="-8"/>
    <n v="-21.533260342562944"/>
    <n v="172.26608274050355"/>
  </r>
  <r>
    <n v="628"/>
    <x v="0"/>
    <x v="75"/>
    <n v="2006"/>
    <n v="2"/>
    <x v="3"/>
    <n v="22"/>
    <n v="68.129641213452771"/>
    <n v="1498.8521066959611"/>
  </r>
  <r>
    <n v="629"/>
    <x v="5"/>
    <x v="79"/>
    <n v="2006"/>
    <n v="11"/>
    <x v="4"/>
    <n v="-2"/>
    <n v="-3.8295287737581956"/>
    <n v="7.6590575475163911"/>
  </r>
  <r>
    <n v="630"/>
    <x v="1"/>
    <x v="56"/>
    <n v="2006"/>
    <n v="1"/>
    <x v="1"/>
    <n v="55"/>
    <n v="166.77106419074752"/>
    <n v="9172.4085304911132"/>
  </r>
  <r>
    <n v="631"/>
    <x v="7"/>
    <x v="35"/>
    <n v="2006"/>
    <n v="6"/>
    <x v="3"/>
    <n v="40"/>
    <n v="122.55166369572477"/>
    <n v="4902.0665478289911"/>
  </r>
  <r>
    <n v="632"/>
    <x v="0"/>
    <x v="51"/>
    <n v="2005"/>
    <n v="6"/>
    <x v="1"/>
    <n v="61"/>
    <n v="183.9597681482735"/>
    <n v="11221.545857044683"/>
  </r>
  <r>
    <n v="633"/>
    <x v="1"/>
    <x v="41"/>
    <n v="2005"/>
    <n v="6"/>
    <x v="3"/>
    <n v="40"/>
    <n v="122.54107894599883"/>
    <n v="4901.6431578399533"/>
  </r>
  <r>
    <n v="634"/>
    <x v="7"/>
    <x v="29"/>
    <n v="2006"/>
    <n v="9"/>
    <x v="3"/>
    <n v="31"/>
    <n v="94.683925421109407"/>
    <n v="2935.2016880543915"/>
  </r>
  <r>
    <n v="635"/>
    <x v="0"/>
    <x v="74"/>
    <n v="2004"/>
    <n v="4"/>
    <x v="4"/>
    <n v="6"/>
    <n v="20.454607256507078"/>
    <n v="122.72764353904248"/>
  </r>
  <r>
    <n v="636"/>
    <x v="1"/>
    <x v="72"/>
    <n v="2005"/>
    <n v="10"/>
    <x v="1"/>
    <n v="-6"/>
    <n v="-16.100658619760122"/>
    <n v="96.603951718560722"/>
  </r>
  <r>
    <n v="637"/>
    <x v="1"/>
    <x v="32"/>
    <n v="2005"/>
    <n v="7"/>
    <x v="3"/>
    <n v="14"/>
    <n v="43.396216100245972"/>
    <n v="607.54702540344363"/>
  </r>
  <r>
    <n v="638"/>
    <x v="1"/>
    <x v="96"/>
    <n v="2004"/>
    <n v="7"/>
    <x v="4"/>
    <n v="94"/>
    <n v="283.87519041996188"/>
    <n v="26684.267899476417"/>
  </r>
  <r>
    <n v="639"/>
    <x v="7"/>
    <x v="57"/>
    <n v="2005"/>
    <n v="7"/>
    <x v="4"/>
    <n v="70"/>
    <n v="212.26863794218977"/>
    <n v="14858.804655953283"/>
  </r>
  <r>
    <n v="640"/>
    <x v="6"/>
    <x v="22"/>
    <n v="2004"/>
    <n v="11"/>
    <x v="0"/>
    <n v="-8"/>
    <n v="-21.44176526239897"/>
    <n v="171.53412209919176"/>
  </r>
  <r>
    <n v="641"/>
    <x v="6"/>
    <x v="79"/>
    <n v="2006"/>
    <n v="11"/>
    <x v="0"/>
    <n v="-8"/>
    <n v="-21.90881602461678"/>
    <n v="175.27052819693424"/>
  </r>
  <r>
    <n v="642"/>
    <x v="2"/>
    <x v="82"/>
    <n v="2005"/>
    <n v="12"/>
    <x v="4"/>
    <n v="2"/>
    <n v="7.6416014365752867"/>
    <n v="15.283202873150573"/>
  </r>
  <r>
    <n v="643"/>
    <x v="1"/>
    <x v="42"/>
    <n v="2004"/>
    <n v="1"/>
    <x v="2"/>
    <n v="10"/>
    <n v="31.842188072685396"/>
    <n v="318.42188072685394"/>
  </r>
  <r>
    <n v="644"/>
    <x v="8"/>
    <x v="21"/>
    <n v="2005"/>
    <n v="5"/>
    <x v="3"/>
    <n v="51"/>
    <n v="154.53175695635341"/>
    <n v="7881.1196047740241"/>
  </r>
  <r>
    <n v="645"/>
    <x v="8"/>
    <x v="0"/>
    <n v="2004"/>
    <n v="4"/>
    <x v="3"/>
    <n v="5"/>
    <n v="16.85379509706091"/>
    <n v="84.268975485304551"/>
  </r>
  <r>
    <n v="646"/>
    <x v="6"/>
    <x v="18"/>
    <n v="2006"/>
    <n v="6"/>
    <x v="3"/>
    <n v="39"/>
    <n v="119.48835042374725"/>
    <n v="4660.0456665261427"/>
  </r>
  <r>
    <n v="647"/>
    <x v="2"/>
    <x v="6"/>
    <n v="2004"/>
    <n v="3"/>
    <x v="3"/>
    <n v="20"/>
    <n v="61.926239627210521"/>
    <n v="1238.5247925442104"/>
  </r>
  <r>
    <n v="648"/>
    <x v="6"/>
    <x v="10"/>
    <n v="2004"/>
    <n v="11"/>
    <x v="1"/>
    <n v="29"/>
    <n v="88.79031532479398"/>
    <n v="2574.9191444190255"/>
  </r>
  <r>
    <n v="649"/>
    <x v="3"/>
    <x v="20"/>
    <n v="2006"/>
    <n v="2"/>
    <x v="1"/>
    <n v="43"/>
    <n v="130.59550390758056"/>
    <n v="5615.6066680259646"/>
  </r>
  <r>
    <n v="650"/>
    <x v="2"/>
    <x v="80"/>
    <n v="2004"/>
    <n v="9"/>
    <x v="4"/>
    <n v="40"/>
    <n v="122.34177646477217"/>
    <n v="4893.6710585908868"/>
  </r>
  <r>
    <n v="651"/>
    <x v="6"/>
    <x v="75"/>
    <n v="2006"/>
    <n v="2"/>
    <x v="1"/>
    <n v="36"/>
    <n v="109.40924257339921"/>
    <n v="3938.7327326423715"/>
  </r>
  <r>
    <n v="652"/>
    <x v="6"/>
    <x v="49"/>
    <n v="2005"/>
    <n v="1"/>
    <x v="3"/>
    <n v="88"/>
    <n v="265.7031232579136"/>
    <n v="23381.874846696395"/>
  </r>
  <r>
    <n v="653"/>
    <x v="0"/>
    <x v="78"/>
    <n v="2005"/>
    <n v="2"/>
    <x v="4"/>
    <n v="55"/>
    <n v="166.43173248267502"/>
    <n v="9153.7452865471259"/>
  </r>
  <r>
    <n v="654"/>
    <x v="7"/>
    <x v="50"/>
    <n v="2004"/>
    <n v="12"/>
    <x v="3"/>
    <n v="65"/>
    <n v="196.86478787466569"/>
    <n v="12796.21121185327"/>
  </r>
  <r>
    <n v="655"/>
    <x v="7"/>
    <x v="32"/>
    <n v="2005"/>
    <n v="7"/>
    <x v="0"/>
    <n v="6"/>
    <n v="19.488992935915519"/>
    <n v="116.93395761549311"/>
  </r>
  <r>
    <n v="656"/>
    <x v="8"/>
    <x v="3"/>
    <n v="2006"/>
    <n v="5"/>
    <x v="1"/>
    <n v="-1"/>
    <n v="-1.2299707953687746"/>
    <n v="1.2299707953687746"/>
  </r>
  <r>
    <n v="657"/>
    <x v="7"/>
    <x v="14"/>
    <n v="2006"/>
    <n v="9"/>
    <x v="1"/>
    <n v="32"/>
    <n v="97.808768000127685"/>
    <n v="3129.8805760040859"/>
  </r>
  <r>
    <n v="658"/>
    <x v="1"/>
    <x v="67"/>
    <n v="2006"/>
    <n v="1"/>
    <x v="4"/>
    <n v="17"/>
    <n v="53.061016492331653"/>
    <n v="902.0372803696381"/>
  </r>
  <r>
    <n v="659"/>
    <x v="3"/>
    <x v="77"/>
    <n v="2004"/>
    <n v="7"/>
    <x v="3"/>
    <n v="25"/>
    <n v="76.378602488098551"/>
    <n v="1909.4650622024637"/>
  </r>
  <r>
    <n v="660"/>
    <x v="3"/>
    <x v="55"/>
    <n v="2005"/>
    <n v="3"/>
    <x v="3"/>
    <n v="11"/>
    <n v="35.7534803858521"/>
    <n v="393.28828424437313"/>
  </r>
  <r>
    <n v="661"/>
    <x v="3"/>
    <x v="59"/>
    <n v="2004"/>
    <n v="2"/>
    <x v="4"/>
    <n v="51"/>
    <n v="155.019536467064"/>
    <n v="7905.9963598202639"/>
  </r>
  <r>
    <n v="662"/>
    <x v="6"/>
    <x v="79"/>
    <n v="2006"/>
    <n v="11"/>
    <x v="2"/>
    <n v="25"/>
    <n v="78.068436112651099"/>
    <n v="1951.7109028162774"/>
  </r>
  <r>
    <n v="663"/>
    <x v="1"/>
    <x v="76"/>
    <n v="2006"/>
    <n v="11"/>
    <x v="3"/>
    <n v="27"/>
    <n v="82.450851057331235"/>
    <n v="2226.1729785479433"/>
  </r>
  <r>
    <n v="664"/>
    <x v="0"/>
    <x v="41"/>
    <n v="2005"/>
    <n v="6"/>
    <x v="0"/>
    <n v="38"/>
    <n v="116.7885336432518"/>
    <n v="4437.9642784435682"/>
  </r>
  <r>
    <n v="665"/>
    <x v="5"/>
    <x v="14"/>
    <n v="2006"/>
    <n v="9"/>
    <x v="1"/>
    <n v="27"/>
    <n v="82.569702610812897"/>
    <n v="2229.3819704919483"/>
  </r>
  <r>
    <n v="666"/>
    <x v="7"/>
    <x v="62"/>
    <n v="2006"/>
    <n v="6"/>
    <x v="3"/>
    <n v="59"/>
    <n v="178.6321576680669"/>
    <n v="10539.297302415947"/>
  </r>
  <r>
    <n v="667"/>
    <x v="8"/>
    <x v="75"/>
    <n v="2006"/>
    <n v="2"/>
    <x v="1"/>
    <n v="73"/>
    <n v="220.44792756124494"/>
    <n v="16092.698711970881"/>
  </r>
  <r>
    <n v="668"/>
    <x v="4"/>
    <x v="12"/>
    <n v="2005"/>
    <n v="8"/>
    <x v="3"/>
    <n v="43"/>
    <n v="131.45497532370047"/>
    <n v="5652.5639389191201"/>
  </r>
  <r>
    <n v="669"/>
    <x v="5"/>
    <x v="8"/>
    <n v="2006"/>
    <n v="7"/>
    <x v="4"/>
    <n v="51"/>
    <n v="154.77819453893821"/>
    <n v="7893.6879214858491"/>
  </r>
  <r>
    <n v="670"/>
    <x v="0"/>
    <x v="31"/>
    <n v="2004"/>
    <n v="9"/>
    <x v="0"/>
    <n v="32"/>
    <n v="98.006987571648764"/>
    <n v="3136.2236022927605"/>
  </r>
  <r>
    <n v="671"/>
    <x v="3"/>
    <x v="99"/>
    <n v="2006"/>
    <n v="4"/>
    <x v="0"/>
    <n v="89"/>
    <n v="268.58829363415754"/>
    <n v="23904.358133440022"/>
  </r>
  <r>
    <n v="672"/>
    <x v="7"/>
    <x v="5"/>
    <n v="2005"/>
    <n v="11"/>
    <x v="4"/>
    <n v="-1"/>
    <n v="-0.61047743439715862"/>
    <n v="0.61047743439715862"/>
  </r>
  <r>
    <n v="673"/>
    <x v="1"/>
    <x v="70"/>
    <n v="2006"/>
    <n v="3"/>
    <x v="3"/>
    <n v="26"/>
    <n v="81.086402502793618"/>
    <n v="2108.2464650726342"/>
  </r>
  <r>
    <n v="674"/>
    <x v="7"/>
    <x v="2"/>
    <n v="2005"/>
    <n v="2"/>
    <x v="1"/>
    <n v="56"/>
    <n v="170.28880484978066"/>
    <n v="9536.1730715877165"/>
  </r>
  <r>
    <n v="675"/>
    <x v="0"/>
    <x v="89"/>
    <n v="2004"/>
    <n v="8"/>
    <x v="0"/>
    <n v="10"/>
    <n v="32.446099013561927"/>
    <n v="324.46099013561928"/>
  </r>
  <r>
    <n v="676"/>
    <x v="1"/>
    <x v="36"/>
    <n v="2004"/>
    <n v="2"/>
    <x v="2"/>
    <n v="8"/>
    <n v="25.639457060752605"/>
    <n v="205.11565648602084"/>
  </r>
  <r>
    <n v="677"/>
    <x v="4"/>
    <x v="21"/>
    <n v="2005"/>
    <n v="5"/>
    <x v="3"/>
    <n v="75"/>
    <n v="226.81359807971779"/>
    <n v="17011.019855978833"/>
  </r>
  <r>
    <n v="678"/>
    <x v="7"/>
    <x v="78"/>
    <n v="2005"/>
    <n v="2"/>
    <x v="1"/>
    <n v="79"/>
    <n v="239.4766385714239"/>
    <n v="18918.65444714249"/>
  </r>
  <r>
    <n v="679"/>
    <x v="4"/>
    <x v="69"/>
    <n v="2005"/>
    <n v="5"/>
    <x v="1"/>
    <n v="25"/>
    <n v="75.944187671627063"/>
    <n v="1898.6046917906765"/>
  </r>
  <r>
    <n v="680"/>
    <x v="5"/>
    <x v="84"/>
    <n v="2006"/>
    <n v="10"/>
    <x v="0"/>
    <n v="22"/>
    <n v="68.814390503031333"/>
    <n v="1513.9165910666893"/>
  </r>
  <r>
    <n v="681"/>
    <x v="0"/>
    <x v="31"/>
    <n v="2004"/>
    <n v="9"/>
    <x v="2"/>
    <n v="88"/>
    <n v="265.64166976022739"/>
    <n v="23376.466938900012"/>
  </r>
  <r>
    <n v="682"/>
    <x v="6"/>
    <x v="22"/>
    <n v="2004"/>
    <n v="11"/>
    <x v="1"/>
    <n v="94"/>
    <n v="284.32899274536834"/>
    <n v="26726.925318064623"/>
  </r>
  <r>
    <n v="683"/>
    <x v="7"/>
    <x v="68"/>
    <n v="2005"/>
    <n v="10"/>
    <x v="4"/>
    <n v="58"/>
    <n v="176.72593852578336"/>
    <n v="10250.104434495435"/>
  </r>
  <r>
    <n v="684"/>
    <x v="6"/>
    <x v="98"/>
    <n v="2005"/>
    <n v="6"/>
    <x v="0"/>
    <n v="66"/>
    <n v="200.20830019781053"/>
    <n v="13213.747813055495"/>
  </r>
  <r>
    <n v="685"/>
    <x v="7"/>
    <x v="9"/>
    <n v="2006"/>
    <n v="8"/>
    <x v="3"/>
    <n v="82"/>
    <n v="247.93546068655294"/>
    <n v="20330.707776297342"/>
  </r>
  <r>
    <n v="686"/>
    <x v="1"/>
    <x v="58"/>
    <n v="2006"/>
    <n v="10"/>
    <x v="1"/>
    <n v="94"/>
    <n v="283.7655668516507"/>
    <n v="26673.963284055168"/>
  </r>
  <r>
    <n v="687"/>
    <x v="2"/>
    <x v="30"/>
    <n v="2006"/>
    <n v="12"/>
    <x v="0"/>
    <n v="27"/>
    <n v="82.883173616974645"/>
    <n v="2237.8456876583155"/>
  </r>
  <r>
    <n v="688"/>
    <x v="0"/>
    <x v="15"/>
    <n v="2004"/>
    <n v="4"/>
    <x v="2"/>
    <n v="56"/>
    <n v="169.95658667826987"/>
    <n v="9517.5688539831135"/>
  </r>
  <r>
    <n v="689"/>
    <x v="6"/>
    <x v="91"/>
    <n v="2006"/>
    <n v="4"/>
    <x v="4"/>
    <n v="82"/>
    <n v="247.80094907753815"/>
    <n v="20319.677824358128"/>
  </r>
  <r>
    <n v="690"/>
    <x v="6"/>
    <x v="27"/>
    <n v="2005"/>
    <n v="9"/>
    <x v="4"/>
    <n v="7"/>
    <n v="23.067714309015152"/>
    <n v="161.47400016310607"/>
  </r>
  <r>
    <n v="691"/>
    <x v="0"/>
    <x v="56"/>
    <n v="2006"/>
    <n v="1"/>
    <x v="0"/>
    <n v="25"/>
    <n v="77.367215999588439"/>
    <n v="1934.1803999897111"/>
  </r>
  <r>
    <n v="692"/>
    <x v="2"/>
    <x v="30"/>
    <n v="2006"/>
    <n v="12"/>
    <x v="1"/>
    <n v="15"/>
    <n v="46.808970139122437"/>
    <n v="702.13455208683649"/>
  </r>
  <r>
    <n v="693"/>
    <x v="7"/>
    <x v="71"/>
    <n v="2004"/>
    <n v="10"/>
    <x v="1"/>
    <n v="39"/>
    <n v="118.82068608795676"/>
    <n v="4634.0067574303139"/>
  </r>
  <r>
    <n v="694"/>
    <x v="0"/>
    <x v="68"/>
    <n v="2005"/>
    <n v="10"/>
    <x v="0"/>
    <n v="22"/>
    <n v="67.920921050637091"/>
    <n v="1494.260263114016"/>
  </r>
  <r>
    <n v="695"/>
    <x v="3"/>
    <x v="61"/>
    <n v="2005"/>
    <n v="3"/>
    <x v="2"/>
    <n v="0"/>
    <n v="1.5802940518086344"/>
    <n v="0"/>
  </r>
  <r>
    <n v="696"/>
    <x v="0"/>
    <x v="87"/>
    <n v="2004"/>
    <n v="7"/>
    <x v="4"/>
    <n v="47"/>
    <n v="142.62566704955398"/>
    <n v="6703.4063513290375"/>
  </r>
  <r>
    <n v="697"/>
    <x v="7"/>
    <x v="52"/>
    <n v="2006"/>
    <n v="3"/>
    <x v="2"/>
    <n v="36"/>
    <n v="110.25851548113316"/>
    <n v="3969.3065573207937"/>
  </r>
  <r>
    <n v="698"/>
    <x v="7"/>
    <x v="31"/>
    <n v="2004"/>
    <n v="9"/>
    <x v="3"/>
    <n v="46"/>
    <n v="139.52847109810006"/>
    <n v="6418.3096705126027"/>
  </r>
  <r>
    <n v="699"/>
    <x v="6"/>
    <x v="16"/>
    <n v="2006"/>
    <n v="4"/>
    <x v="3"/>
    <n v="84"/>
    <n v="253.68258531303155"/>
    <n v="21309.337166294652"/>
  </r>
  <r>
    <n v="700"/>
    <x v="5"/>
    <x v="6"/>
    <n v="2004"/>
    <n v="3"/>
    <x v="0"/>
    <n v="38"/>
    <n v="115.76504648002317"/>
    <n v="4399.0717662408806"/>
  </r>
  <r>
    <n v="701"/>
    <x v="0"/>
    <x v="64"/>
    <n v="2004"/>
    <n v="5"/>
    <x v="0"/>
    <n v="13"/>
    <n v="40.473506204312045"/>
    <n v="526.1555806560566"/>
  </r>
  <r>
    <n v="702"/>
    <x v="6"/>
    <x v="91"/>
    <n v="2006"/>
    <n v="4"/>
    <x v="1"/>
    <n v="40"/>
    <n v="122.42180451643387"/>
    <n v="4896.8721806573549"/>
  </r>
  <r>
    <n v="703"/>
    <x v="4"/>
    <x v="4"/>
    <n v="2004"/>
    <n v="6"/>
    <x v="2"/>
    <n v="46"/>
    <n v="139.4072220659846"/>
    <n v="6412.7322150352911"/>
  </r>
  <r>
    <n v="704"/>
    <x v="8"/>
    <x v="96"/>
    <n v="2004"/>
    <n v="7"/>
    <x v="3"/>
    <n v="11"/>
    <n v="35.105222117013575"/>
    <n v="386.15744328714931"/>
  </r>
  <r>
    <n v="705"/>
    <x v="2"/>
    <x v="41"/>
    <n v="2005"/>
    <n v="6"/>
    <x v="0"/>
    <n v="-1"/>
    <n v="-0.89822589573278755"/>
    <n v="0.89822589573278755"/>
  </r>
  <r>
    <n v="706"/>
    <x v="2"/>
    <x v="1"/>
    <n v="2004"/>
    <n v="3"/>
    <x v="0"/>
    <n v="32"/>
    <n v="98.618549497009866"/>
    <n v="3155.7935839043157"/>
  </r>
  <r>
    <n v="707"/>
    <x v="8"/>
    <x v="53"/>
    <n v="2004"/>
    <n v="1"/>
    <x v="1"/>
    <n v="78"/>
    <n v="235.37746360511863"/>
    <n v="18359.442161199255"/>
  </r>
  <r>
    <n v="708"/>
    <x v="2"/>
    <x v="49"/>
    <n v="2005"/>
    <n v="1"/>
    <x v="2"/>
    <n v="71"/>
    <n v="215.14334620644152"/>
    <n v="15275.177580657348"/>
  </r>
  <r>
    <n v="709"/>
    <x v="4"/>
    <x v="74"/>
    <n v="2004"/>
    <n v="4"/>
    <x v="0"/>
    <n v="36"/>
    <n v="109.79941093344995"/>
    <n v="3952.7787936041982"/>
  </r>
  <r>
    <n v="710"/>
    <x v="7"/>
    <x v="89"/>
    <n v="2004"/>
    <n v="8"/>
    <x v="4"/>
    <n v="79"/>
    <n v="238.7528909715526"/>
    <n v="18861.478386752657"/>
  </r>
  <r>
    <n v="711"/>
    <x v="2"/>
    <x v="39"/>
    <n v="2005"/>
    <n v="8"/>
    <x v="2"/>
    <n v="92"/>
    <n v="278.33689319640729"/>
    <n v="25606.99417406947"/>
  </r>
  <r>
    <n v="712"/>
    <x v="1"/>
    <x v="53"/>
    <n v="2004"/>
    <n v="1"/>
    <x v="1"/>
    <n v="38"/>
    <n v="116.20226134841927"/>
    <n v="4415.685931239932"/>
  </r>
  <r>
    <n v="713"/>
    <x v="0"/>
    <x v="23"/>
    <n v="2006"/>
    <n v="12"/>
    <x v="4"/>
    <n v="50"/>
    <n v="152.08468006915191"/>
    <n v="7604.2340034575955"/>
  </r>
  <r>
    <n v="714"/>
    <x v="5"/>
    <x v="34"/>
    <n v="2006"/>
    <n v="2"/>
    <x v="1"/>
    <n v="31"/>
    <n v="93.734083542235183"/>
    <n v="2905.7565898092907"/>
  </r>
  <r>
    <n v="715"/>
    <x v="7"/>
    <x v="62"/>
    <n v="2006"/>
    <n v="6"/>
    <x v="0"/>
    <n v="9"/>
    <n v="29.386098665239906"/>
    <n v="264.47488798715915"/>
  </r>
  <r>
    <n v="716"/>
    <x v="1"/>
    <x v="2"/>
    <n v="2005"/>
    <n v="2"/>
    <x v="3"/>
    <n v="24"/>
    <n v="73.278886055388639"/>
    <n v="1758.6932653293275"/>
  </r>
  <r>
    <n v="717"/>
    <x v="2"/>
    <x v="94"/>
    <n v="2005"/>
    <n v="1"/>
    <x v="0"/>
    <n v="50"/>
    <n v="152.58608557503928"/>
    <n v="7629.3042787519635"/>
  </r>
  <r>
    <n v="718"/>
    <x v="7"/>
    <x v="75"/>
    <n v="2006"/>
    <n v="2"/>
    <x v="2"/>
    <n v="32"/>
    <n v="98.191983875169328"/>
    <n v="3142.1434840054185"/>
  </r>
  <r>
    <n v="719"/>
    <x v="8"/>
    <x v="31"/>
    <n v="2004"/>
    <n v="9"/>
    <x v="1"/>
    <n v="71"/>
    <n v="214.9278284338051"/>
    <n v="15259.875818800163"/>
  </r>
  <r>
    <n v="720"/>
    <x v="5"/>
    <x v="79"/>
    <n v="2006"/>
    <n v="11"/>
    <x v="4"/>
    <n v="28"/>
    <n v="86.107203598905883"/>
    <n v="2411.0017007693646"/>
  </r>
  <r>
    <n v="721"/>
    <x v="2"/>
    <x v="25"/>
    <n v="2006"/>
    <n v="10"/>
    <x v="0"/>
    <n v="40"/>
    <n v="121.83146625489913"/>
    <n v="4873.2586501959649"/>
  </r>
  <r>
    <n v="722"/>
    <x v="5"/>
    <x v="53"/>
    <n v="2004"/>
    <n v="1"/>
    <x v="3"/>
    <n v="75"/>
    <n v="226.98711570221042"/>
    <n v="17024.033677665782"/>
  </r>
  <r>
    <n v="723"/>
    <x v="3"/>
    <x v="89"/>
    <n v="2004"/>
    <n v="8"/>
    <x v="0"/>
    <n v="30"/>
    <n v="92.030625673172352"/>
    <n v="2760.9187701951705"/>
  </r>
  <r>
    <n v="724"/>
    <x v="7"/>
    <x v="44"/>
    <n v="2005"/>
    <n v="12"/>
    <x v="0"/>
    <n v="78"/>
    <n v="235.89718296494317"/>
    <n v="18399.980271265566"/>
  </r>
  <r>
    <n v="725"/>
    <x v="4"/>
    <x v="39"/>
    <n v="2005"/>
    <n v="8"/>
    <x v="4"/>
    <n v="15"/>
    <n v="47.09802134338382"/>
    <n v="706.47032015075729"/>
  </r>
  <r>
    <n v="726"/>
    <x v="5"/>
    <x v="22"/>
    <n v="2004"/>
    <n v="11"/>
    <x v="2"/>
    <n v="30"/>
    <n v="91.800989942743342"/>
    <n v="2754.0296982823002"/>
  </r>
  <r>
    <n v="727"/>
    <x v="3"/>
    <x v="68"/>
    <n v="2005"/>
    <n v="10"/>
    <x v="1"/>
    <n v="27"/>
    <n v="83.564417753264919"/>
    <n v="2256.2392793381528"/>
  </r>
  <r>
    <n v="728"/>
    <x v="1"/>
    <x v="62"/>
    <n v="2006"/>
    <n v="6"/>
    <x v="0"/>
    <n v="95"/>
    <n v="286.68421658470419"/>
    <n v="27235.000575546899"/>
  </r>
  <r>
    <n v="729"/>
    <x v="7"/>
    <x v="59"/>
    <n v="2004"/>
    <n v="2"/>
    <x v="1"/>
    <n v="62"/>
    <n v="188.69979320640692"/>
    <n v="11699.387178797229"/>
  </r>
  <r>
    <n v="730"/>
    <x v="5"/>
    <x v="70"/>
    <n v="2006"/>
    <n v="3"/>
    <x v="0"/>
    <n v="-4"/>
    <n v="-10.151413084603679"/>
    <n v="40.605652338414714"/>
  </r>
  <r>
    <n v="731"/>
    <x v="0"/>
    <x v="87"/>
    <n v="2004"/>
    <n v="7"/>
    <x v="4"/>
    <n v="-3"/>
    <n v="-7.2263762915654137"/>
    <n v="21.679128874696239"/>
  </r>
  <r>
    <n v="732"/>
    <x v="1"/>
    <x v="32"/>
    <n v="2005"/>
    <n v="7"/>
    <x v="4"/>
    <n v="62"/>
    <n v="187.71484715081846"/>
    <n v="11638.320523350745"/>
  </r>
  <r>
    <n v="733"/>
    <x v="0"/>
    <x v="45"/>
    <n v="2004"/>
    <n v="8"/>
    <x v="2"/>
    <n v="92"/>
    <n v="277.67657907264578"/>
    <n v="25546.245274683413"/>
  </r>
  <r>
    <n v="734"/>
    <x v="3"/>
    <x v="7"/>
    <n v="2006"/>
    <n v="12"/>
    <x v="1"/>
    <n v="35"/>
    <n v="107.09519938129719"/>
    <n v="3748.3319783454017"/>
  </r>
  <r>
    <n v="735"/>
    <x v="0"/>
    <x v="21"/>
    <n v="2005"/>
    <n v="5"/>
    <x v="3"/>
    <n v="91"/>
    <n v="274.96271641831527"/>
    <n v="25021.607194066688"/>
  </r>
  <r>
    <n v="736"/>
    <x v="5"/>
    <x v="77"/>
    <n v="2004"/>
    <n v="7"/>
    <x v="4"/>
    <n v="21"/>
    <n v="64.321884288799509"/>
    <n v="1350.7595700647896"/>
  </r>
  <r>
    <n v="737"/>
    <x v="4"/>
    <x v="67"/>
    <n v="2006"/>
    <n v="1"/>
    <x v="4"/>
    <n v="49"/>
    <n v="148.73893149445496"/>
    <n v="7288.2076432282929"/>
  </r>
  <r>
    <n v="738"/>
    <x v="3"/>
    <x v="61"/>
    <n v="2005"/>
    <n v="3"/>
    <x v="1"/>
    <n v="34"/>
    <n v="103.34843435833068"/>
    <n v="3513.8467681832431"/>
  </r>
  <r>
    <n v="739"/>
    <x v="1"/>
    <x v="49"/>
    <n v="2005"/>
    <n v="1"/>
    <x v="0"/>
    <n v="56"/>
    <n v="170.12124352907122"/>
    <n v="9526.7896376279878"/>
  </r>
  <r>
    <n v="740"/>
    <x v="5"/>
    <x v="64"/>
    <n v="2004"/>
    <n v="5"/>
    <x v="3"/>
    <n v="81"/>
    <n v="244.85421438007515"/>
    <n v="19833.191364786086"/>
  </r>
  <r>
    <n v="741"/>
    <x v="0"/>
    <x v="15"/>
    <n v="2004"/>
    <n v="4"/>
    <x v="3"/>
    <n v="63"/>
    <n v="191.24656039127012"/>
    <n v="12048.533304650018"/>
  </r>
  <r>
    <n v="742"/>
    <x v="5"/>
    <x v="21"/>
    <n v="2005"/>
    <n v="5"/>
    <x v="1"/>
    <n v="-3"/>
    <n v="-7.3657850032017285"/>
    <n v="22.097355009605185"/>
  </r>
  <r>
    <n v="743"/>
    <x v="4"/>
    <x v="32"/>
    <n v="2005"/>
    <n v="7"/>
    <x v="1"/>
    <n v="8"/>
    <n v="25.810666689825588"/>
    <n v="206.4853335186047"/>
  </r>
  <r>
    <n v="744"/>
    <x v="7"/>
    <x v="0"/>
    <n v="2004"/>
    <n v="4"/>
    <x v="0"/>
    <n v="46"/>
    <n v="139.61633299698832"/>
    <n v="6422.351317861463"/>
  </r>
  <r>
    <n v="745"/>
    <x v="4"/>
    <x v="54"/>
    <n v="2005"/>
    <n v="2"/>
    <x v="0"/>
    <n v="3"/>
    <n v="10.87686297512148"/>
    <n v="32.630588925364435"/>
  </r>
  <r>
    <n v="746"/>
    <x v="4"/>
    <x v="3"/>
    <n v="2006"/>
    <n v="5"/>
    <x v="1"/>
    <n v="68"/>
    <n v="205.86039765882776"/>
    <n v="13998.507040800288"/>
  </r>
  <r>
    <n v="747"/>
    <x v="0"/>
    <x v="91"/>
    <n v="2006"/>
    <n v="4"/>
    <x v="1"/>
    <n v="83"/>
    <n v="251.06283096017734"/>
    <n v="20838.21496969472"/>
  </r>
  <r>
    <n v="748"/>
    <x v="5"/>
    <x v="54"/>
    <n v="2005"/>
    <n v="2"/>
    <x v="3"/>
    <n v="51"/>
    <n v="155.12341917228474"/>
    <n v="7911.2943777865221"/>
  </r>
  <r>
    <n v="749"/>
    <x v="8"/>
    <x v="91"/>
    <n v="2006"/>
    <n v="4"/>
    <x v="1"/>
    <n v="16"/>
    <n v="50.203538747394113"/>
    <n v="803.25661995830581"/>
  </r>
  <r>
    <n v="750"/>
    <x v="8"/>
    <x v="46"/>
    <n v="2006"/>
    <n v="5"/>
    <x v="3"/>
    <n v="-2"/>
    <n v="-3.9135627833735267"/>
    <n v="7.8271255667470534"/>
  </r>
  <r>
    <n v="751"/>
    <x v="5"/>
    <x v="10"/>
    <n v="2004"/>
    <n v="11"/>
    <x v="0"/>
    <n v="6"/>
    <n v="20.370424027363761"/>
    <n v="122.22254416418257"/>
  </r>
  <r>
    <n v="752"/>
    <x v="4"/>
    <x v="72"/>
    <n v="2005"/>
    <n v="10"/>
    <x v="0"/>
    <n v="-5"/>
    <n v="-12.571701775011148"/>
    <n v="62.85850887505574"/>
  </r>
  <r>
    <n v="753"/>
    <x v="0"/>
    <x v="67"/>
    <n v="2006"/>
    <n v="1"/>
    <x v="3"/>
    <n v="42"/>
    <n v="127.71123178411425"/>
    <n v="5363.8717349327981"/>
  </r>
  <r>
    <n v="754"/>
    <x v="5"/>
    <x v="94"/>
    <n v="2005"/>
    <n v="1"/>
    <x v="3"/>
    <n v="47"/>
    <n v="143.38409457230034"/>
    <n v="6739.0524448981159"/>
  </r>
  <r>
    <n v="755"/>
    <x v="1"/>
    <x v="73"/>
    <n v="2006"/>
    <n v="7"/>
    <x v="4"/>
    <n v="16"/>
    <n v="50.193862989445165"/>
    <n v="803.10180783112264"/>
  </r>
  <r>
    <n v="756"/>
    <x v="8"/>
    <x v="83"/>
    <n v="2004"/>
    <n v="5"/>
    <x v="0"/>
    <n v="11"/>
    <n v="35.356196404749518"/>
    <n v="388.91816045224471"/>
  </r>
  <r>
    <n v="757"/>
    <x v="0"/>
    <x v="10"/>
    <n v="2004"/>
    <n v="11"/>
    <x v="3"/>
    <n v="-10"/>
    <n v="-27.896760549483552"/>
    <n v="278.96760549483554"/>
  </r>
  <r>
    <n v="758"/>
    <x v="2"/>
    <x v="1"/>
    <n v="2004"/>
    <n v="3"/>
    <x v="3"/>
    <n v="21"/>
    <n v="65.379195576752196"/>
    <n v="1372.963107111796"/>
  </r>
  <r>
    <n v="759"/>
    <x v="8"/>
    <x v="72"/>
    <n v="2005"/>
    <n v="10"/>
    <x v="4"/>
    <n v="52"/>
    <n v="157.72596503790041"/>
    <n v="8201.7501819708214"/>
  </r>
  <r>
    <n v="760"/>
    <x v="5"/>
    <x v="15"/>
    <n v="2004"/>
    <n v="4"/>
    <x v="2"/>
    <n v="5"/>
    <n v="17.005120052550815"/>
    <n v="85.025600262754068"/>
  </r>
  <r>
    <n v="761"/>
    <x v="5"/>
    <x v="57"/>
    <n v="2005"/>
    <n v="7"/>
    <x v="3"/>
    <n v="52"/>
    <n v="158.43447603180036"/>
    <n v="8238.5927536536183"/>
  </r>
  <r>
    <n v="762"/>
    <x v="4"/>
    <x v="55"/>
    <n v="2005"/>
    <n v="3"/>
    <x v="4"/>
    <n v="38"/>
    <n v="115.38889596804569"/>
    <n v="4384.7780467857365"/>
  </r>
  <r>
    <n v="763"/>
    <x v="6"/>
    <x v="46"/>
    <n v="2006"/>
    <n v="5"/>
    <x v="4"/>
    <n v="84"/>
    <n v="254.2621659223083"/>
    <n v="21358.021937473895"/>
  </r>
  <r>
    <n v="764"/>
    <x v="8"/>
    <x v="23"/>
    <n v="2006"/>
    <n v="12"/>
    <x v="2"/>
    <n v="18"/>
    <n v="55.343428443559006"/>
    <n v="996.18171198406208"/>
  </r>
  <r>
    <n v="765"/>
    <x v="7"/>
    <x v="88"/>
    <n v="2004"/>
    <n v="5"/>
    <x v="0"/>
    <n v="-6"/>
    <n v="-15.742829763147856"/>
    <n v="94.456978578887146"/>
  </r>
  <r>
    <n v="766"/>
    <x v="8"/>
    <x v="0"/>
    <n v="2004"/>
    <n v="4"/>
    <x v="0"/>
    <n v="5"/>
    <n v="16.913541625810112"/>
    <n v="84.567708129050558"/>
  </r>
  <r>
    <n v="767"/>
    <x v="4"/>
    <x v="23"/>
    <n v="2006"/>
    <n v="12"/>
    <x v="1"/>
    <n v="59"/>
    <n v="178.89597357687876"/>
    <n v="10554.862441035846"/>
  </r>
  <r>
    <n v="768"/>
    <x v="4"/>
    <x v="51"/>
    <n v="2005"/>
    <n v="6"/>
    <x v="4"/>
    <n v="-1"/>
    <n v="-1.4317242178607446"/>
    <n v="1.4317242178607446"/>
  </r>
  <r>
    <n v="769"/>
    <x v="7"/>
    <x v="49"/>
    <n v="2005"/>
    <n v="1"/>
    <x v="2"/>
    <n v="12"/>
    <n v="37.854496358374917"/>
    <n v="454.253956300499"/>
  </r>
  <r>
    <n v="770"/>
    <x v="4"/>
    <x v="6"/>
    <n v="2004"/>
    <n v="3"/>
    <x v="2"/>
    <n v="25"/>
    <n v="76.808458339015715"/>
    <n v="1920.2114584753929"/>
  </r>
  <r>
    <n v="771"/>
    <x v="5"/>
    <x v="51"/>
    <n v="2005"/>
    <n v="6"/>
    <x v="4"/>
    <n v="33"/>
    <n v="101.42418309364238"/>
    <n v="3346.9980420901989"/>
  </r>
  <r>
    <n v="772"/>
    <x v="0"/>
    <x v="86"/>
    <n v="2004"/>
    <n v="2"/>
    <x v="4"/>
    <n v="12"/>
    <n v="37.887038047747772"/>
    <n v="454.64445657297324"/>
  </r>
  <r>
    <n v="773"/>
    <x v="6"/>
    <x v="39"/>
    <n v="2005"/>
    <n v="8"/>
    <x v="3"/>
    <n v="52"/>
    <n v="158.30772051149228"/>
    <n v="8232.0014665975978"/>
  </r>
  <r>
    <n v="774"/>
    <x v="7"/>
    <x v="55"/>
    <n v="2005"/>
    <n v="3"/>
    <x v="3"/>
    <n v="34"/>
    <n v="103.62316183025368"/>
    <n v="3523.1875022286249"/>
  </r>
  <r>
    <n v="775"/>
    <x v="5"/>
    <x v="57"/>
    <n v="2005"/>
    <n v="7"/>
    <x v="1"/>
    <n v="66"/>
    <n v="200.65880996778469"/>
    <n v="13243.48145787379"/>
  </r>
  <r>
    <n v="776"/>
    <x v="5"/>
    <x v="96"/>
    <n v="2004"/>
    <n v="7"/>
    <x v="2"/>
    <n v="10"/>
    <n v="31.853247271934272"/>
    <n v="318.53247271934271"/>
  </r>
  <r>
    <n v="777"/>
    <x v="8"/>
    <x v="86"/>
    <n v="2004"/>
    <n v="2"/>
    <x v="1"/>
    <n v="-5"/>
    <n v="-12.547627479219663"/>
    <n v="62.738137396098317"/>
  </r>
  <r>
    <n v="778"/>
    <x v="2"/>
    <x v="39"/>
    <n v="2005"/>
    <n v="8"/>
    <x v="4"/>
    <n v="89"/>
    <n v="269.48918997457559"/>
    <n v="23984.537907737227"/>
  </r>
  <r>
    <n v="779"/>
    <x v="8"/>
    <x v="37"/>
    <n v="2005"/>
    <n v="4"/>
    <x v="1"/>
    <n v="5"/>
    <n v="16.818206363269947"/>
    <n v="84.091031816349741"/>
  </r>
  <r>
    <n v="780"/>
    <x v="7"/>
    <x v="84"/>
    <n v="2006"/>
    <n v="10"/>
    <x v="4"/>
    <n v="48"/>
    <n v="145.98516396408215"/>
    <n v="7007.2878702759426"/>
  </r>
  <r>
    <n v="781"/>
    <x v="0"/>
    <x v="23"/>
    <n v="2006"/>
    <n v="12"/>
    <x v="4"/>
    <n v="36"/>
    <n v="109.92397437204225"/>
    <n v="3957.2630773935211"/>
  </r>
  <r>
    <n v="782"/>
    <x v="5"/>
    <x v="76"/>
    <n v="2006"/>
    <n v="11"/>
    <x v="4"/>
    <n v="80"/>
    <n v="241.99741515278305"/>
    <n v="19359.793212222645"/>
  </r>
  <r>
    <n v="783"/>
    <x v="0"/>
    <x v="66"/>
    <n v="2006"/>
    <n v="11"/>
    <x v="0"/>
    <n v="64"/>
    <n v="193.891081917441"/>
    <n v="12409.029242716224"/>
  </r>
  <r>
    <n v="784"/>
    <x v="0"/>
    <x v="85"/>
    <n v="2005"/>
    <n v="10"/>
    <x v="1"/>
    <n v="51"/>
    <n v="155.49981680350626"/>
    <n v="7930.4906569788191"/>
  </r>
  <r>
    <n v="785"/>
    <x v="2"/>
    <x v="37"/>
    <n v="2005"/>
    <n v="4"/>
    <x v="3"/>
    <n v="92"/>
    <n v="278.34020387718806"/>
    <n v="25607.298756701301"/>
  </r>
  <r>
    <n v="786"/>
    <x v="8"/>
    <x v="92"/>
    <n v="2005"/>
    <n v="4"/>
    <x v="3"/>
    <n v="93"/>
    <n v="280.85575758245068"/>
    <n v="26119.585455167915"/>
  </r>
  <r>
    <n v="787"/>
    <x v="7"/>
    <x v="78"/>
    <n v="2005"/>
    <n v="2"/>
    <x v="1"/>
    <n v="36"/>
    <n v="110.48116735303131"/>
    <n v="3977.3220247091272"/>
  </r>
  <r>
    <n v="788"/>
    <x v="2"/>
    <x v="84"/>
    <n v="2006"/>
    <n v="10"/>
    <x v="0"/>
    <n v="-9"/>
    <n v="-24.826904970027119"/>
    <n v="223.44214473024408"/>
  </r>
  <r>
    <n v="789"/>
    <x v="7"/>
    <x v="40"/>
    <n v="2005"/>
    <n v="5"/>
    <x v="0"/>
    <n v="48"/>
    <n v="146.23287015814799"/>
    <n v="7019.1777675911035"/>
  </r>
  <r>
    <n v="790"/>
    <x v="8"/>
    <x v="26"/>
    <n v="2005"/>
    <n v="11"/>
    <x v="3"/>
    <n v="11"/>
    <n v="34.54792782212121"/>
    <n v="380.02720604333331"/>
  </r>
  <r>
    <n v="791"/>
    <x v="8"/>
    <x v="87"/>
    <n v="2004"/>
    <n v="7"/>
    <x v="2"/>
    <n v="8"/>
    <n v="25.453618816298423"/>
    <n v="203.62895053038739"/>
  </r>
  <r>
    <n v="792"/>
    <x v="4"/>
    <x v="15"/>
    <n v="2004"/>
    <n v="4"/>
    <x v="1"/>
    <n v="36"/>
    <n v="110.09171904672033"/>
    <n v="3963.3018856819317"/>
  </r>
  <r>
    <n v="793"/>
    <x v="8"/>
    <x v="47"/>
    <n v="2005"/>
    <n v="11"/>
    <x v="4"/>
    <n v="93"/>
    <n v="280.77976287020761"/>
    <n v="26112.517946929307"/>
  </r>
  <r>
    <n v="794"/>
    <x v="1"/>
    <x v="15"/>
    <n v="2004"/>
    <n v="4"/>
    <x v="0"/>
    <n v="39"/>
    <n v="119.20284079894812"/>
    <n v="4648.9107911589763"/>
  </r>
  <r>
    <n v="795"/>
    <x v="1"/>
    <x v="64"/>
    <n v="2004"/>
    <n v="5"/>
    <x v="3"/>
    <n v="72"/>
    <n v="218.07728873022205"/>
    <n v="15701.564788575988"/>
  </r>
  <r>
    <n v="796"/>
    <x v="6"/>
    <x v="52"/>
    <n v="2006"/>
    <n v="3"/>
    <x v="0"/>
    <n v="3"/>
    <n v="10.416176420457935"/>
    <n v="31.248529261373804"/>
  </r>
  <r>
    <n v="797"/>
    <x v="3"/>
    <x v="13"/>
    <n v="2005"/>
    <n v="1"/>
    <x v="4"/>
    <n v="47"/>
    <n v="142.8388636236887"/>
    <n v="6713.4265903133683"/>
  </r>
  <r>
    <n v="798"/>
    <x v="5"/>
    <x v="30"/>
    <n v="2006"/>
    <n v="12"/>
    <x v="4"/>
    <n v="72"/>
    <n v="217.32445132799407"/>
    <n v="15647.360495615572"/>
  </r>
  <r>
    <n v="799"/>
    <x v="4"/>
    <x v="23"/>
    <n v="2006"/>
    <n v="12"/>
    <x v="4"/>
    <n v="26"/>
    <n v="79.748589199087291"/>
    <n v="2073.4633191762696"/>
  </r>
  <r>
    <n v="800"/>
    <x v="3"/>
    <x v="71"/>
    <n v="2004"/>
    <n v="10"/>
    <x v="3"/>
    <n v="47"/>
    <n v="142.48755479367787"/>
    <n v="6696.9150753028598"/>
  </r>
  <r>
    <n v="801"/>
    <x v="5"/>
    <x v="56"/>
    <n v="2006"/>
    <n v="1"/>
    <x v="0"/>
    <n v="14"/>
    <n v="43.403824731122626"/>
    <n v="607.6535462357167"/>
  </r>
  <r>
    <n v="802"/>
    <x v="3"/>
    <x v="51"/>
    <n v="2005"/>
    <n v="6"/>
    <x v="4"/>
    <n v="71"/>
    <n v="215.07582310104507"/>
    <n v="15270.383440174201"/>
  </r>
  <r>
    <n v="803"/>
    <x v="1"/>
    <x v="63"/>
    <n v="2006"/>
    <n v="8"/>
    <x v="1"/>
    <n v="95"/>
    <n v="287.79738255613682"/>
    <n v="27340.751342832998"/>
  </r>
  <r>
    <n v="804"/>
    <x v="8"/>
    <x v="52"/>
    <n v="2006"/>
    <n v="3"/>
    <x v="4"/>
    <n v="37"/>
    <n v="112.77919739726129"/>
    <n v="4172.8303036986672"/>
  </r>
  <r>
    <n v="805"/>
    <x v="1"/>
    <x v="44"/>
    <n v="2005"/>
    <n v="12"/>
    <x v="0"/>
    <n v="-1"/>
    <n v="-0.39117514400995779"/>
    <n v="0.39117514400995779"/>
  </r>
  <r>
    <n v="806"/>
    <x v="6"/>
    <x v="63"/>
    <n v="2006"/>
    <n v="8"/>
    <x v="3"/>
    <n v="26"/>
    <n v="80.208589830999188"/>
    <n v="2085.423335605979"/>
  </r>
  <r>
    <n v="807"/>
    <x v="3"/>
    <x v="42"/>
    <n v="2004"/>
    <n v="1"/>
    <x v="3"/>
    <n v="67"/>
    <n v="203.54299038710067"/>
    <n v="13637.380355935746"/>
  </r>
  <r>
    <n v="808"/>
    <x v="6"/>
    <x v="59"/>
    <n v="2004"/>
    <n v="2"/>
    <x v="0"/>
    <n v="15"/>
    <n v="47.198351483731813"/>
    <n v="707.97527225597719"/>
  </r>
  <r>
    <n v="809"/>
    <x v="7"/>
    <x v="34"/>
    <n v="2006"/>
    <n v="2"/>
    <x v="0"/>
    <n v="73"/>
    <n v="221.33612349849449"/>
    <n v="16157.537015390097"/>
  </r>
  <r>
    <n v="810"/>
    <x v="7"/>
    <x v="71"/>
    <n v="2004"/>
    <n v="10"/>
    <x v="4"/>
    <n v="13"/>
    <n v="40.899875452377259"/>
    <n v="531.69838088090432"/>
  </r>
  <r>
    <n v="811"/>
    <x v="6"/>
    <x v="6"/>
    <n v="2004"/>
    <n v="3"/>
    <x v="1"/>
    <n v="76"/>
    <n v="229.55812152109252"/>
    <n v="17446.417235603032"/>
  </r>
  <r>
    <n v="812"/>
    <x v="8"/>
    <x v="38"/>
    <n v="2004"/>
    <n v="6"/>
    <x v="3"/>
    <n v="-9"/>
    <n v="-24.933082918901754"/>
    <n v="224.39774627011579"/>
  </r>
  <r>
    <n v="813"/>
    <x v="4"/>
    <x v="98"/>
    <n v="2005"/>
    <n v="6"/>
    <x v="2"/>
    <n v="36"/>
    <n v="109.53328220052806"/>
    <n v="3943.1981592190104"/>
  </r>
  <r>
    <n v="814"/>
    <x v="2"/>
    <x v="64"/>
    <n v="2004"/>
    <n v="5"/>
    <x v="1"/>
    <n v="11"/>
    <n v="35.52180509936634"/>
    <n v="390.73985609302974"/>
  </r>
  <r>
    <n v="815"/>
    <x v="4"/>
    <x v="67"/>
    <n v="2006"/>
    <n v="1"/>
    <x v="0"/>
    <n v="73"/>
    <n v="220.50049794203733"/>
    <n v="16096.536349768725"/>
  </r>
  <r>
    <n v="816"/>
    <x v="7"/>
    <x v="81"/>
    <n v="2004"/>
    <n v="10"/>
    <x v="2"/>
    <n v="93"/>
    <n v="280.26544889145606"/>
    <n v="26064.686746905412"/>
  </r>
  <r>
    <n v="817"/>
    <x v="0"/>
    <x v="99"/>
    <n v="2006"/>
    <n v="4"/>
    <x v="1"/>
    <n v="69"/>
    <n v="209.31670948874884"/>
    <n v="14442.85295472367"/>
  </r>
  <r>
    <n v="818"/>
    <x v="1"/>
    <x v="15"/>
    <n v="2004"/>
    <n v="4"/>
    <x v="3"/>
    <n v="86"/>
    <n v="259.4849368720744"/>
    <n v="22315.704570998398"/>
  </r>
  <r>
    <n v="819"/>
    <x v="0"/>
    <x v="18"/>
    <n v="2006"/>
    <n v="6"/>
    <x v="4"/>
    <n v="54"/>
    <n v="164.37938973773885"/>
    <n v="8876.4870458378973"/>
  </r>
  <r>
    <n v="820"/>
    <x v="5"/>
    <x v="92"/>
    <n v="2005"/>
    <n v="4"/>
    <x v="4"/>
    <n v="-2"/>
    <n v="-4.040363555098244"/>
    <n v="8.0807271101964879"/>
  </r>
  <r>
    <n v="821"/>
    <x v="3"/>
    <x v="14"/>
    <n v="2006"/>
    <n v="9"/>
    <x v="1"/>
    <n v="83"/>
    <n v="250.16533632828239"/>
    <n v="20763.722915247439"/>
  </r>
  <r>
    <n v="822"/>
    <x v="8"/>
    <x v="85"/>
    <n v="2005"/>
    <n v="10"/>
    <x v="4"/>
    <n v="2"/>
    <n v="8.0012184182764319"/>
    <n v="16.002436836552864"/>
  </r>
  <r>
    <n v="823"/>
    <x v="4"/>
    <x v="63"/>
    <n v="2006"/>
    <n v="8"/>
    <x v="3"/>
    <n v="54"/>
    <n v="164.14962862314266"/>
    <n v="8864.0799456497043"/>
  </r>
  <r>
    <n v="824"/>
    <x v="1"/>
    <x v="0"/>
    <n v="2004"/>
    <n v="4"/>
    <x v="1"/>
    <n v="76"/>
    <n v="230.41943809745561"/>
    <n v="17511.877295406626"/>
  </r>
  <r>
    <n v="825"/>
    <x v="0"/>
    <x v="12"/>
    <n v="2005"/>
    <n v="8"/>
    <x v="3"/>
    <n v="10"/>
    <n v="32.250567590543547"/>
    <n v="322.50567590543545"/>
  </r>
  <r>
    <n v="826"/>
    <x v="7"/>
    <x v="84"/>
    <n v="2006"/>
    <n v="10"/>
    <x v="1"/>
    <n v="81"/>
    <n v="245.03936147229382"/>
    <n v="19848.188279255799"/>
  </r>
  <r>
    <n v="827"/>
    <x v="7"/>
    <x v="14"/>
    <n v="2006"/>
    <n v="9"/>
    <x v="3"/>
    <n v="83"/>
    <n v="251.14060708825255"/>
    <n v="20844.670388324961"/>
  </r>
  <r>
    <n v="828"/>
    <x v="3"/>
    <x v="79"/>
    <n v="2006"/>
    <n v="11"/>
    <x v="1"/>
    <n v="6"/>
    <n v="19.522370228620925"/>
    <n v="117.13422137172554"/>
  </r>
  <r>
    <n v="829"/>
    <x v="4"/>
    <x v="76"/>
    <n v="2006"/>
    <n v="11"/>
    <x v="4"/>
    <n v="77"/>
    <n v="233.15631874033514"/>
    <n v="17953.036543005805"/>
  </r>
  <r>
    <n v="830"/>
    <x v="7"/>
    <x v="28"/>
    <n v="2006"/>
    <n v="3"/>
    <x v="4"/>
    <n v="41"/>
    <n v="125.28397193085664"/>
    <n v="5136.6428491651222"/>
  </r>
  <r>
    <n v="831"/>
    <x v="2"/>
    <x v="23"/>
    <n v="2006"/>
    <n v="12"/>
    <x v="0"/>
    <n v="80"/>
    <n v="241.70735878482179"/>
    <n v="19336.588702785742"/>
  </r>
  <r>
    <n v="832"/>
    <x v="3"/>
    <x v="3"/>
    <n v="2006"/>
    <n v="5"/>
    <x v="3"/>
    <n v="20"/>
    <n v="62.210097856811508"/>
    <n v="1244.2019571362302"/>
  </r>
  <r>
    <n v="833"/>
    <x v="6"/>
    <x v="97"/>
    <n v="2004"/>
    <n v="1"/>
    <x v="3"/>
    <n v="31"/>
    <n v="95.327196648200925"/>
    <n v="2955.1430960942289"/>
  </r>
  <r>
    <n v="834"/>
    <x v="1"/>
    <x v="56"/>
    <n v="2006"/>
    <n v="1"/>
    <x v="1"/>
    <n v="34"/>
    <n v="103.89654308960344"/>
    <n v="3532.4824650465171"/>
  </r>
  <r>
    <n v="835"/>
    <x v="2"/>
    <x v="12"/>
    <n v="2005"/>
    <n v="8"/>
    <x v="1"/>
    <n v="2"/>
    <n v="8.0342514695562706"/>
    <n v="16.068502939112541"/>
  </r>
  <r>
    <n v="836"/>
    <x v="7"/>
    <x v="75"/>
    <n v="2006"/>
    <n v="2"/>
    <x v="1"/>
    <n v="17"/>
    <n v="53.331838418625381"/>
    <n v="906.64125311663145"/>
  </r>
  <r>
    <n v="837"/>
    <x v="6"/>
    <x v="18"/>
    <n v="2006"/>
    <n v="6"/>
    <x v="3"/>
    <n v="16"/>
    <n v="50.310894482412991"/>
    <n v="804.97431171860785"/>
  </r>
  <r>
    <n v="838"/>
    <x v="5"/>
    <x v="52"/>
    <n v="2006"/>
    <n v="3"/>
    <x v="1"/>
    <n v="54"/>
    <n v="163.70197903495185"/>
    <n v="8839.9068678873991"/>
  </r>
  <r>
    <n v="839"/>
    <x v="3"/>
    <x v="59"/>
    <n v="2004"/>
    <n v="2"/>
    <x v="0"/>
    <n v="-9"/>
    <n v="-24.921999927055641"/>
    <n v="224.29799934350078"/>
  </r>
  <r>
    <n v="840"/>
    <x v="3"/>
    <x v="16"/>
    <n v="2006"/>
    <n v="4"/>
    <x v="3"/>
    <n v="94"/>
    <n v="284.53575317756747"/>
    <n v="26746.360798691341"/>
  </r>
  <r>
    <n v="841"/>
    <x v="7"/>
    <x v="80"/>
    <n v="2004"/>
    <n v="9"/>
    <x v="1"/>
    <n v="-3"/>
    <n v="-7.4497114042005954"/>
    <n v="22.349134212601786"/>
  </r>
  <r>
    <n v="842"/>
    <x v="5"/>
    <x v="22"/>
    <n v="2004"/>
    <n v="11"/>
    <x v="4"/>
    <n v="9"/>
    <n v="28.830809944248564"/>
    <n v="259.4772894982371"/>
  </r>
  <r>
    <n v="843"/>
    <x v="1"/>
    <x v="6"/>
    <n v="2004"/>
    <n v="3"/>
    <x v="1"/>
    <n v="25"/>
    <n v="77.108203405128648"/>
    <n v="1927.7050851282163"/>
  </r>
  <r>
    <n v="844"/>
    <x v="2"/>
    <x v="25"/>
    <n v="2006"/>
    <n v="10"/>
    <x v="0"/>
    <n v="29"/>
    <n v="89.310545900397301"/>
    <n v="2590.0058311115217"/>
  </r>
  <r>
    <n v="845"/>
    <x v="8"/>
    <x v="89"/>
    <n v="2004"/>
    <n v="8"/>
    <x v="3"/>
    <n v="37"/>
    <n v="113.21323460768004"/>
    <n v="4188.8896804841615"/>
  </r>
  <r>
    <n v="846"/>
    <x v="3"/>
    <x v="51"/>
    <n v="2005"/>
    <n v="6"/>
    <x v="1"/>
    <n v="19"/>
    <n v="59.003760475925063"/>
    <n v="1121.0714490425762"/>
  </r>
  <r>
    <n v="847"/>
    <x v="5"/>
    <x v="15"/>
    <n v="2004"/>
    <n v="4"/>
    <x v="0"/>
    <n v="28"/>
    <n v="86.04518510559123"/>
    <n v="2409.2651829565543"/>
  </r>
  <r>
    <n v="848"/>
    <x v="7"/>
    <x v="38"/>
    <n v="2004"/>
    <n v="6"/>
    <x v="3"/>
    <n v="18"/>
    <n v="55.858549479616173"/>
    <n v="1005.4538906330911"/>
  </r>
  <r>
    <n v="849"/>
    <x v="2"/>
    <x v="18"/>
    <n v="2006"/>
    <n v="6"/>
    <x v="2"/>
    <n v="84"/>
    <n v="254.04302513210774"/>
    <n v="21339.614111097049"/>
  </r>
  <r>
    <n v="850"/>
    <x v="6"/>
    <x v="81"/>
    <n v="2004"/>
    <n v="10"/>
    <x v="1"/>
    <n v="79"/>
    <n v="238.82743961542425"/>
    <n v="18867.367729618516"/>
  </r>
  <r>
    <n v="851"/>
    <x v="8"/>
    <x v="22"/>
    <n v="2004"/>
    <n v="11"/>
    <x v="1"/>
    <n v="31"/>
    <n v="94.972961203791044"/>
    <n v="2944.1617973175225"/>
  </r>
  <r>
    <n v="852"/>
    <x v="7"/>
    <x v="73"/>
    <n v="2006"/>
    <n v="7"/>
    <x v="2"/>
    <n v="34"/>
    <n v="103.39863614232333"/>
    <n v="3515.5536288389931"/>
  </r>
  <r>
    <n v="853"/>
    <x v="8"/>
    <x v="26"/>
    <n v="2005"/>
    <n v="11"/>
    <x v="4"/>
    <n v="66"/>
    <n v="201.25536797949457"/>
    <n v="13282.854286646641"/>
  </r>
  <r>
    <n v="854"/>
    <x v="6"/>
    <x v="3"/>
    <n v="2006"/>
    <n v="5"/>
    <x v="4"/>
    <n v="44"/>
    <n v="134.44985862590835"/>
    <n v="5915.7937795399675"/>
  </r>
  <r>
    <n v="855"/>
    <x v="0"/>
    <x v="49"/>
    <n v="2005"/>
    <n v="1"/>
    <x v="3"/>
    <n v="94"/>
    <n v="284.41944495958916"/>
    <n v="26735.42782620138"/>
  </r>
  <r>
    <n v="856"/>
    <x v="4"/>
    <x v="15"/>
    <n v="2004"/>
    <n v="4"/>
    <x v="1"/>
    <n v="11"/>
    <n v="35.299860689817372"/>
    <n v="388.29846758799107"/>
  </r>
  <r>
    <n v="857"/>
    <x v="1"/>
    <x v="89"/>
    <n v="2004"/>
    <n v="8"/>
    <x v="0"/>
    <n v="74"/>
    <n v="223.97457991298864"/>
    <n v="16574.11891356116"/>
  </r>
  <r>
    <n v="858"/>
    <x v="7"/>
    <x v="23"/>
    <n v="2006"/>
    <n v="12"/>
    <x v="4"/>
    <n v="28"/>
    <n v="86.485564911199845"/>
    <n v="2421.5958175135956"/>
  </r>
  <r>
    <n v="859"/>
    <x v="5"/>
    <x v="98"/>
    <n v="2005"/>
    <n v="6"/>
    <x v="0"/>
    <n v="40"/>
    <n v="121.92180749554807"/>
    <n v="4876.8722998219228"/>
  </r>
  <r>
    <n v="860"/>
    <x v="5"/>
    <x v="36"/>
    <n v="2004"/>
    <n v="2"/>
    <x v="0"/>
    <n v="34"/>
    <n v="104.1689153871453"/>
    <n v="3541.7431231629403"/>
  </r>
  <r>
    <n v="861"/>
    <x v="0"/>
    <x v="27"/>
    <n v="2005"/>
    <n v="9"/>
    <x v="3"/>
    <n v="38"/>
    <n v="115.85180148886141"/>
    <n v="4402.3684565767335"/>
  </r>
  <r>
    <n v="862"/>
    <x v="1"/>
    <x v="41"/>
    <n v="2005"/>
    <n v="6"/>
    <x v="4"/>
    <n v="69"/>
    <n v="209.14336391515394"/>
    <n v="14430.892110145622"/>
  </r>
  <r>
    <n v="863"/>
    <x v="2"/>
    <x v="65"/>
    <n v="2005"/>
    <n v="8"/>
    <x v="3"/>
    <n v="34"/>
    <n v="103.97058317140277"/>
    <n v="3534.9998278276939"/>
  </r>
  <r>
    <n v="864"/>
    <x v="0"/>
    <x v="39"/>
    <n v="2005"/>
    <n v="8"/>
    <x v="4"/>
    <n v="29"/>
    <n v="89.383943739445868"/>
    <n v="2592.1343684439303"/>
  </r>
  <r>
    <n v="865"/>
    <x v="4"/>
    <x v="59"/>
    <n v="2004"/>
    <n v="2"/>
    <x v="1"/>
    <n v="-10"/>
    <n v="-27.724939048319342"/>
    <n v="277.24939048319345"/>
  </r>
  <r>
    <n v="866"/>
    <x v="8"/>
    <x v="17"/>
    <n v="2004"/>
    <n v="10"/>
    <x v="2"/>
    <n v="42"/>
    <n v="128.42870398782102"/>
    <n v="5394.0055674884834"/>
  </r>
  <r>
    <n v="867"/>
    <x v="3"/>
    <x v="70"/>
    <n v="2006"/>
    <n v="3"/>
    <x v="4"/>
    <n v="58"/>
    <n v="175.97423505292562"/>
    <n v="10206.505633069686"/>
  </r>
  <r>
    <n v="868"/>
    <x v="6"/>
    <x v="1"/>
    <n v="2004"/>
    <n v="3"/>
    <x v="1"/>
    <n v="27"/>
    <n v="83.01665013993393"/>
    <n v="2241.4495537782159"/>
  </r>
  <r>
    <n v="869"/>
    <x v="8"/>
    <x v="8"/>
    <n v="2006"/>
    <n v="7"/>
    <x v="3"/>
    <n v="47"/>
    <n v="143.2742036645771"/>
    <n v="6733.887572235124"/>
  </r>
  <r>
    <n v="870"/>
    <x v="6"/>
    <x v="36"/>
    <n v="2004"/>
    <n v="2"/>
    <x v="1"/>
    <n v="29"/>
    <n v="88.696716331090727"/>
    <n v="2572.2047736016311"/>
  </r>
  <r>
    <n v="871"/>
    <x v="8"/>
    <x v="46"/>
    <n v="2006"/>
    <n v="5"/>
    <x v="4"/>
    <n v="28"/>
    <n v="86.226420950611285"/>
    <n v="2414.3397866171158"/>
  </r>
  <r>
    <n v="872"/>
    <x v="0"/>
    <x v="14"/>
    <n v="2006"/>
    <n v="9"/>
    <x v="3"/>
    <n v="79"/>
    <n v="239.05774059830441"/>
    <n v="18885.561507266048"/>
  </r>
  <r>
    <n v="873"/>
    <x v="2"/>
    <x v="22"/>
    <n v="2004"/>
    <n v="11"/>
    <x v="3"/>
    <n v="41"/>
    <n v="124.81786407447923"/>
    <n v="5117.5324270536485"/>
  </r>
  <r>
    <n v="874"/>
    <x v="6"/>
    <x v="32"/>
    <n v="2005"/>
    <n v="7"/>
    <x v="2"/>
    <n v="57"/>
    <n v="172.96188521453885"/>
    <n v="9858.8274572287155"/>
  </r>
  <r>
    <n v="875"/>
    <x v="8"/>
    <x v="48"/>
    <n v="2006"/>
    <n v="7"/>
    <x v="0"/>
    <n v="45"/>
    <n v="137.62002289021942"/>
    <n v="6192.9010300598738"/>
  </r>
  <r>
    <n v="876"/>
    <x v="7"/>
    <x v="70"/>
    <n v="2006"/>
    <n v="3"/>
    <x v="4"/>
    <n v="91"/>
    <n v="274.91230216083113"/>
    <n v="25017.019496635632"/>
  </r>
  <r>
    <n v="877"/>
    <x v="6"/>
    <x v="49"/>
    <n v="2005"/>
    <n v="1"/>
    <x v="4"/>
    <n v="49"/>
    <n v="149.04131306617498"/>
    <n v="7303.024340242574"/>
  </r>
  <r>
    <n v="878"/>
    <x v="0"/>
    <x v="19"/>
    <n v="2004"/>
    <n v="9"/>
    <x v="0"/>
    <n v="68"/>
    <n v="206.16097800045316"/>
    <n v="14018.946504030815"/>
  </r>
  <r>
    <n v="879"/>
    <x v="4"/>
    <x v="54"/>
    <n v="2005"/>
    <n v="2"/>
    <x v="2"/>
    <n v="38"/>
    <n v="116.64480895861564"/>
    <n v="4432.5027404273942"/>
  </r>
  <r>
    <n v="880"/>
    <x v="2"/>
    <x v="14"/>
    <n v="2006"/>
    <n v="9"/>
    <x v="1"/>
    <n v="4"/>
    <n v="15.205643253032669"/>
    <n v="60.822573012130675"/>
  </r>
  <r>
    <n v="881"/>
    <x v="6"/>
    <x v="37"/>
    <n v="2005"/>
    <n v="4"/>
    <x v="4"/>
    <n v="45"/>
    <n v="137.05484034063696"/>
    <n v="6167.4678153286632"/>
  </r>
  <r>
    <n v="882"/>
    <x v="5"/>
    <x v="90"/>
    <n v="2004"/>
    <n v="12"/>
    <x v="4"/>
    <n v="85"/>
    <n v="256.6581063828105"/>
    <n v="21815.939042538892"/>
  </r>
  <r>
    <n v="883"/>
    <x v="6"/>
    <x v="32"/>
    <n v="2005"/>
    <n v="7"/>
    <x v="2"/>
    <n v="57"/>
    <n v="173.05666995199584"/>
    <n v="9864.2301872637636"/>
  </r>
  <r>
    <n v="884"/>
    <x v="3"/>
    <x v="26"/>
    <n v="2005"/>
    <n v="11"/>
    <x v="4"/>
    <n v="-3"/>
    <n v="-6.3637861287644046"/>
    <n v="19.091358386293216"/>
  </r>
  <r>
    <n v="885"/>
    <x v="8"/>
    <x v="9"/>
    <n v="2006"/>
    <n v="8"/>
    <x v="1"/>
    <n v="-9"/>
    <n v="-24.858670230760346"/>
    <n v="223.72803207684311"/>
  </r>
  <r>
    <n v="886"/>
    <x v="3"/>
    <x v="74"/>
    <n v="2004"/>
    <n v="4"/>
    <x v="3"/>
    <n v="86"/>
    <n v="260.29381913398618"/>
    <n v="22385.268445522812"/>
  </r>
  <r>
    <n v="887"/>
    <x v="7"/>
    <x v="33"/>
    <n v="2005"/>
    <n v="3"/>
    <x v="1"/>
    <n v="11"/>
    <n v="35.041684359746164"/>
    <n v="385.45852795720782"/>
  </r>
  <r>
    <n v="888"/>
    <x v="4"/>
    <x v="53"/>
    <n v="2004"/>
    <n v="1"/>
    <x v="4"/>
    <n v="87"/>
    <n v="262.7592489136066"/>
    <n v="22860.054655483775"/>
  </r>
  <r>
    <n v="889"/>
    <x v="4"/>
    <x v="96"/>
    <n v="2004"/>
    <n v="7"/>
    <x v="3"/>
    <n v="86"/>
    <n v="260.00914889996403"/>
    <n v="22360.786805396907"/>
  </r>
  <r>
    <n v="890"/>
    <x v="0"/>
    <x v="20"/>
    <n v="2006"/>
    <n v="2"/>
    <x v="0"/>
    <n v="62"/>
    <n v="187.81034616092504"/>
    <n v="11644.241461977352"/>
  </r>
  <r>
    <n v="891"/>
    <x v="6"/>
    <x v="48"/>
    <n v="2006"/>
    <n v="7"/>
    <x v="4"/>
    <n v="80"/>
    <n v="241.85917425037732"/>
    <n v="19348.733940030186"/>
  </r>
  <r>
    <n v="892"/>
    <x v="4"/>
    <x v="87"/>
    <n v="2004"/>
    <n v="7"/>
    <x v="2"/>
    <n v="11"/>
    <n v="34.782314831792192"/>
    <n v="382.60546314971413"/>
  </r>
  <r>
    <n v="893"/>
    <x v="4"/>
    <x v="44"/>
    <n v="2005"/>
    <n v="12"/>
    <x v="2"/>
    <n v="11"/>
    <n v="34.680822827797087"/>
    <n v="381.48905110576794"/>
  </r>
  <r>
    <n v="894"/>
    <x v="8"/>
    <x v="47"/>
    <n v="2005"/>
    <n v="11"/>
    <x v="3"/>
    <n v="-4"/>
    <n v="-9.7904020756587578"/>
    <n v="39.161608302635031"/>
  </r>
  <r>
    <n v="895"/>
    <x v="5"/>
    <x v="90"/>
    <n v="2004"/>
    <n v="12"/>
    <x v="2"/>
    <n v="42"/>
    <n v="128.02610607664568"/>
    <n v="5377.0964552191181"/>
  </r>
  <r>
    <n v="896"/>
    <x v="5"/>
    <x v="43"/>
    <n v="2004"/>
    <n v="6"/>
    <x v="0"/>
    <n v="51"/>
    <n v="154.71800722699501"/>
    <n v="7890.6183685767455"/>
  </r>
  <r>
    <n v="897"/>
    <x v="4"/>
    <x v="87"/>
    <n v="2004"/>
    <n v="7"/>
    <x v="1"/>
    <n v="91"/>
    <n v="274.77216405152751"/>
    <n v="25004.266928689005"/>
  </r>
  <r>
    <n v="898"/>
    <x v="6"/>
    <x v="63"/>
    <n v="2006"/>
    <n v="8"/>
    <x v="0"/>
    <n v="24"/>
    <n v="73.406307306618515"/>
    <n v="1761.7513753588444"/>
  </r>
  <r>
    <n v="899"/>
    <x v="6"/>
    <x v="97"/>
    <n v="2004"/>
    <n v="1"/>
    <x v="3"/>
    <n v="19"/>
    <n v="59.122730804832166"/>
    <n v="1123.3318852918112"/>
  </r>
  <r>
    <n v="900"/>
    <x v="4"/>
    <x v="6"/>
    <n v="2004"/>
    <n v="3"/>
    <x v="0"/>
    <n v="80"/>
    <n v="241.74723336571216"/>
    <n v="19339.778669256972"/>
  </r>
  <r>
    <n v="901"/>
    <x v="0"/>
    <x v="23"/>
    <n v="2006"/>
    <n v="12"/>
    <x v="1"/>
    <n v="0"/>
    <n v="1.6796900586638657"/>
    <n v="0"/>
  </r>
  <r>
    <n v="902"/>
    <x v="7"/>
    <x v="58"/>
    <n v="2006"/>
    <n v="10"/>
    <x v="1"/>
    <n v="69"/>
    <n v="209.14203916980014"/>
    <n v="14430.800702716209"/>
  </r>
  <r>
    <n v="903"/>
    <x v="6"/>
    <x v="48"/>
    <n v="2006"/>
    <n v="7"/>
    <x v="4"/>
    <n v="84"/>
    <n v="253.78421313059829"/>
    <n v="21317.873902970256"/>
  </r>
  <r>
    <n v="904"/>
    <x v="1"/>
    <x v="65"/>
    <n v="2005"/>
    <n v="8"/>
    <x v="2"/>
    <n v="31"/>
    <n v="94.752143463742286"/>
    <n v="2937.3164473760107"/>
  </r>
  <r>
    <n v="905"/>
    <x v="3"/>
    <x v="12"/>
    <n v="2005"/>
    <n v="8"/>
    <x v="3"/>
    <n v="11"/>
    <n v="35.274537093655269"/>
    <n v="388.01990803020794"/>
  </r>
  <r>
    <n v="906"/>
    <x v="2"/>
    <x v="55"/>
    <n v="2005"/>
    <n v="3"/>
    <x v="0"/>
    <n v="79"/>
    <n v="239.3445563093955"/>
    <n v="18908.219948442245"/>
  </r>
  <r>
    <n v="907"/>
    <x v="7"/>
    <x v="35"/>
    <n v="2006"/>
    <n v="6"/>
    <x v="3"/>
    <n v="22"/>
    <n v="68.549031242200385"/>
    <n v="1508.0786873284085"/>
  </r>
  <r>
    <n v="908"/>
    <x v="0"/>
    <x v="78"/>
    <n v="2005"/>
    <n v="2"/>
    <x v="1"/>
    <n v="76"/>
    <n v="231.1298624050425"/>
    <n v="17565.869542783232"/>
  </r>
  <r>
    <n v="909"/>
    <x v="2"/>
    <x v="71"/>
    <n v="2004"/>
    <n v="10"/>
    <x v="3"/>
    <n v="0"/>
    <n v="2.7444174420335523"/>
    <n v="0"/>
  </r>
  <r>
    <n v="910"/>
    <x v="6"/>
    <x v="61"/>
    <n v="2005"/>
    <n v="3"/>
    <x v="0"/>
    <n v="94"/>
    <n v="283.56226306241973"/>
    <n v="26654.852727867456"/>
  </r>
  <r>
    <n v="911"/>
    <x v="3"/>
    <x v="22"/>
    <n v="2004"/>
    <n v="11"/>
    <x v="1"/>
    <n v="14"/>
    <n v="44.2457022640235"/>
    <n v="619.43983169632895"/>
  </r>
  <r>
    <n v="912"/>
    <x v="6"/>
    <x v="8"/>
    <n v="2006"/>
    <n v="7"/>
    <x v="4"/>
    <n v="57"/>
    <n v="172.69724242963656"/>
    <n v="9843.7428184892833"/>
  </r>
  <r>
    <n v="913"/>
    <x v="7"/>
    <x v="92"/>
    <n v="2005"/>
    <n v="4"/>
    <x v="0"/>
    <n v="3"/>
    <n v="11.082849552887902"/>
    <n v="33.248548658663708"/>
  </r>
  <r>
    <n v="914"/>
    <x v="8"/>
    <x v="8"/>
    <n v="2006"/>
    <n v="7"/>
    <x v="0"/>
    <n v="50"/>
    <n v="151.95954978745411"/>
    <n v="7597.9774893727053"/>
  </r>
  <r>
    <n v="915"/>
    <x v="2"/>
    <x v="62"/>
    <n v="2006"/>
    <n v="6"/>
    <x v="3"/>
    <n v="25"/>
    <n v="76.624560231864265"/>
    <n v="1915.6140057966065"/>
  </r>
  <r>
    <n v="916"/>
    <x v="5"/>
    <x v="12"/>
    <n v="2005"/>
    <n v="8"/>
    <x v="1"/>
    <n v="46"/>
    <n v="140.2736912488281"/>
    <n v="6452.5897974460922"/>
  </r>
  <r>
    <n v="917"/>
    <x v="3"/>
    <x v="48"/>
    <n v="2006"/>
    <n v="7"/>
    <x v="0"/>
    <n v="19"/>
    <n v="58.735580557472737"/>
    <n v="1115.976030591982"/>
  </r>
  <r>
    <n v="918"/>
    <x v="6"/>
    <x v="3"/>
    <n v="2006"/>
    <n v="5"/>
    <x v="3"/>
    <n v="6"/>
    <n v="20.099629096975125"/>
    <n v="120.59777458185076"/>
  </r>
  <r>
    <n v="919"/>
    <x v="7"/>
    <x v="8"/>
    <n v="2006"/>
    <n v="7"/>
    <x v="2"/>
    <n v="8"/>
    <n v="26.084862644671222"/>
    <n v="208.67890115736978"/>
  </r>
  <r>
    <n v="920"/>
    <x v="6"/>
    <x v="56"/>
    <n v="2006"/>
    <n v="1"/>
    <x v="4"/>
    <n v="-2"/>
    <n v="-3.7309676865630421"/>
    <n v="7.4619353731260842"/>
  </r>
  <r>
    <n v="921"/>
    <x v="3"/>
    <x v="37"/>
    <n v="2005"/>
    <n v="4"/>
    <x v="0"/>
    <n v="80"/>
    <n v="240.69010526776344"/>
    <n v="19255.208421421077"/>
  </r>
  <r>
    <n v="922"/>
    <x v="7"/>
    <x v="21"/>
    <n v="2005"/>
    <n v="5"/>
    <x v="1"/>
    <n v="19"/>
    <n v="58.904121420487954"/>
    <n v="1119.1783069892711"/>
  </r>
  <r>
    <n v="923"/>
    <x v="0"/>
    <x v="37"/>
    <n v="2005"/>
    <n v="4"/>
    <x v="2"/>
    <n v="27"/>
    <n v="82.994094545634482"/>
    <n v="2240.8405527321311"/>
  </r>
  <r>
    <n v="924"/>
    <x v="2"/>
    <x v="36"/>
    <n v="2004"/>
    <n v="2"/>
    <x v="4"/>
    <n v="79"/>
    <n v="239.44869651132598"/>
    <n v="18916.447024394751"/>
  </r>
  <r>
    <n v="925"/>
    <x v="7"/>
    <x v="56"/>
    <n v="2006"/>
    <n v="1"/>
    <x v="1"/>
    <n v="57"/>
    <n v="173.32970466821706"/>
    <n v="9879.7931660883733"/>
  </r>
  <r>
    <n v="926"/>
    <x v="8"/>
    <x v="60"/>
    <n v="2005"/>
    <n v="12"/>
    <x v="0"/>
    <n v="47"/>
    <n v="143.60165141540284"/>
    <n v="6749.2776165239338"/>
  </r>
  <r>
    <n v="927"/>
    <x v="8"/>
    <x v="22"/>
    <n v="2004"/>
    <n v="11"/>
    <x v="0"/>
    <n v="9"/>
    <n v="28.827091013525987"/>
    <n v="259.4438191217339"/>
  </r>
  <r>
    <n v="928"/>
    <x v="7"/>
    <x v="5"/>
    <n v="2005"/>
    <n v="11"/>
    <x v="0"/>
    <n v="65"/>
    <n v="196.85925384860963"/>
    <n v="12795.851500159626"/>
  </r>
  <r>
    <n v="929"/>
    <x v="3"/>
    <x v="1"/>
    <n v="2004"/>
    <n v="3"/>
    <x v="1"/>
    <n v="58"/>
    <n v="175.22266670553387"/>
    <n v="10162.914668920965"/>
  </r>
  <r>
    <n v="930"/>
    <x v="8"/>
    <x v="31"/>
    <n v="2004"/>
    <n v="9"/>
    <x v="4"/>
    <n v="48"/>
    <n v="145.9379301268051"/>
    <n v="7005.0206460866448"/>
  </r>
  <r>
    <n v="931"/>
    <x v="3"/>
    <x v="85"/>
    <n v="2005"/>
    <n v="10"/>
    <x v="1"/>
    <n v="75"/>
    <n v="226.61201635446793"/>
    <n v="16995.901226585094"/>
  </r>
  <r>
    <n v="932"/>
    <x v="8"/>
    <x v="67"/>
    <n v="2006"/>
    <n v="1"/>
    <x v="1"/>
    <n v="59"/>
    <n v="179.37483712712185"/>
    <n v="10583.115390500188"/>
  </r>
  <r>
    <n v="933"/>
    <x v="7"/>
    <x v="49"/>
    <n v="2005"/>
    <n v="1"/>
    <x v="4"/>
    <n v="34"/>
    <n v="104.445032643001"/>
    <n v="3551.131109862034"/>
  </r>
  <r>
    <n v="934"/>
    <x v="3"/>
    <x v="0"/>
    <n v="2004"/>
    <n v="4"/>
    <x v="2"/>
    <n v="57"/>
    <n v="173.06756590039018"/>
    <n v="9864.8512563222394"/>
  </r>
  <r>
    <n v="935"/>
    <x v="6"/>
    <x v="28"/>
    <n v="2006"/>
    <n v="3"/>
    <x v="0"/>
    <n v="62"/>
    <n v="187.88584432496489"/>
    <n v="11648.922348147824"/>
  </r>
  <r>
    <n v="936"/>
    <x v="5"/>
    <x v="8"/>
    <n v="2006"/>
    <n v="7"/>
    <x v="2"/>
    <n v="17"/>
    <n v="53.048677008733435"/>
    <n v="901.82750914846838"/>
  </r>
  <r>
    <n v="937"/>
    <x v="2"/>
    <x v="57"/>
    <n v="2005"/>
    <n v="7"/>
    <x v="1"/>
    <n v="83"/>
    <n v="250.82439492521385"/>
    <n v="20818.424778792749"/>
  </r>
  <r>
    <n v="938"/>
    <x v="2"/>
    <x v="87"/>
    <n v="2004"/>
    <n v="7"/>
    <x v="0"/>
    <n v="56"/>
    <n v="169.84037281505195"/>
    <n v="9511.060877642909"/>
  </r>
  <r>
    <n v="939"/>
    <x v="1"/>
    <x v="86"/>
    <n v="2004"/>
    <n v="2"/>
    <x v="0"/>
    <n v="14"/>
    <n v="44.194328055358937"/>
    <n v="618.72059277502512"/>
  </r>
  <r>
    <n v="940"/>
    <x v="4"/>
    <x v="13"/>
    <n v="2005"/>
    <n v="1"/>
    <x v="2"/>
    <n v="-9"/>
    <n v="-24.562782237120555"/>
    <n v="221.065040134085"/>
  </r>
  <r>
    <n v="941"/>
    <x v="0"/>
    <x v="95"/>
    <n v="2005"/>
    <n v="7"/>
    <x v="1"/>
    <n v="44"/>
    <n v="134.50349016705422"/>
    <n v="5918.1535673503859"/>
  </r>
  <r>
    <n v="942"/>
    <x v="3"/>
    <x v="36"/>
    <n v="2004"/>
    <n v="2"/>
    <x v="3"/>
    <n v="32"/>
    <n v="97.6497815079464"/>
    <n v="3124.7930082542848"/>
  </r>
  <r>
    <n v="943"/>
    <x v="7"/>
    <x v="94"/>
    <n v="2005"/>
    <n v="1"/>
    <x v="3"/>
    <n v="85"/>
    <n v="256.97037064610868"/>
    <n v="21842.481504919237"/>
  </r>
  <r>
    <n v="944"/>
    <x v="0"/>
    <x v="19"/>
    <n v="2004"/>
    <n v="9"/>
    <x v="0"/>
    <n v="-2"/>
    <n v="-3.7233562380367276"/>
    <n v="7.4467124760734551"/>
  </r>
  <r>
    <n v="945"/>
    <x v="6"/>
    <x v="78"/>
    <n v="2005"/>
    <n v="2"/>
    <x v="2"/>
    <n v="31"/>
    <n v="94.439645321373334"/>
    <n v="2927.6290049625732"/>
  </r>
  <r>
    <n v="946"/>
    <x v="8"/>
    <x v="89"/>
    <n v="2004"/>
    <n v="8"/>
    <x v="3"/>
    <n v="-7"/>
    <n v="-19.822062355825821"/>
    <n v="138.75443649078073"/>
  </r>
  <r>
    <n v="947"/>
    <x v="4"/>
    <x v="97"/>
    <n v="2004"/>
    <n v="1"/>
    <x v="2"/>
    <n v="-1"/>
    <n v="-0.28735784707427747"/>
    <n v="0.28735784707427747"/>
  </r>
  <r>
    <n v="948"/>
    <x v="2"/>
    <x v="66"/>
    <n v="2006"/>
    <n v="11"/>
    <x v="0"/>
    <n v="6"/>
    <n v="20.397135812092845"/>
    <n v="122.38281487255708"/>
  </r>
  <r>
    <n v="949"/>
    <x v="5"/>
    <x v="38"/>
    <n v="2004"/>
    <n v="6"/>
    <x v="1"/>
    <n v="13"/>
    <n v="41.830169969209855"/>
    <n v="543.79220959972815"/>
  </r>
  <r>
    <n v="950"/>
    <x v="2"/>
    <x v="17"/>
    <n v="2004"/>
    <n v="10"/>
    <x v="0"/>
    <n v="70"/>
    <n v="212.45510789670757"/>
    <n v="14871.85755276953"/>
  </r>
  <r>
    <n v="951"/>
    <x v="4"/>
    <x v="4"/>
    <n v="2004"/>
    <n v="6"/>
    <x v="1"/>
    <n v="15"/>
    <n v="47.749438891041251"/>
    <n v="716.24158336561879"/>
  </r>
  <r>
    <n v="952"/>
    <x v="5"/>
    <x v="91"/>
    <n v="2006"/>
    <n v="4"/>
    <x v="4"/>
    <n v="18"/>
    <n v="56.257832632332345"/>
    <n v="1012.6409873819822"/>
  </r>
  <r>
    <n v="953"/>
    <x v="5"/>
    <x v="34"/>
    <n v="2006"/>
    <n v="2"/>
    <x v="3"/>
    <n v="30"/>
    <n v="92.196479665554932"/>
    <n v="2765.8943899666479"/>
  </r>
  <r>
    <n v="954"/>
    <x v="3"/>
    <x v="79"/>
    <n v="2006"/>
    <n v="11"/>
    <x v="4"/>
    <n v="17"/>
    <n v="53.067953295003726"/>
    <n v="902.1552060150633"/>
  </r>
  <r>
    <n v="955"/>
    <x v="3"/>
    <x v="94"/>
    <n v="2005"/>
    <n v="1"/>
    <x v="3"/>
    <n v="-1"/>
    <n v="-1.4540693559294799"/>
    <n v="1.4540693559294799"/>
  </r>
  <r>
    <n v="956"/>
    <x v="7"/>
    <x v="61"/>
    <n v="2005"/>
    <n v="3"/>
    <x v="1"/>
    <n v="50"/>
    <n v="152.31719787311525"/>
    <n v="7615.8598936557628"/>
  </r>
  <r>
    <n v="957"/>
    <x v="2"/>
    <x v="82"/>
    <n v="2005"/>
    <n v="12"/>
    <x v="0"/>
    <n v="83"/>
    <n v="251.0948967308864"/>
    <n v="20840.876428663571"/>
  </r>
  <r>
    <n v="958"/>
    <x v="6"/>
    <x v="88"/>
    <n v="2004"/>
    <n v="5"/>
    <x v="4"/>
    <n v="54"/>
    <n v="164.08170340636366"/>
    <n v="8860.4119839436371"/>
  </r>
  <r>
    <n v="959"/>
    <x v="2"/>
    <x v="92"/>
    <n v="2005"/>
    <n v="4"/>
    <x v="0"/>
    <n v="16"/>
    <n v="49.968087631431565"/>
    <n v="799.48940210290505"/>
  </r>
  <r>
    <n v="960"/>
    <x v="6"/>
    <x v="14"/>
    <n v="2006"/>
    <n v="9"/>
    <x v="0"/>
    <n v="53"/>
    <n v="160.95914621811275"/>
    <n v="8530.8347495599755"/>
  </r>
  <r>
    <n v="961"/>
    <x v="5"/>
    <x v="56"/>
    <n v="2006"/>
    <n v="1"/>
    <x v="3"/>
    <n v="95"/>
    <n v="286.71922939024518"/>
    <n v="27238.326792073291"/>
  </r>
  <r>
    <n v="962"/>
    <x v="2"/>
    <x v="42"/>
    <n v="2004"/>
    <n v="1"/>
    <x v="4"/>
    <n v="74"/>
    <n v="224.1344883418044"/>
    <n v="16585.952137293527"/>
  </r>
  <r>
    <n v="963"/>
    <x v="4"/>
    <x v="65"/>
    <n v="2005"/>
    <n v="8"/>
    <x v="4"/>
    <n v="11"/>
    <n v="35.126507167926178"/>
    <n v="386.39157884718793"/>
  </r>
  <r>
    <n v="964"/>
    <x v="1"/>
    <x v="14"/>
    <n v="2006"/>
    <n v="9"/>
    <x v="1"/>
    <n v="63"/>
    <n v="191.00092010309442"/>
    <n v="12033.057966494947"/>
  </r>
  <r>
    <n v="965"/>
    <x v="0"/>
    <x v="12"/>
    <n v="2005"/>
    <n v="8"/>
    <x v="3"/>
    <n v="53"/>
    <n v="161.23768017364921"/>
    <n v="8545.5970492034085"/>
  </r>
  <r>
    <n v="966"/>
    <x v="3"/>
    <x v="73"/>
    <n v="2006"/>
    <n v="7"/>
    <x v="0"/>
    <n v="1"/>
    <n v="5.2816840348822387"/>
    <n v="5.2816840348822387"/>
  </r>
  <r>
    <n v="967"/>
    <x v="5"/>
    <x v="11"/>
    <n v="2004"/>
    <n v="11"/>
    <x v="1"/>
    <n v="24"/>
    <n v="74.30729541001925"/>
    <n v="1783.3750898404619"/>
  </r>
  <r>
    <n v="968"/>
    <x v="3"/>
    <x v="99"/>
    <n v="2006"/>
    <n v="4"/>
    <x v="2"/>
    <n v="5"/>
    <n v="16.422750032809695"/>
    <n v="82.113750164048469"/>
  </r>
  <r>
    <n v="969"/>
    <x v="0"/>
    <x v="2"/>
    <n v="2005"/>
    <n v="2"/>
    <x v="0"/>
    <n v="35"/>
    <n v="107.34237990295979"/>
    <n v="3756.9832966035929"/>
  </r>
  <r>
    <n v="970"/>
    <x v="0"/>
    <x v="3"/>
    <n v="2006"/>
    <n v="5"/>
    <x v="3"/>
    <n v="33"/>
    <n v="100.6187200673516"/>
    <n v="3320.417762222603"/>
  </r>
  <r>
    <n v="971"/>
    <x v="6"/>
    <x v="20"/>
    <n v="2006"/>
    <n v="2"/>
    <x v="4"/>
    <n v="65"/>
    <n v="196.63630077143569"/>
    <n v="12781.359550143319"/>
  </r>
  <r>
    <n v="972"/>
    <x v="8"/>
    <x v="75"/>
    <n v="2006"/>
    <n v="2"/>
    <x v="4"/>
    <n v="52"/>
    <n v="158.33506008490392"/>
    <n v="8233.4231244150033"/>
  </r>
  <r>
    <n v="973"/>
    <x v="8"/>
    <x v="63"/>
    <n v="2006"/>
    <n v="8"/>
    <x v="4"/>
    <n v="44"/>
    <n v="133.42498328468113"/>
    <n v="5870.6992645259697"/>
  </r>
  <r>
    <n v="974"/>
    <x v="2"/>
    <x v="84"/>
    <n v="2006"/>
    <n v="10"/>
    <x v="2"/>
    <n v="72"/>
    <n v="218.057153790916"/>
    <n v="15700.115072945951"/>
  </r>
  <r>
    <n v="975"/>
    <x v="6"/>
    <x v="31"/>
    <n v="2004"/>
    <n v="9"/>
    <x v="4"/>
    <n v="13"/>
    <n v="41.138712352864658"/>
    <n v="534.80326058724052"/>
  </r>
  <r>
    <n v="976"/>
    <x v="3"/>
    <x v="29"/>
    <n v="2006"/>
    <n v="9"/>
    <x v="1"/>
    <n v="16"/>
    <n v="50.15918619514666"/>
    <n v="802.54697912234656"/>
  </r>
  <r>
    <n v="977"/>
    <x v="8"/>
    <x v="75"/>
    <n v="2006"/>
    <n v="2"/>
    <x v="1"/>
    <n v="19"/>
    <n v="59.265314003350476"/>
    <n v="1126.040966063659"/>
  </r>
  <r>
    <n v="978"/>
    <x v="3"/>
    <x v="69"/>
    <n v="2005"/>
    <n v="5"/>
    <x v="4"/>
    <n v="67"/>
    <n v="203.43497713652508"/>
    <n v="13630.14346814718"/>
  </r>
  <r>
    <n v="979"/>
    <x v="6"/>
    <x v="75"/>
    <n v="2006"/>
    <n v="2"/>
    <x v="0"/>
    <n v="2"/>
    <n v="8.3122868755040553"/>
    <n v="16.624573751008111"/>
  </r>
  <r>
    <n v="980"/>
    <x v="3"/>
    <x v="18"/>
    <n v="2006"/>
    <n v="6"/>
    <x v="4"/>
    <n v="28"/>
    <n v="85.787320991735939"/>
    <n v="2402.0449877686065"/>
  </r>
  <r>
    <n v="981"/>
    <x v="4"/>
    <x v="65"/>
    <n v="2005"/>
    <n v="8"/>
    <x v="1"/>
    <n v="-6"/>
    <n v="-15.854559071603056"/>
    <n v="95.127354429618336"/>
  </r>
  <r>
    <n v="982"/>
    <x v="2"/>
    <x v="55"/>
    <n v="2005"/>
    <n v="3"/>
    <x v="4"/>
    <n v="70"/>
    <n v="212.03178089307775"/>
    <n v="14842.224662515442"/>
  </r>
  <r>
    <n v="983"/>
    <x v="1"/>
    <x v="34"/>
    <n v="2006"/>
    <n v="2"/>
    <x v="0"/>
    <n v="65"/>
    <n v="197.18663086835969"/>
    <n v="12817.13100644338"/>
  </r>
  <r>
    <n v="984"/>
    <x v="6"/>
    <x v="30"/>
    <n v="2006"/>
    <n v="12"/>
    <x v="1"/>
    <n v="39"/>
    <n v="119.05118285965317"/>
    <n v="4642.9961315264736"/>
  </r>
  <r>
    <n v="985"/>
    <x v="1"/>
    <x v="93"/>
    <n v="2006"/>
    <n v="8"/>
    <x v="1"/>
    <n v="72"/>
    <n v="218.19229267045282"/>
    <n v="15709.845072272603"/>
  </r>
  <r>
    <n v="986"/>
    <x v="0"/>
    <x v="21"/>
    <n v="2005"/>
    <n v="5"/>
    <x v="2"/>
    <n v="47"/>
    <n v="142.53694145811323"/>
    <n v="6699.2362485313224"/>
  </r>
  <r>
    <n v="987"/>
    <x v="6"/>
    <x v="46"/>
    <n v="2006"/>
    <n v="5"/>
    <x v="0"/>
    <n v="94"/>
    <n v="283.57943523104291"/>
    <n v="26656.466911718035"/>
  </r>
  <r>
    <n v="988"/>
    <x v="0"/>
    <x v="69"/>
    <n v="2005"/>
    <n v="5"/>
    <x v="0"/>
    <n v="58"/>
    <n v="175.8230061159172"/>
    <n v="10197.734354723198"/>
  </r>
  <r>
    <n v="989"/>
    <x v="7"/>
    <x v="83"/>
    <n v="2004"/>
    <n v="5"/>
    <x v="3"/>
    <n v="-6"/>
    <n v="-17.288821571122082"/>
    <n v="103.73292942673248"/>
  </r>
  <r>
    <n v="990"/>
    <x v="4"/>
    <x v="59"/>
    <n v="2004"/>
    <n v="2"/>
    <x v="3"/>
    <n v="38"/>
    <n v="115.96163338782357"/>
    <n v="4406.5420687372953"/>
  </r>
  <r>
    <n v="991"/>
    <x v="5"/>
    <x v="53"/>
    <n v="2004"/>
    <n v="1"/>
    <x v="3"/>
    <n v="-1"/>
    <n v="-1.0160108133922805"/>
    <n v="1.0160108133922805"/>
  </r>
  <r>
    <n v="992"/>
    <x v="7"/>
    <x v="26"/>
    <n v="2005"/>
    <n v="11"/>
    <x v="3"/>
    <n v="34"/>
    <n v="104.57917159926555"/>
    <n v="3555.6918343750285"/>
  </r>
  <r>
    <n v="993"/>
    <x v="3"/>
    <x v="0"/>
    <n v="2004"/>
    <n v="4"/>
    <x v="0"/>
    <n v="30"/>
    <n v="91.71732531853138"/>
    <n v="2751.5197595559412"/>
  </r>
  <r>
    <n v="994"/>
    <x v="4"/>
    <x v="64"/>
    <n v="2004"/>
    <n v="5"/>
    <x v="1"/>
    <n v="62"/>
    <n v="187.43238539805822"/>
    <n v="11620.807894679609"/>
  </r>
  <r>
    <n v="995"/>
    <x v="0"/>
    <x v="75"/>
    <n v="2006"/>
    <n v="2"/>
    <x v="0"/>
    <n v="24"/>
    <n v="74.211669903196139"/>
    <n v="1781.0800776767073"/>
  </r>
  <r>
    <n v="996"/>
    <x v="4"/>
    <x v="31"/>
    <n v="2004"/>
    <n v="9"/>
    <x v="3"/>
    <n v="4"/>
    <n v="13.654188955553082"/>
    <n v="54.616755822212326"/>
  </r>
  <r>
    <n v="997"/>
    <x v="6"/>
    <x v="38"/>
    <n v="2004"/>
    <n v="6"/>
    <x v="0"/>
    <n v="88"/>
    <n v="265.2916292071763"/>
    <n v="23345.663370231516"/>
  </r>
  <r>
    <n v="998"/>
    <x v="6"/>
    <x v="68"/>
    <n v="2005"/>
    <n v="10"/>
    <x v="3"/>
    <n v="78"/>
    <n v="235.69356375172592"/>
    <n v="18384.097972634623"/>
  </r>
  <r>
    <n v="999"/>
    <x v="2"/>
    <x v="85"/>
    <n v="2005"/>
    <n v="10"/>
    <x v="3"/>
    <n v="82"/>
    <n v="248.12045570070282"/>
    <n v="20345.87736745763"/>
  </r>
  <r>
    <n v="1000"/>
    <x v="5"/>
    <x v="69"/>
    <n v="2005"/>
    <n v="5"/>
    <x v="0"/>
    <n v="68"/>
    <n v="206.8704837754205"/>
    <n v="14067.192896728593"/>
  </r>
  <r>
    <n v="1001"/>
    <x v="5"/>
    <x v="59"/>
    <n v="2004"/>
    <n v="2"/>
    <x v="1"/>
    <n v="20"/>
    <n v="61.598286646601295"/>
    <n v="1231.965732932026"/>
  </r>
  <r>
    <n v="1002"/>
    <x v="4"/>
    <x v="71"/>
    <n v="2004"/>
    <n v="10"/>
    <x v="0"/>
    <n v="-10"/>
    <n v="-28.326133240637468"/>
    <n v="283.26133240637466"/>
  </r>
  <r>
    <n v="1003"/>
    <x v="3"/>
    <x v="19"/>
    <n v="2004"/>
    <n v="9"/>
    <x v="3"/>
    <n v="94"/>
    <n v="283.987112843305"/>
    <n v="26694.788607270671"/>
  </r>
  <r>
    <n v="1004"/>
    <x v="3"/>
    <x v="99"/>
    <n v="2006"/>
    <n v="4"/>
    <x v="1"/>
    <n v="62"/>
    <n v="188.00253303300292"/>
    <n v="11656.157048046181"/>
  </r>
  <r>
    <n v="1005"/>
    <x v="6"/>
    <x v="77"/>
    <n v="2004"/>
    <n v="7"/>
    <x v="4"/>
    <n v="71"/>
    <n v="215.02251352159234"/>
    <n v="15266.598460033056"/>
  </r>
  <r>
    <n v="1006"/>
    <x v="2"/>
    <x v="6"/>
    <n v="2004"/>
    <n v="3"/>
    <x v="2"/>
    <n v="70"/>
    <n v="211.5224440500217"/>
    <n v="14806.57108350152"/>
  </r>
  <r>
    <n v="1007"/>
    <x v="8"/>
    <x v="15"/>
    <n v="2004"/>
    <n v="4"/>
    <x v="1"/>
    <n v="17"/>
    <n v="52.007206372460615"/>
    <n v="884.12250833183043"/>
  </r>
  <r>
    <n v="1008"/>
    <x v="2"/>
    <x v="44"/>
    <n v="2005"/>
    <n v="12"/>
    <x v="3"/>
    <n v="51"/>
    <n v="154.86582287521293"/>
    <n v="7898.1569666358591"/>
  </r>
  <r>
    <n v="1009"/>
    <x v="0"/>
    <x v="16"/>
    <n v="2006"/>
    <n v="4"/>
    <x v="4"/>
    <n v="70"/>
    <n v="212.18684363818184"/>
    <n v="14853.079054672729"/>
  </r>
  <r>
    <n v="1010"/>
    <x v="3"/>
    <x v="35"/>
    <n v="2006"/>
    <n v="6"/>
    <x v="3"/>
    <n v="94"/>
    <n v="283.91906780587465"/>
    <n v="26688.392373752216"/>
  </r>
  <r>
    <n v="1011"/>
    <x v="4"/>
    <x v="90"/>
    <n v="2004"/>
    <n v="12"/>
    <x v="4"/>
    <n v="70"/>
    <n v="211.85016457637715"/>
    <n v="14829.511520346401"/>
  </r>
  <r>
    <n v="1012"/>
    <x v="2"/>
    <x v="69"/>
    <n v="2005"/>
    <n v="5"/>
    <x v="0"/>
    <n v="89"/>
    <n v="269.18851021987467"/>
    <n v="23957.777409568847"/>
  </r>
  <r>
    <n v="1013"/>
    <x v="4"/>
    <x v="85"/>
    <n v="2005"/>
    <n v="10"/>
    <x v="0"/>
    <n v="26"/>
    <n v="79.311492307621293"/>
    <n v="2062.0987999981535"/>
  </r>
  <r>
    <n v="1014"/>
    <x v="8"/>
    <x v="44"/>
    <n v="2005"/>
    <n v="12"/>
    <x v="3"/>
    <n v="8"/>
    <n v="26.096472599703908"/>
    <n v="208.77178079763127"/>
  </r>
  <r>
    <n v="1015"/>
    <x v="2"/>
    <x v="20"/>
    <n v="2006"/>
    <n v="2"/>
    <x v="1"/>
    <n v="8"/>
    <n v="26.08199028619465"/>
    <n v="208.6559222895572"/>
  </r>
  <r>
    <n v="1016"/>
    <x v="8"/>
    <x v="84"/>
    <n v="2006"/>
    <n v="10"/>
    <x v="3"/>
    <n v="62"/>
    <n v="187.69110116385426"/>
    <n v="11636.848272158964"/>
  </r>
  <r>
    <n v="1017"/>
    <x v="7"/>
    <x v="63"/>
    <n v="2006"/>
    <n v="8"/>
    <x v="3"/>
    <n v="-9"/>
    <n v="-24.819632815121537"/>
    <n v="223.37669533609383"/>
  </r>
  <r>
    <n v="1018"/>
    <x v="3"/>
    <x v="89"/>
    <n v="2004"/>
    <n v="8"/>
    <x v="1"/>
    <n v="55"/>
    <n v="166.81971361139639"/>
    <n v="9175.0842486268011"/>
  </r>
  <r>
    <n v="1019"/>
    <x v="1"/>
    <x v="80"/>
    <n v="2004"/>
    <n v="9"/>
    <x v="2"/>
    <n v="71"/>
    <n v="215.35336056441088"/>
    <n v="15290.088600073172"/>
  </r>
  <r>
    <n v="1020"/>
    <x v="6"/>
    <x v="70"/>
    <n v="2006"/>
    <n v="3"/>
    <x v="4"/>
    <n v="5"/>
    <n v="17.428217544434208"/>
    <n v="87.141087722171036"/>
  </r>
  <r>
    <n v="1021"/>
    <x v="4"/>
    <x v="12"/>
    <n v="2005"/>
    <n v="8"/>
    <x v="1"/>
    <n v="28"/>
    <n v="86.322091823923344"/>
    <n v="2417.0185710698538"/>
  </r>
  <r>
    <n v="1022"/>
    <x v="6"/>
    <x v="46"/>
    <n v="2006"/>
    <n v="5"/>
    <x v="2"/>
    <n v="95"/>
    <n v="286.92674877229024"/>
    <n v="27258.041133367573"/>
  </r>
  <r>
    <n v="1023"/>
    <x v="0"/>
    <x v="24"/>
    <n v="2005"/>
    <n v="9"/>
    <x v="3"/>
    <n v="56"/>
    <n v="169.66853559743345"/>
    <n v="9501.437993456273"/>
  </r>
  <r>
    <n v="1024"/>
    <x v="8"/>
    <x v="72"/>
    <n v="2005"/>
    <n v="10"/>
    <x v="1"/>
    <n v="79"/>
    <n v="238.71622982310416"/>
    <n v="18858.58215602523"/>
  </r>
  <r>
    <n v="1025"/>
    <x v="8"/>
    <x v="57"/>
    <n v="2005"/>
    <n v="7"/>
    <x v="3"/>
    <n v="10"/>
    <n v="32.241149527753471"/>
    <n v="322.4114952775347"/>
  </r>
  <r>
    <n v="1026"/>
    <x v="1"/>
    <x v="19"/>
    <n v="2004"/>
    <n v="9"/>
    <x v="2"/>
    <n v="69"/>
    <n v="208.61631773052886"/>
    <n v="14394.525923406491"/>
  </r>
  <r>
    <n v="1027"/>
    <x v="4"/>
    <x v="70"/>
    <n v="2006"/>
    <n v="3"/>
    <x v="0"/>
    <n v="15"/>
    <n v="46.772430431730463"/>
    <n v="701.58645647595699"/>
  </r>
  <r>
    <n v="1028"/>
    <x v="8"/>
    <x v="20"/>
    <n v="2006"/>
    <n v="2"/>
    <x v="3"/>
    <n v="0"/>
    <n v="1.7760594332285693"/>
    <n v="0"/>
  </r>
  <r>
    <n v="1029"/>
    <x v="8"/>
    <x v="32"/>
    <n v="2005"/>
    <n v="7"/>
    <x v="2"/>
    <n v="78"/>
    <n v="236.10178950758817"/>
    <n v="18415.939581591876"/>
  </r>
  <r>
    <n v="1030"/>
    <x v="1"/>
    <x v="40"/>
    <n v="2005"/>
    <n v="5"/>
    <x v="4"/>
    <n v="89"/>
    <n v="268.45127891867156"/>
    <n v="23892.16382376177"/>
  </r>
  <r>
    <n v="1031"/>
    <x v="8"/>
    <x v="54"/>
    <n v="2005"/>
    <n v="2"/>
    <x v="4"/>
    <n v="94"/>
    <n v="284.11176896611153"/>
    <n v="26706.506282814484"/>
  </r>
  <r>
    <n v="1032"/>
    <x v="0"/>
    <x v="59"/>
    <n v="2004"/>
    <n v="2"/>
    <x v="4"/>
    <n v="-5"/>
    <n v="-13.090742445919402"/>
    <n v="65.453712229597002"/>
  </r>
  <r>
    <n v="1033"/>
    <x v="1"/>
    <x v="23"/>
    <n v="2006"/>
    <n v="12"/>
    <x v="0"/>
    <n v="42"/>
    <n v="127.95167625422781"/>
    <n v="5373.970402677568"/>
  </r>
  <r>
    <n v="1034"/>
    <x v="6"/>
    <x v="14"/>
    <n v="2006"/>
    <n v="9"/>
    <x v="3"/>
    <n v="9"/>
    <n v="29.027293052396654"/>
    <n v="261.24563747156986"/>
  </r>
  <r>
    <n v="1035"/>
    <x v="6"/>
    <x v="37"/>
    <n v="2005"/>
    <n v="4"/>
    <x v="1"/>
    <n v="8"/>
    <n v="26.399425452966565"/>
    <n v="211.19540362373252"/>
  </r>
  <r>
    <n v="1036"/>
    <x v="0"/>
    <x v="45"/>
    <n v="2004"/>
    <n v="8"/>
    <x v="1"/>
    <n v="69"/>
    <n v="209.14573718458519"/>
    <n v="14431.055865736378"/>
  </r>
  <r>
    <n v="1037"/>
    <x v="5"/>
    <x v="84"/>
    <n v="2006"/>
    <n v="10"/>
    <x v="4"/>
    <n v="2"/>
    <n v="7.7270735524440131"/>
    <n v="15.454147104888026"/>
  </r>
  <r>
    <n v="1038"/>
    <x v="8"/>
    <x v="19"/>
    <n v="2004"/>
    <n v="9"/>
    <x v="3"/>
    <n v="3"/>
    <n v="10.487455049777733"/>
    <n v="31.462365149333198"/>
  </r>
  <r>
    <n v="1039"/>
    <x v="6"/>
    <x v="41"/>
    <n v="2005"/>
    <n v="6"/>
    <x v="2"/>
    <n v="76"/>
    <n v="230.14134634452847"/>
    <n v="17490.742322184164"/>
  </r>
  <r>
    <n v="1040"/>
    <x v="5"/>
    <x v="43"/>
    <n v="2004"/>
    <n v="6"/>
    <x v="3"/>
    <n v="-7"/>
    <n v="-18.434662066971001"/>
    <n v="129.04263446879702"/>
  </r>
  <r>
    <n v="1041"/>
    <x v="4"/>
    <x v="8"/>
    <n v="2006"/>
    <n v="7"/>
    <x v="4"/>
    <n v="24"/>
    <n v="74.040343042743388"/>
    <n v="1776.9682330258413"/>
  </r>
  <r>
    <n v="1042"/>
    <x v="7"/>
    <x v="29"/>
    <n v="2006"/>
    <n v="9"/>
    <x v="1"/>
    <n v="35"/>
    <n v="106.66944991477989"/>
    <n v="3733.4307470172962"/>
  </r>
  <r>
    <n v="1043"/>
    <x v="8"/>
    <x v="6"/>
    <n v="2004"/>
    <n v="3"/>
    <x v="1"/>
    <n v="23"/>
    <n v="71.099513118305453"/>
    <n v="1635.2888017210255"/>
  </r>
  <r>
    <n v="1044"/>
    <x v="3"/>
    <x v="16"/>
    <n v="2006"/>
    <n v="4"/>
    <x v="3"/>
    <n v="32"/>
    <n v="97.982599723305"/>
    <n v="3135.44319114576"/>
  </r>
  <r>
    <n v="1045"/>
    <x v="5"/>
    <x v="80"/>
    <n v="2004"/>
    <n v="9"/>
    <x v="4"/>
    <n v="46"/>
    <n v="139.82203886104327"/>
    <n v="6431.81378760799"/>
  </r>
  <r>
    <n v="1046"/>
    <x v="8"/>
    <x v="36"/>
    <n v="2004"/>
    <n v="2"/>
    <x v="0"/>
    <n v="28"/>
    <n v="85.913586896960894"/>
    <n v="2405.5804331149052"/>
  </r>
  <r>
    <n v="1047"/>
    <x v="8"/>
    <x v="78"/>
    <n v="2005"/>
    <n v="2"/>
    <x v="2"/>
    <n v="58"/>
    <n v="176.38262351251041"/>
    <n v="10230.192163725604"/>
  </r>
  <r>
    <n v="1048"/>
    <x v="6"/>
    <x v="26"/>
    <n v="2005"/>
    <n v="11"/>
    <x v="0"/>
    <n v="19"/>
    <n v="59.083968230358913"/>
    <n v="1122.5953963768193"/>
  </r>
  <r>
    <n v="1049"/>
    <x v="4"/>
    <x v="45"/>
    <n v="2004"/>
    <n v="8"/>
    <x v="0"/>
    <n v="79"/>
    <n v="238.63617965265877"/>
    <n v="18852.258192560043"/>
  </r>
  <r>
    <n v="1050"/>
    <x v="0"/>
    <x v="90"/>
    <n v="2004"/>
    <n v="12"/>
    <x v="4"/>
    <n v="31"/>
    <n v="94.124548214467538"/>
    <n v="2917.8609946484935"/>
  </r>
  <r>
    <n v="1051"/>
    <x v="8"/>
    <x v="26"/>
    <n v="2005"/>
    <n v="11"/>
    <x v="3"/>
    <n v="4"/>
    <n v="14.292798170188892"/>
    <n v="57.171192680755567"/>
  </r>
  <r>
    <n v="1052"/>
    <x v="4"/>
    <x v="28"/>
    <n v="2006"/>
    <n v="3"/>
    <x v="1"/>
    <n v="91"/>
    <n v="275.5094232943423"/>
    <n v="25071.35751978515"/>
  </r>
  <r>
    <n v="1053"/>
    <x v="1"/>
    <x v="41"/>
    <n v="2005"/>
    <n v="6"/>
    <x v="0"/>
    <n v="51"/>
    <n v="154.74630946716462"/>
    <n v="7892.0617828253953"/>
  </r>
  <r>
    <n v="1054"/>
    <x v="6"/>
    <x v="53"/>
    <n v="2004"/>
    <n v="1"/>
    <x v="3"/>
    <n v="2"/>
    <n v="8.3443048208269879"/>
    <n v="16.688609641653976"/>
  </r>
  <r>
    <n v="1055"/>
    <x v="7"/>
    <x v="32"/>
    <n v="2005"/>
    <n v="7"/>
    <x v="2"/>
    <n v="42"/>
    <n v="127.68402675435583"/>
    <n v="5362.7291236829451"/>
  </r>
  <r>
    <n v="1056"/>
    <x v="0"/>
    <x v="11"/>
    <n v="2004"/>
    <n v="11"/>
    <x v="0"/>
    <n v="57"/>
    <n v="173.09988607692904"/>
    <n v="9866.693506384956"/>
  </r>
  <r>
    <n v="1057"/>
    <x v="4"/>
    <x v="19"/>
    <n v="2004"/>
    <n v="9"/>
    <x v="1"/>
    <n v="63"/>
    <n v="190.20945346469671"/>
    <n v="11983.195568275893"/>
  </r>
  <r>
    <n v="1058"/>
    <x v="0"/>
    <x v="88"/>
    <n v="2004"/>
    <n v="5"/>
    <x v="4"/>
    <n v="37"/>
    <n v="112.97090107811077"/>
    <n v="4179.9233398900988"/>
  </r>
  <r>
    <n v="1059"/>
    <x v="0"/>
    <x v="1"/>
    <n v="2004"/>
    <n v="3"/>
    <x v="0"/>
    <n v="30"/>
    <n v="92.612099918838155"/>
    <n v="2778.3629975651447"/>
  </r>
  <r>
    <n v="1060"/>
    <x v="1"/>
    <x v="28"/>
    <n v="2006"/>
    <n v="3"/>
    <x v="1"/>
    <n v="31"/>
    <n v="95.22083891239123"/>
    <n v="2951.8460062841282"/>
  </r>
  <r>
    <n v="1061"/>
    <x v="5"/>
    <x v="1"/>
    <n v="2004"/>
    <n v="3"/>
    <x v="3"/>
    <n v="55"/>
    <n v="167.32540465961139"/>
    <n v="9202.8972562786275"/>
  </r>
  <r>
    <n v="1062"/>
    <x v="7"/>
    <x v="60"/>
    <n v="2005"/>
    <n v="12"/>
    <x v="3"/>
    <n v="-5"/>
    <n v="-12.643881441117404"/>
    <n v="63.219407205587018"/>
  </r>
  <r>
    <n v="1063"/>
    <x v="3"/>
    <x v="74"/>
    <n v="2004"/>
    <n v="4"/>
    <x v="0"/>
    <n v="28"/>
    <n v="85.460904685258157"/>
    <n v="2392.9053311872285"/>
  </r>
  <r>
    <n v="1064"/>
    <x v="6"/>
    <x v="65"/>
    <n v="2005"/>
    <n v="8"/>
    <x v="3"/>
    <n v="93"/>
    <n v="280.15032356040319"/>
    <n v="26053.980091117497"/>
  </r>
  <r>
    <n v="1065"/>
    <x v="7"/>
    <x v="85"/>
    <n v="2005"/>
    <n v="10"/>
    <x v="2"/>
    <n v="13"/>
    <n v="40.969412971677201"/>
    <n v="532.60236863180364"/>
  </r>
  <r>
    <n v="1066"/>
    <x v="0"/>
    <x v="52"/>
    <n v="2006"/>
    <n v="3"/>
    <x v="1"/>
    <n v="94"/>
    <n v="283.90021520553751"/>
    <n v="26686.620229320524"/>
  </r>
  <r>
    <n v="1067"/>
    <x v="7"/>
    <x v="61"/>
    <n v="2005"/>
    <n v="3"/>
    <x v="1"/>
    <n v="1"/>
    <n v="4.8568701800652914"/>
    <n v="4.8568701800652914"/>
  </r>
  <r>
    <n v="1068"/>
    <x v="8"/>
    <x v="68"/>
    <n v="2005"/>
    <n v="10"/>
    <x v="1"/>
    <n v="5"/>
    <n v="16.493067805841463"/>
    <n v="82.465339029207314"/>
  </r>
  <r>
    <n v="1069"/>
    <x v="4"/>
    <x v="18"/>
    <n v="2006"/>
    <n v="6"/>
    <x v="4"/>
    <n v="60"/>
    <n v="181.32960345577825"/>
    <n v="10879.776207346695"/>
  </r>
  <r>
    <n v="1070"/>
    <x v="1"/>
    <x v="87"/>
    <n v="2004"/>
    <n v="7"/>
    <x v="0"/>
    <n v="67"/>
    <n v="203.02085582320817"/>
    <n v="13602.397340154947"/>
  </r>
  <r>
    <n v="1071"/>
    <x v="1"/>
    <x v="90"/>
    <n v="2004"/>
    <n v="12"/>
    <x v="1"/>
    <n v="87"/>
    <n v="263.51929625786306"/>
    <n v="22926.178774434087"/>
  </r>
  <r>
    <n v="1072"/>
    <x v="1"/>
    <x v="11"/>
    <n v="2004"/>
    <n v="11"/>
    <x v="4"/>
    <n v="53"/>
    <n v="161.06925467832338"/>
    <n v="8536.6704979511396"/>
  </r>
  <r>
    <n v="1073"/>
    <x v="7"/>
    <x v="39"/>
    <n v="2005"/>
    <n v="8"/>
    <x v="0"/>
    <n v="74"/>
    <n v="224.19731799549618"/>
    <n v="16590.601531666718"/>
  </r>
  <r>
    <n v="1074"/>
    <x v="0"/>
    <x v="76"/>
    <n v="2006"/>
    <n v="11"/>
    <x v="0"/>
    <n v="83"/>
    <n v="251.40105252927455"/>
    <n v="20866.287359929789"/>
  </r>
  <r>
    <n v="1075"/>
    <x v="8"/>
    <x v="85"/>
    <n v="2005"/>
    <n v="10"/>
    <x v="4"/>
    <n v="45"/>
    <n v="136.79350682205418"/>
    <n v="6155.7078069924382"/>
  </r>
  <r>
    <n v="1076"/>
    <x v="7"/>
    <x v="43"/>
    <n v="2004"/>
    <n v="6"/>
    <x v="0"/>
    <n v="36"/>
    <n v="109.96021821591992"/>
    <n v="3958.5678557731171"/>
  </r>
  <r>
    <n v="1077"/>
    <x v="1"/>
    <x v="60"/>
    <n v="2005"/>
    <n v="12"/>
    <x v="1"/>
    <n v="82"/>
    <n v="248.19651758376037"/>
    <n v="20352.114441868351"/>
  </r>
  <r>
    <n v="1078"/>
    <x v="2"/>
    <x v="93"/>
    <n v="2006"/>
    <n v="8"/>
    <x v="1"/>
    <n v="18"/>
    <n v="56.505060708421091"/>
    <n v="1017.0910927515796"/>
  </r>
  <r>
    <n v="1079"/>
    <x v="6"/>
    <x v="15"/>
    <n v="2004"/>
    <n v="4"/>
    <x v="1"/>
    <n v="21"/>
    <n v="64.56759924886002"/>
    <n v="1355.9195842260604"/>
  </r>
  <r>
    <n v="1080"/>
    <x v="4"/>
    <x v="51"/>
    <n v="2005"/>
    <n v="6"/>
    <x v="1"/>
    <n v="56"/>
    <n v="170.16525129894848"/>
    <n v="9529.2540727411142"/>
  </r>
  <r>
    <n v="1081"/>
    <x v="8"/>
    <x v="16"/>
    <n v="2006"/>
    <n v="4"/>
    <x v="3"/>
    <n v="51"/>
    <n v="154.96390627719521"/>
    <n v="7903.1592201369558"/>
  </r>
  <r>
    <n v="1082"/>
    <x v="5"/>
    <x v="52"/>
    <n v="2006"/>
    <n v="3"/>
    <x v="1"/>
    <n v="88"/>
    <n v="266.15496391241169"/>
    <n v="23421.636824292229"/>
  </r>
  <r>
    <n v="1083"/>
    <x v="6"/>
    <x v="92"/>
    <n v="2005"/>
    <n v="4"/>
    <x v="3"/>
    <n v="93"/>
    <n v="280.95785849203958"/>
    <n v="26129.080839759681"/>
  </r>
  <r>
    <n v="1084"/>
    <x v="2"/>
    <x v="19"/>
    <n v="2004"/>
    <n v="9"/>
    <x v="0"/>
    <n v="-4"/>
    <n v="-9.79509378079055"/>
    <n v="39.1803751231622"/>
  </r>
  <r>
    <n v="1085"/>
    <x v="4"/>
    <x v="92"/>
    <n v="2005"/>
    <n v="4"/>
    <x v="3"/>
    <n v="30"/>
    <n v="91.838519584417725"/>
    <n v="2755.1555875325316"/>
  </r>
  <r>
    <n v="1086"/>
    <x v="7"/>
    <x v="60"/>
    <n v="2005"/>
    <n v="12"/>
    <x v="1"/>
    <n v="81"/>
    <n v="245.61829415980108"/>
    <n v="19895.081826943886"/>
  </r>
  <r>
    <n v="1087"/>
    <x v="4"/>
    <x v="92"/>
    <n v="2005"/>
    <n v="4"/>
    <x v="1"/>
    <n v="58"/>
    <n v="175.7935070061545"/>
    <n v="10196.023406356961"/>
  </r>
  <r>
    <n v="1088"/>
    <x v="2"/>
    <x v="42"/>
    <n v="2004"/>
    <n v="1"/>
    <x v="4"/>
    <n v="50"/>
    <n v="151.96180824733827"/>
    <n v="7598.0904123669134"/>
  </r>
  <r>
    <n v="1089"/>
    <x v="3"/>
    <x v="43"/>
    <n v="2004"/>
    <n v="6"/>
    <x v="0"/>
    <n v="92"/>
    <n v="277.64731000872155"/>
    <n v="25543.552520802383"/>
  </r>
  <r>
    <n v="1090"/>
    <x v="2"/>
    <x v="76"/>
    <n v="2006"/>
    <n v="11"/>
    <x v="1"/>
    <n v="27"/>
    <n v="82.124904169698794"/>
    <n v="2217.3724125818676"/>
  </r>
  <r>
    <n v="1091"/>
    <x v="3"/>
    <x v="89"/>
    <n v="2004"/>
    <n v="8"/>
    <x v="1"/>
    <n v="61"/>
    <n v="184.45390394551416"/>
    <n v="11251.688140676364"/>
  </r>
  <r>
    <n v="1092"/>
    <x v="4"/>
    <x v="73"/>
    <n v="2006"/>
    <n v="7"/>
    <x v="4"/>
    <n v="7"/>
    <n v="23.198272342782062"/>
    <n v="162.38790639947445"/>
  </r>
  <r>
    <n v="1093"/>
    <x v="0"/>
    <x v="90"/>
    <n v="2004"/>
    <n v="12"/>
    <x v="0"/>
    <n v="25"/>
    <n v="76.517978614258837"/>
    <n v="1912.9494653564709"/>
  </r>
  <r>
    <n v="1094"/>
    <x v="2"/>
    <x v="89"/>
    <n v="2004"/>
    <n v="8"/>
    <x v="0"/>
    <n v="84"/>
    <n v="254.21310769001889"/>
    <n v="21353.901045961586"/>
  </r>
  <r>
    <n v="1095"/>
    <x v="0"/>
    <x v="0"/>
    <n v="2004"/>
    <n v="4"/>
    <x v="3"/>
    <n v="66"/>
    <n v="199.92451734594025"/>
    <n v="13195.018144832056"/>
  </r>
  <r>
    <n v="1096"/>
    <x v="6"/>
    <x v="88"/>
    <n v="2004"/>
    <n v="5"/>
    <x v="3"/>
    <n v="89"/>
    <n v="269.23471780277339"/>
    <n v="23961.889884446831"/>
  </r>
  <r>
    <n v="1097"/>
    <x v="5"/>
    <x v="69"/>
    <n v="2005"/>
    <n v="5"/>
    <x v="1"/>
    <n v="32"/>
    <n v="97.883310582745409"/>
    <n v="3132.2659386478531"/>
  </r>
  <r>
    <n v="1098"/>
    <x v="5"/>
    <x v="8"/>
    <n v="2006"/>
    <n v="7"/>
    <x v="0"/>
    <n v="78"/>
    <n v="236.26032561473036"/>
    <n v="18428.305397948967"/>
  </r>
  <r>
    <n v="1099"/>
    <x v="6"/>
    <x v="70"/>
    <n v="2006"/>
    <n v="3"/>
    <x v="2"/>
    <n v="56"/>
    <n v="169.98666558680949"/>
    <n v="9519.2532728613314"/>
  </r>
  <r>
    <n v="1100"/>
    <x v="4"/>
    <x v="30"/>
    <n v="2006"/>
    <n v="12"/>
    <x v="1"/>
    <n v="80"/>
    <n v="241.53786763068013"/>
    <n v="19323.029410454408"/>
  </r>
  <r>
    <n v="1101"/>
    <x v="8"/>
    <x v="78"/>
    <n v="2005"/>
    <n v="2"/>
    <x v="4"/>
    <n v="72"/>
    <n v="218.32896513434619"/>
    <n v="15719.685489672926"/>
  </r>
  <r>
    <n v="1102"/>
    <x v="3"/>
    <x v="26"/>
    <n v="2005"/>
    <n v="11"/>
    <x v="0"/>
    <n v="23"/>
    <n v="71.298686579104526"/>
    <n v="1639.8697913194042"/>
  </r>
  <r>
    <n v="1103"/>
    <x v="8"/>
    <x v="52"/>
    <n v="2006"/>
    <n v="3"/>
    <x v="4"/>
    <n v="-2"/>
    <n v="-3.6886090441469834"/>
    <n v="7.3772180882939669"/>
  </r>
  <r>
    <n v="1104"/>
    <x v="4"/>
    <x v="71"/>
    <n v="2004"/>
    <n v="10"/>
    <x v="0"/>
    <n v="81"/>
    <n v="245.36857839567088"/>
    <n v="19874.854850049342"/>
  </r>
  <r>
    <n v="1105"/>
    <x v="6"/>
    <x v="47"/>
    <n v="2005"/>
    <n v="11"/>
    <x v="2"/>
    <n v="-4"/>
    <n v="-10.626598892969428"/>
    <n v="42.506395571877711"/>
  </r>
  <r>
    <n v="1106"/>
    <x v="0"/>
    <x v="13"/>
    <n v="2005"/>
    <n v="1"/>
    <x v="4"/>
    <n v="81"/>
    <n v="245.47079100584946"/>
    <n v="19883.134071473807"/>
  </r>
  <r>
    <n v="1107"/>
    <x v="4"/>
    <x v="1"/>
    <n v="2004"/>
    <n v="3"/>
    <x v="2"/>
    <n v="-9"/>
    <n v="-24.901607770449246"/>
    <n v="224.1144699340432"/>
  </r>
  <r>
    <n v="1108"/>
    <x v="1"/>
    <x v="33"/>
    <n v="2005"/>
    <n v="3"/>
    <x v="3"/>
    <n v="67"/>
    <n v="203.3886615347389"/>
    <n v="13627.040322827506"/>
  </r>
  <r>
    <n v="1109"/>
    <x v="0"/>
    <x v="78"/>
    <n v="2005"/>
    <n v="2"/>
    <x v="4"/>
    <n v="27"/>
    <n v="83.259650238493791"/>
    <n v="2248.0105564393325"/>
  </r>
  <r>
    <n v="1110"/>
    <x v="4"/>
    <x v="52"/>
    <n v="2006"/>
    <n v="3"/>
    <x v="4"/>
    <n v="-1"/>
    <n v="-1.4486502930593175"/>
    <n v="1.4486502930593175"/>
  </r>
  <r>
    <n v="1111"/>
    <x v="2"/>
    <x v="12"/>
    <n v="2005"/>
    <n v="8"/>
    <x v="4"/>
    <n v="24"/>
    <n v="74.448442468444156"/>
    <n v="1786.7626192426596"/>
  </r>
  <r>
    <n v="1112"/>
    <x v="1"/>
    <x v="20"/>
    <n v="2006"/>
    <n v="2"/>
    <x v="3"/>
    <n v="80"/>
    <n v="241.96811222876255"/>
    <n v="19357.448978301003"/>
  </r>
  <r>
    <n v="1113"/>
    <x v="3"/>
    <x v="71"/>
    <n v="2004"/>
    <n v="10"/>
    <x v="0"/>
    <n v="82"/>
    <n v="248.20917526875209"/>
    <n v="20353.152372037672"/>
  </r>
  <r>
    <n v="1114"/>
    <x v="7"/>
    <x v="82"/>
    <n v="2005"/>
    <n v="12"/>
    <x v="1"/>
    <n v="1"/>
    <n v="5.5518623429739176"/>
    <n v="5.5518623429739176"/>
  </r>
  <r>
    <n v="1115"/>
    <x v="5"/>
    <x v="15"/>
    <n v="2004"/>
    <n v="4"/>
    <x v="1"/>
    <n v="11"/>
    <n v="35.277547883231819"/>
    <n v="388.05302671555"/>
  </r>
  <r>
    <n v="1116"/>
    <x v="0"/>
    <x v="48"/>
    <n v="2006"/>
    <n v="7"/>
    <x v="4"/>
    <n v="12"/>
    <n v="37.331388811713445"/>
    <n v="447.97666574056132"/>
  </r>
  <r>
    <n v="1117"/>
    <x v="8"/>
    <x v="90"/>
    <n v="2004"/>
    <n v="12"/>
    <x v="3"/>
    <n v="54"/>
    <n v="164.38171569287022"/>
    <n v="8876.6126474149914"/>
  </r>
  <r>
    <n v="1118"/>
    <x v="7"/>
    <x v="79"/>
    <n v="2006"/>
    <n v="11"/>
    <x v="4"/>
    <n v="78"/>
    <n v="236.65619273355256"/>
    <n v="18459.183033217101"/>
  </r>
  <r>
    <n v="1119"/>
    <x v="8"/>
    <x v="36"/>
    <n v="2004"/>
    <n v="2"/>
    <x v="4"/>
    <n v="-8"/>
    <n v="-21.770000035096253"/>
    <n v="174.16000028077002"/>
  </r>
  <r>
    <n v="1120"/>
    <x v="0"/>
    <x v="59"/>
    <n v="2004"/>
    <n v="2"/>
    <x v="3"/>
    <n v="6"/>
    <n v="19.844298491399009"/>
    <n v="119.06579094839405"/>
  </r>
  <r>
    <n v="1121"/>
    <x v="3"/>
    <x v="71"/>
    <n v="2004"/>
    <n v="10"/>
    <x v="1"/>
    <n v="30"/>
    <n v="91.748243472806891"/>
    <n v="2752.4473041842066"/>
  </r>
  <r>
    <n v="1122"/>
    <x v="4"/>
    <x v="20"/>
    <n v="2006"/>
    <n v="2"/>
    <x v="0"/>
    <n v="55"/>
    <n v="166.81449022634519"/>
    <n v="9174.7969624489851"/>
  </r>
  <r>
    <n v="1123"/>
    <x v="8"/>
    <x v="28"/>
    <n v="2006"/>
    <n v="3"/>
    <x v="3"/>
    <n v="53"/>
    <n v="161.24130416457103"/>
    <n v="8545.7891207222656"/>
  </r>
  <r>
    <n v="1124"/>
    <x v="2"/>
    <x v="54"/>
    <n v="2005"/>
    <n v="2"/>
    <x v="4"/>
    <n v="29"/>
    <n v="88.931035912155679"/>
    <n v="2579.0000414525148"/>
  </r>
  <r>
    <n v="1125"/>
    <x v="0"/>
    <x v="15"/>
    <n v="2004"/>
    <n v="4"/>
    <x v="0"/>
    <n v="75"/>
    <n v="227.03788190973427"/>
    <n v="17027.841143230071"/>
  </r>
  <r>
    <n v="1126"/>
    <x v="2"/>
    <x v="10"/>
    <n v="2004"/>
    <n v="11"/>
    <x v="1"/>
    <n v="78"/>
    <n v="235.68084148847547"/>
    <n v="18383.105636101085"/>
  </r>
  <r>
    <n v="1127"/>
    <x v="3"/>
    <x v="14"/>
    <n v="2006"/>
    <n v="9"/>
    <x v="1"/>
    <n v="6"/>
    <n v="20.386126115237083"/>
    <n v="122.3167566914225"/>
  </r>
  <r>
    <n v="1128"/>
    <x v="4"/>
    <x v="57"/>
    <n v="2005"/>
    <n v="7"/>
    <x v="0"/>
    <n v="57"/>
    <n v="172.66966829976792"/>
    <n v="9842.1710930867721"/>
  </r>
  <r>
    <n v="1129"/>
    <x v="1"/>
    <x v="37"/>
    <n v="2005"/>
    <n v="4"/>
    <x v="3"/>
    <n v="35"/>
    <n v="106.52782470569326"/>
    <n v="3728.4738646992641"/>
  </r>
  <r>
    <n v="1130"/>
    <x v="8"/>
    <x v="76"/>
    <n v="2006"/>
    <n v="11"/>
    <x v="3"/>
    <n v="72"/>
    <n v="217.3653218325137"/>
    <n v="15650.303171940986"/>
  </r>
  <r>
    <n v="1131"/>
    <x v="7"/>
    <x v="4"/>
    <n v="2004"/>
    <n v="6"/>
    <x v="4"/>
    <n v="79"/>
    <n v="238.31546571286182"/>
    <n v="18826.921791316083"/>
  </r>
  <r>
    <n v="1132"/>
    <x v="8"/>
    <x v="92"/>
    <n v="2005"/>
    <n v="4"/>
    <x v="0"/>
    <n v="89"/>
    <n v="269.0186169961018"/>
    <n v="23942.656912653059"/>
  </r>
  <r>
    <n v="1133"/>
    <x v="7"/>
    <x v="21"/>
    <n v="2005"/>
    <n v="5"/>
    <x v="3"/>
    <n v="84"/>
    <n v="252.58494974261927"/>
    <n v="21217.135778380019"/>
  </r>
  <r>
    <n v="1134"/>
    <x v="5"/>
    <x v="29"/>
    <n v="2006"/>
    <n v="9"/>
    <x v="4"/>
    <n v="43"/>
    <n v="130.65515170314279"/>
    <n v="5618.1715232351398"/>
  </r>
  <r>
    <n v="1135"/>
    <x v="6"/>
    <x v="67"/>
    <n v="2006"/>
    <n v="1"/>
    <x v="0"/>
    <n v="-4"/>
    <n v="-9.965195042789297"/>
    <n v="39.860780171157188"/>
  </r>
  <r>
    <n v="1136"/>
    <x v="6"/>
    <x v="94"/>
    <n v="2005"/>
    <n v="1"/>
    <x v="1"/>
    <n v="51"/>
    <n v="154.66031011925435"/>
    <n v="7887.6758160819718"/>
  </r>
  <r>
    <n v="1137"/>
    <x v="0"/>
    <x v="3"/>
    <n v="2006"/>
    <n v="5"/>
    <x v="0"/>
    <n v="17"/>
    <n v="53.072576846761372"/>
    <n v="902.23380639494337"/>
  </r>
  <r>
    <n v="1138"/>
    <x v="1"/>
    <x v="76"/>
    <n v="2006"/>
    <n v="11"/>
    <x v="4"/>
    <n v="51"/>
    <n v="155.23584686430669"/>
    <n v="7917.0281900796417"/>
  </r>
  <r>
    <n v="1139"/>
    <x v="7"/>
    <x v="52"/>
    <n v="2006"/>
    <n v="3"/>
    <x v="3"/>
    <n v="14"/>
    <n v="44.195651647644979"/>
    <n v="618.73912306702971"/>
  </r>
  <r>
    <n v="1140"/>
    <x v="2"/>
    <x v="7"/>
    <n v="2006"/>
    <n v="12"/>
    <x v="0"/>
    <n v="60"/>
    <n v="181.87259058007896"/>
    <n v="10912.355434804738"/>
  </r>
  <r>
    <n v="1141"/>
    <x v="8"/>
    <x v="11"/>
    <n v="2004"/>
    <n v="11"/>
    <x v="4"/>
    <n v="-8"/>
    <n v="-21.981669305596434"/>
    <n v="175.85335444477147"/>
  </r>
  <r>
    <n v="1142"/>
    <x v="4"/>
    <x v="51"/>
    <n v="2005"/>
    <n v="6"/>
    <x v="1"/>
    <n v="95"/>
    <n v="286.66171116702549"/>
    <n v="27232.862560867423"/>
  </r>
  <r>
    <n v="1143"/>
    <x v="3"/>
    <x v="20"/>
    <n v="2006"/>
    <n v="2"/>
    <x v="1"/>
    <n v="66"/>
    <n v="199.59386136754239"/>
    <n v="13173.194850257798"/>
  </r>
  <r>
    <n v="1144"/>
    <x v="3"/>
    <x v="50"/>
    <n v="2004"/>
    <n v="12"/>
    <x v="0"/>
    <n v="77"/>
    <n v="232.62615004199816"/>
    <n v="17912.213553233858"/>
  </r>
  <r>
    <n v="1145"/>
    <x v="1"/>
    <x v="90"/>
    <n v="2004"/>
    <n v="12"/>
    <x v="3"/>
    <n v="65"/>
    <n v="197.3309600781289"/>
    <n v="12826.512405078378"/>
  </r>
  <r>
    <n v="1146"/>
    <x v="1"/>
    <x v="92"/>
    <n v="2005"/>
    <n v="4"/>
    <x v="4"/>
    <n v="29"/>
    <n v="89.184247826635968"/>
    <n v="2586.3431869724432"/>
  </r>
  <r>
    <n v="1147"/>
    <x v="3"/>
    <x v="77"/>
    <n v="2004"/>
    <n v="7"/>
    <x v="2"/>
    <n v="8"/>
    <n v="26.088167418036129"/>
    <n v="208.70533934428903"/>
  </r>
  <r>
    <n v="1148"/>
    <x v="2"/>
    <x v="56"/>
    <n v="2006"/>
    <n v="1"/>
    <x v="2"/>
    <n v="42"/>
    <n v="127.86858054734927"/>
    <n v="5370.4803829886696"/>
  </r>
  <r>
    <n v="1149"/>
    <x v="0"/>
    <x v="86"/>
    <n v="2004"/>
    <n v="2"/>
    <x v="1"/>
    <n v="93"/>
    <n v="280.72118754503384"/>
    <n v="26107.070441688149"/>
  </r>
  <r>
    <n v="1150"/>
    <x v="3"/>
    <x v="38"/>
    <n v="2004"/>
    <n v="6"/>
    <x v="1"/>
    <n v="69"/>
    <n v="209.153628171767"/>
    <n v="14431.600343851922"/>
  </r>
  <r>
    <n v="1151"/>
    <x v="4"/>
    <x v="8"/>
    <n v="2006"/>
    <n v="7"/>
    <x v="4"/>
    <n v="91"/>
    <n v="274.80447122686729"/>
    <n v="25007.206881644925"/>
  </r>
  <r>
    <n v="1152"/>
    <x v="1"/>
    <x v="78"/>
    <n v="2005"/>
    <n v="2"/>
    <x v="3"/>
    <n v="11"/>
    <n v="34.520998663564384"/>
    <n v="379.73098529920821"/>
  </r>
  <r>
    <n v="1153"/>
    <x v="1"/>
    <x v="13"/>
    <n v="2005"/>
    <n v="1"/>
    <x v="0"/>
    <n v="-1"/>
    <n v="-1.5629041843202898"/>
    <n v="1.5629041843202898"/>
  </r>
  <r>
    <n v="1154"/>
    <x v="7"/>
    <x v="50"/>
    <n v="2004"/>
    <n v="12"/>
    <x v="4"/>
    <n v="52"/>
    <n v="158.21071487768182"/>
    <n v="8226.9571736394555"/>
  </r>
  <r>
    <n v="1155"/>
    <x v="0"/>
    <x v="52"/>
    <n v="2006"/>
    <n v="3"/>
    <x v="2"/>
    <n v="-10"/>
    <n v="-28.635014383965792"/>
    <n v="286.3501438396579"/>
  </r>
  <r>
    <n v="1156"/>
    <x v="3"/>
    <x v="66"/>
    <n v="2006"/>
    <n v="11"/>
    <x v="4"/>
    <n v="33"/>
    <n v="100.50696775814504"/>
    <n v="3316.7299360187862"/>
  </r>
  <r>
    <n v="1157"/>
    <x v="0"/>
    <x v="71"/>
    <n v="2004"/>
    <n v="10"/>
    <x v="2"/>
    <n v="-1"/>
    <n v="-1.1155837084126869"/>
    <n v="1.1155837084126869"/>
  </r>
  <r>
    <n v="1158"/>
    <x v="4"/>
    <x v="93"/>
    <n v="2006"/>
    <n v="8"/>
    <x v="4"/>
    <n v="24"/>
    <n v="73.541516730294589"/>
    <n v="1764.9964015270702"/>
  </r>
  <r>
    <n v="1159"/>
    <x v="7"/>
    <x v="83"/>
    <n v="2004"/>
    <n v="5"/>
    <x v="1"/>
    <n v="71"/>
    <n v="214.70316225183416"/>
    <n v="15243.924519880225"/>
  </r>
  <r>
    <n v="1160"/>
    <x v="1"/>
    <x v="11"/>
    <n v="2004"/>
    <n v="11"/>
    <x v="0"/>
    <n v="88"/>
    <n v="265.86483001134803"/>
    <n v="23396.105040998627"/>
  </r>
  <r>
    <n v="1161"/>
    <x v="0"/>
    <x v="57"/>
    <n v="2005"/>
    <n v="7"/>
    <x v="0"/>
    <n v="16"/>
    <n v="49.990501805612737"/>
    <n v="799.8480288898038"/>
  </r>
  <r>
    <n v="1162"/>
    <x v="8"/>
    <x v="41"/>
    <n v="2005"/>
    <n v="6"/>
    <x v="1"/>
    <n v="7"/>
    <n v="23.192150694784473"/>
    <n v="162.34505486349133"/>
  </r>
  <r>
    <n v="1163"/>
    <x v="6"/>
    <x v="19"/>
    <n v="2004"/>
    <n v="9"/>
    <x v="4"/>
    <n v="46"/>
    <n v="140.4791075192903"/>
    <n v="6462.0389458873533"/>
  </r>
  <r>
    <n v="1164"/>
    <x v="2"/>
    <x v="10"/>
    <n v="2004"/>
    <n v="11"/>
    <x v="1"/>
    <n v="-10"/>
    <n v="-27.584277375696701"/>
    <n v="275.84277375696701"/>
  </r>
  <r>
    <n v="1165"/>
    <x v="1"/>
    <x v="35"/>
    <n v="2006"/>
    <n v="6"/>
    <x v="0"/>
    <n v="83"/>
    <n v="251.13323611062162"/>
    <n v="20844.058597181596"/>
  </r>
  <r>
    <n v="1166"/>
    <x v="7"/>
    <x v="70"/>
    <n v="2006"/>
    <n v="3"/>
    <x v="0"/>
    <n v="85"/>
    <n v="256.22552874700915"/>
    <n v="21779.169943495777"/>
  </r>
  <r>
    <n v="1167"/>
    <x v="3"/>
    <x v="27"/>
    <n v="2005"/>
    <n v="9"/>
    <x v="3"/>
    <n v="18"/>
    <n v="56.221796879126835"/>
    <n v="1011.992343824283"/>
  </r>
  <r>
    <n v="1168"/>
    <x v="5"/>
    <x v="19"/>
    <n v="2004"/>
    <n v="9"/>
    <x v="2"/>
    <n v="83"/>
    <n v="251.40375169999851"/>
    <n v="20866.511391099877"/>
  </r>
  <r>
    <n v="1169"/>
    <x v="8"/>
    <x v="66"/>
    <n v="2006"/>
    <n v="11"/>
    <x v="0"/>
    <n v="71"/>
    <n v="214.72037779298833"/>
    <n v="15245.146823302171"/>
  </r>
  <r>
    <n v="1170"/>
    <x v="6"/>
    <x v="80"/>
    <n v="2004"/>
    <n v="9"/>
    <x v="3"/>
    <n v="2"/>
    <n v="7.9324854406454115"/>
    <n v="15.864970881290823"/>
  </r>
  <r>
    <n v="1171"/>
    <x v="0"/>
    <x v="76"/>
    <n v="2006"/>
    <n v="11"/>
    <x v="1"/>
    <n v="71"/>
    <n v="215.03086098171244"/>
    <n v="15267.191129701583"/>
  </r>
  <r>
    <n v="1172"/>
    <x v="3"/>
    <x v="24"/>
    <n v="2005"/>
    <n v="9"/>
    <x v="2"/>
    <n v="68"/>
    <n v="206.20589088795145"/>
    <n v="14022.0005803807"/>
  </r>
  <r>
    <n v="1173"/>
    <x v="6"/>
    <x v="22"/>
    <n v="2004"/>
    <n v="11"/>
    <x v="3"/>
    <n v="30"/>
    <n v="92.33205932019861"/>
    <n v="2769.9617796059583"/>
  </r>
  <r>
    <n v="1174"/>
    <x v="1"/>
    <x v="20"/>
    <n v="2006"/>
    <n v="2"/>
    <x v="2"/>
    <n v="72"/>
    <n v="217.8071938981364"/>
    <n v="15682.117960665821"/>
  </r>
  <r>
    <n v="1175"/>
    <x v="7"/>
    <x v="89"/>
    <n v="2004"/>
    <n v="8"/>
    <x v="3"/>
    <n v="73"/>
    <n v="221.36652611293488"/>
    <n v="16159.756406244245"/>
  </r>
  <r>
    <n v="1176"/>
    <x v="0"/>
    <x v="67"/>
    <n v="2006"/>
    <n v="1"/>
    <x v="0"/>
    <n v="28"/>
    <n v="86.468421123864729"/>
    <n v="2421.1157914682126"/>
  </r>
  <r>
    <n v="1177"/>
    <x v="8"/>
    <x v="70"/>
    <n v="2006"/>
    <n v="3"/>
    <x v="4"/>
    <n v="40"/>
    <n v="122.63642805944112"/>
    <n v="4905.4571223776447"/>
  </r>
  <r>
    <n v="1178"/>
    <x v="6"/>
    <x v="23"/>
    <n v="2006"/>
    <n v="12"/>
    <x v="1"/>
    <n v="-8"/>
    <n v="-22.295514644563095"/>
    <n v="178.36411715650476"/>
  </r>
  <r>
    <n v="1179"/>
    <x v="2"/>
    <x v="37"/>
    <n v="2005"/>
    <n v="4"/>
    <x v="2"/>
    <n v="70"/>
    <n v="211.69145448851842"/>
    <n v="14818.40181419629"/>
  </r>
  <r>
    <n v="1180"/>
    <x v="0"/>
    <x v="60"/>
    <n v="2005"/>
    <n v="12"/>
    <x v="3"/>
    <n v="3"/>
    <n v="10.721781338210716"/>
    <n v="32.165344014632147"/>
  </r>
  <r>
    <n v="1181"/>
    <x v="0"/>
    <x v="90"/>
    <n v="2004"/>
    <n v="12"/>
    <x v="3"/>
    <n v="33"/>
    <n v="100.68258329871269"/>
    <n v="3322.5252488575188"/>
  </r>
  <r>
    <n v="1182"/>
    <x v="4"/>
    <x v="89"/>
    <n v="2004"/>
    <n v="8"/>
    <x v="0"/>
    <n v="88"/>
    <n v="265.74766319973446"/>
    <n v="23385.794361576634"/>
  </r>
  <r>
    <n v="1183"/>
    <x v="6"/>
    <x v="13"/>
    <n v="2005"/>
    <n v="1"/>
    <x v="4"/>
    <n v="39"/>
    <n v="119.1661098521913"/>
    <n v="4647.4782842354607"/>
  </r>
  <r>
    <n v="1184"/>
    <x v="8"/>
    <x v="51"/>
    <n v="2005"/>
    <n v="6"/>
    <x v="2"/>
    <n v="64"/>
    <n v="193.63735378454803"/>
    <n v="12392.790642211074"/>
  </r>
  <r>
    <n v="1185"/>
    <x v="7"/>
    <x v="35"/>
    <n v="2006"/>
    <n v="6"/>
    <x v="0"/>
    <n v="0"/>
    <n v="2.1318123006760317"/>
    <n v="0"/>
  </r>
  <r>
    <n v="1186"/>
    <x v="5"/>
    <x v="6"/>
    <n v="2004"/>
    <n v="3"/>
    <x v="2"/>
    <n v="26"/>
    <n v="80.373766797749937"/>
    <n v="2089.7179367414983"/>
  </r>
  <r>
    <n v="1187"/>
    <x v="2"/>
    <x v="1"/>
    <n v="2004"/>
    <n v="3"/>
    <x v="0"/>
    <n v="0"/>
    <n v="1.4880685060494558"/>
    <n v="0"/>
  </r>
  <r>
    <n v="1188"/>
    <x v="0"/>
    <x v="62"/>
    <n v="2006"/>
    <n v="6"/>
    <x v="1"/>
    <n v="76"/>
    <n v="229.77238860248113"/>
    <n v="17462.701533788564"/>
  </r>
  <r>
    <n v="1189"/>
    <x v="6"/>
    <x v="17"/>
    <n v="2004"/>
    <n v="10"/>
    <x v="3"/>
    <n v="75"/>
    <n v="227.61957571703351"/>
    <n v="17071.468178777512"/>
  </r>
  <r>
    <n v="1190"/>
    <x v="6"/>
    <x v="4"/>
    <n v="2004"/>
    <n v="6"/>
    <x v="0"/>
    <n v="61"/>
    <n v="184.47481128177199"/>
    <n v="11252.963488188092"/>
  </r>
  <r>
    <n v="1191"/>
    <x v="8"/>
    <x v="95"/>
    <n v="2005"/>
    <n v="7"/>
    <x v="3"/>
    <n v="-2"/>
    <n v="-4.2806028749734537"/>
    <n v="8.5612057499469074"/>
  </r>
  <r>
    <n v="1192"/>
    <x v="1"/>
    <x v="36"/>
    <n v="2004"/>
    <n v="2"/>
    <x v="2"/>
    <n v="40"/>
    <n v="122.55161793559111"/>
    <n v="4902.0647174236447"/>
  </r>
  <r>
    <n v="1193"/>
    <x v="4"/>
    <x v="54"/>
    <n v="2005"/>
    <n v="2"/>
    <x v="3"/>
    <n v="5"/>
    <n v="17.384002396298932"/>
    <n v="86.920011981494667"/>
  </r>
  <r>
    <n v="1194"/>
    <x v="4"/>
    <x v="14"/>
    <n v="2006"/>
    <n v="9"/>
    <x v="3"/>
    <n v="57"/>
    <n v="172.52313391180516"/>
    <n v="9833.8186329728942"/>
  </r>
  <r>
    <n v="1195"/>
    <x v="7"/>
    <x v="28"/>
    <n v="2006"/>
    <n v="3"/>
    <x v="3"/>
    <n v="86"/>
    <n v="259.81646524411644"/>
    <n v="22344.216010994016"/>
  </r>
  <r>
    <n v="1196"/>
    <x v="0"/>
    <x v="4"/>
    <n v="2004"/>
    <n v="6"/>
    <x v="2"/>
    <n v="15"/>
    <n v="46.529110883082438"/>
    <n v="697.93666324623655"/>
  </r>
  <r>
    <n v="1197"/>
    <x v="8"/>
    <x v="29"/>
    <n v="2006"/>
    <n v="9"/>
    <x v="3"/>
    <n v="39"/>
    <n v="118.84027043467471"/>
    <n v="4634.7705469523135"/>
  </r>
  <r>
    <n v="1198"/>
    <x v="0"/>
    <x v="88"/>
    <n v="2004"/>
    <n v="5"/>
    <x v="1"/>
    <n v="94"/>
    <n v="284.28308169489765"/>
    <n v="26722.60967932038"/>
  </r>
  <r>
    <n v="1199"/>
    <x v="0"/>
    <x v="28"/>
    <n v="2006"/>
    <n v="3"/>
    <x v="0"/>
    <n v="78"/>
    <n v="235.94909602444432"/>
    <n v="18404.029489906658"/>
  </r>
  <r>
    <n v="1200"/>
    <x v="8"/>
    <x v="67"/>
    <n v="2006"/>
    <n v="1"/>
    <x v="3"/>
    <n v="65"/>
    <n v="196.94723752480948"/>
    <n v="12801.570439112616"/>
  </r>
  <r>
    <n v="1201"/>
    <x v="2"/>
    <x v="7"/>
    <n v="2006"/>
    <n v="12"/>
    <x v="3"/>
    <n v="66"/>
    <n v="199.89422548511391"/>
    <n v="13193.018882017517"/>
  </r>
  <r>
    <n v="1202"/>
    <x v="6"/>
    <x v="69"/>
    <n v="2005"/>
    <n v="5"/>
    <x v="4"/>
    <n v="84"/>
    <n v="254.09765790734036"/>
    <n v="21344.20326421659"/>
  </r>
  <r>
    <n v="1203"/>
    <x v="0"/>
    <x v="70"/>
    <n v="2006"/>
    <n v="3"/>
    <x v="4"/>
    <n v="35"/>
    <n v="107.42230334811192"/>
    <n v="3759.7806171839175"/>
  </r>
  <r>
    <n v="1204"/>
    <x v="5"/>
    <x v="38"/>
    <n v="2004"/>
    <n v="6"/>
    <x v="4"/>
    <n v="94"/>
    <n v="284.44960047674812"/>
    <n v="26738.262444814321"/>
  </r>
  <r>
    <n v="1205"/>
    <x v="4"/>
    <x v="37"/>
    <n v="2005"/>
    <n v="4"/>
    <x v="0"/>
    <n v="26"/>
    <n v="80.008907895331433"/>
    <n v="2080.2316052786173"/>
  </r>
  <r>
    <n v="1206"/>
    <x v="7"/>
    <x v="73"/>
    <n v="2006"/>
    <n v="7"/>
    <x v="3"/>
    <n v="80"/>
    <n v="242.68960514739433"/>
    <n v="19415.168411791547"/>
  </r>
  <r>
    <n v="1207"/>
    <x v="5"/>
    <x v="64"/>
    <n v="2004"/>
    <n v="5"/>
    <x v="0"/>
    <n v="7"/>
    <n v="22.749084769262449"/>
    <n v="159.24359338483714"/>
  </r>
  <r>
    <n v="1208"/>
    <x v="1"/>
    <x v="73"/>
    <n v="2006"/>
    <n v="7"/>
    <x v="4"/>
    <n v="47"/>
    <n v="142.45293344391169"/>
    <n v="6695.2878718638494"/>
  </r>
  <r>
    <n v="1209"/>
    <x v="4"/>
    <x v="31"/>
    <n v="2004"/>
    <n v="9"/>
    <x v="0"/>
    <n v="32"/>
    <n v="98.66880662051085"/>
    <n v="3157.4018118563472"/>
  </r>
  <r>
    <n v="1210"/>
    <x v="1"/>
    <x v="5"/>
    <n v="2005"/>
    <n v="11"/>
    <x v="0"/>
    <n v="8"/>
    <n v="25.397181435002494"/>
    <n v="203.17745148001995"/>
  </r>
  <r>
    <n v="1211"/>
    <x v="2"/>
    <x v="96"/>
    <n v="2004"/>
    <n v="7"/>
    <x v="4"/>
    <n v="33"/>
    <n v="100.90835792644413"/>
    <n v="3329.9758115726563"/>
  </r>
  <r>
    <n v="1212"/>
    <x v="7"/>
    <x v="80"/>
    <n v="2004"/>
    <n v="9"/>
    <x v="3"/>
    <n v="22"/>
    <n v="68.443266596535878"/>
    <n v="1505.7518651237892"/>
  </r>
  <r>
    <n v="1213"/>
    <x v="8"/>
    <x v="72"/>
    <n v="2005"/>
    <n v="10"/>
    <x v="0"/>
    <n v="81"/>
    <n v="244.7024907032648"/>
    <n v="19820.90174696445"/>
  </r>
  <r>
    <n v="1214"/>
    <x v="8"/>
    <x v="62"/>
    <n v="2006"/>
    <n v="6"/>
    <x v="2"/>
    <n v="81"/>
    <n v="244.87385074051761"/>
    <n v="19834.781909981928"/>
  </r>
  <r>
    <n v="1215"/>
    <x v="2"/>
    <x v="96"/>
    <n v="2004"/>
    <n v="7"/>
    <x v="1"/>
    <n v="30"/>
    <n v="91.738843901415805"/>
    <n v="2752.1653170424743"/>
  </r>
  <r>
    <n v="1216"/>
    <x v="3"/>
    <x v="31"/>
    <n v="2004"/>
    <n v="9"/>
    <x v="0"/>
    <n v="-1"/>
    <n v="-1.145171893891844"/>
    <n v="1.145171893891844"/>
  </r>
  <r>
    <n v="1217"/>
    <x v="1"/>
    <x v="3"/>
    <n v="2006"/>
    <n v="5"/>
    <x v="4"/>
    <n v="35"/>
    <n v="106.85440305953027"/>
    <n v="3739.9041070835597"/>
  </r>
  <r>
    <n v="1218"/>
    <x v="8"/>
    <x v="70"/>
    <n v="2006"/>
    <n v="3"/>
    <x v="4"/>
    <n v="78"/>
    <n v="235.96052865922752"/>
    <n v="18404.921235419748"/>
  </r>
  <r>
    <n v="1219"/>
    <x v="0"/>
    <x v="9"/>
    <n v="2006"/>
    <n v="8"/>
    <x v="0"/>
    <n v="15"/>
    <n v="47.22639965086119"/>
    <n v="708.39599476291789"/>
  </r>
  <r>
    <n v="1220"/>
    <x v="7"/>
    <x v="49"/>
    <n v="2005"/>
    <n v="1"/>
    <x v="4"/>
    <n v="75"/>
    <n v="226.87742764461669"/>
    <n v="17015.807073346252"/>
  </r>
  <r>
    <n v="1221"/>
    <x v="6"/>
    <x v="84"/>
    <n v="2006"/>
    <n v="10"/>
    <x v="3"/>
    <n v="12"/>
    <n v="38.143038750044731"/>
    <n v="457.7164650005368"/>
  </r>
  <r>
    <n v="1222"/>
    <x v="5"/>
    <x v="26"/>
    <n v="2005"/>
    <n v="11"/>
    <x v="4"/>
    <n v="30"/>
    <n v="91.983337200833716"/>
    <n v="2759.5001160250113"/>
  </r>
  <r>
    <n v="1223"/>
    <x v="5"/>
    <x v="69"/>
    <n v="2005"/>
    <n v="5"/>
    <x v="3"/>
    <n v="42"/>
    <n v="128.0454928316145"/>
    <n v="5377.9106989278089"/>
  </r>
  <r>
    <n v="1224"/>
    <x v="6"/>
    <x v="42"/>
    <n v="2004"/>
    <n v="1"/>
    <x v="3"/>
    <n v="-8"/>
    <n v="-22.146929145267091"/>
    <n v="177.17543316213673"/>
  </r>
  <r>
    <n v="1225"/>
    <x v="7"/>
    <x v="15"/>
    <n v="2004"/>
    <n v="4"/>
    <x v="2"/>
    <n v="93"/>
    <n v="280.73714428830147"/>
    <n v="26108.554418812037"/>
  </r>
  <r>
    <n v="1226"/>
    <x v="1"/>
    <x v="93"/>
    <n v="2006"/>
    <n v="8"/>
    <x v="3"/>
    <n v="55"/>
    <n v="167.57524533229733"/>
    <n v="9216.6384932763522"/>
  </r>
  <r>
    <n v="1227"/>
    <x v="2"/>
    <x v="2"/>
    <n v="2005"/>
    <n v="2"/>
    <x v="0"/>
    <n v="53"/>
    <n v="161.16756896250922"/>
    <n v="8541.8811550129885"/>
  </r>
  <r>
    <n v="1228"/>
    <x v="6"/>
    <x v="8"/>
    <n v="2006"/>
    <n v="7"/>
    <x v="3"/>
    <n v="20"/>
    <n v="61.771223708788817"/>
    <n v="1235.4244741757764"/>
  </r>
  <r>
    <n v="1229"/>
    <x v="3"/>
    <x v="92"/>
    <n v="2005"/>
    <n v="4"/>
    <x v="2"/>
    <n v="19"/>
    <n v="58.720890783599678"/>
    <n v="1115.6969248883938"/>
  </r>
  <r>
    <n v="1230"/>
    <x v="8"/>
    <x v="49"/>
    <n v="2005"/>
    <n v="1"/>
    <x v="4"/>
    <n v="23"/>
    <n v="70.867520556192943"/>
    <n v="1629.9529727924378"/>
  </r>
  <r>
    <n v="1231"/>
    <x v="0"/>
    <x v="52"/>
    <n v="2006"/>
    <n v="3"/>
    <x v="1"/>
    <n v="68"/>
    <n v="205.90903893366013"/>
    <n v="14001.814647488889"/>
  </r>
  <r>
    <n v="1232"/>
    <x v="4"/>
    <x v="67"/>
    <n v="2006"/>
    <n v="1"/>
    <x v="2"/>
    <n v="52"/>
    <n v="157.86201256059277"/>
    <n v="8208.8246531508248"/>
  </r>
  <r>
    <n v="1233"/>
    <x v="2"/>
    <x v="95"/>
    <n v="2005"/>
    <n v="7"/>
    <x v="3"/>
    <n v="40"/>
    <n v="121.95606531866419"/>
    <n v="4878.2426127465678"/>
  </r>
  <r>
    <n v="1234"/>
    <x v="4"/>
    <x v="34"/>
    <n v="2006"/>
    <n v="2"/>
    <x v="4"/>
    <n v="22"/>
    <n v="67.708397118863431"/>
    <n v="1489.5847366149956"/>
  </r>
  <r>
    <n v="1235"/>
    <x v="4"/>
    <x v="37"/>
    <n v="2005"/>
    <n v="4"/>
    <x v="2"/>
    <n v="5"/>
    <n v="16.990101124103898"/>
    <n v="84.950505620519493"/>
  </r>
  <r>
    <n v="1236"/>
    <x v="4"/>
    <x v="99"/>
    <n v="2006"/>
    <n v="4"/>
    <x v="4"/>
    <n v="30"/>
    <n v="92.283774629578076"/>
    <n v="2768.5132388873421"/>
  </r>
  <r>
    <n v="1237"/>
    <x v="4"/>
    <x v="0"/>
    <n v="2004"/>
    <n v="4"/>
    <x v="3"/>
    <n v="6"/>
    <n v="20.244957158318631"/>
    <n v="121.46974294991179"/>
  </r>
  <r>
    <n v="1238"/>
    <x v="7"/>
    <x v="19"/>
    <n v="2004"/>
    <n v="9"/>
    <x v="2"/>
    <n v="92"/>
    <n v="277.63010190908926"/>
    <n v="25541.96937563621"/>
  </r>
  <r>
    <n v="1239"/>
    <x v="3"/>
    <x v="3"/>
    <n v="2006"/>
    <n v="5"/>
    <x v="4"/>
    <n v="-5"/>
    <n v="-12.432490366118355"/>
    <n v="62.162451830591777"/>
  </r>
  <r>
    <n v="1240"/>
    <x v="5"/>
    <x v="46"/>
    <n v="2006"/>
    <n v="5"/>
    <x v="0"/>
    <n v="20"/>
    <n v="61.840740307042338"/>
    <n v="1236.8148061408467"/>
  </r>
  <r>
    <n v="1241"/>
    <x v="6"/>
    <x v="30"/>
    <n v="2006"/>
    <n v="12"/>
    <x v="4"/>
    <n v="54"/>
    <n v="163.08588736802977"/>
    <n v="8806.6379178736079"/>
  </r>
  <r>
    <n v="1242"/>
    <x v="4"/>
    <x v="37"/>
    <n v="2005"/>
    <n v="4"/>
    <x v="3"/>
    <n v="9"/>
    <n v="29.206434361888643"/>
    <n v="262.8579092569978"/>
  </r>
  <r>
    <n v="1243"/>
    <x v="3"/>
    <x v="69"/>
    <n v="2005"/>
    <n v="5"/>
    <x v="3"/>
    <n v="6"/>
    <n v="19.957821441994636"/>
    <n v="119.74692865196781"/>
  </r>
  <r>
    <n v="1244"/>
    <x v="6"/>
    <x v="88"/>
    <n v="2004"/>
    <n v="5"/>
    <x v="0"/>
    <n v="47"/>
    <n v="142.82940012407209"/>
    <n v="6712.9818058313886"/>
  </r>
  <r>
    <n v="1245"/>
    <x v="2"/>
    <x v="26"/>
    <n v="2005"/>
    <n v="11"/>
    <x v="4"/>
    <n v="-10"/>
    <n v="-27.091257616513943"/>
    <n v="270.9125761651394"/>
  </r>
  <r>
    <n v="1246"/>
    <x v="8"/>
    <x v="83"/>
    <n v="2004"/>
    <n v="5"/>
    <x v="4"/>
    <n v="90"/>
    <n v="272.34042411677569"/>
    <n v="24510.638170509814"/>
  </r>
  <r>
    <n v="1247"/>
    <x v="0"/>
    <x v="36"/>
    <n v="2004"/>
    <n v="2"/>
    <x v="1"/>
    <n v="48"/>
    <n v="146.4346102431829"/>
    <n v="7028.8612916727798"/>
  </r>
  <r>
    <n v="1248"/>
    <x v="6"/>
    <x v="37"/>
    <n v="2005"/>
    <n v="4"/>
    <x v="1"/>
    <n v="55"/>
    <n v="167.32527262577906"/>
    <n v="9202.8899944178484"/>
  </r>
  <r>
    <n v="1249"/>
    <x v="0"/>
    <x v="35"/>
    <n v="2006"/>
    <n v="6"/>
    <x v="4"/>
    <n v="42"/>
    <n v="128.47869059837046"/>
    <n v="5396.1050051315597"/>
  </r>
  <r>
    <n v="1250"/>
    <x v="8"/>
    <x v="20"/>
    <n v="2006"/>
    <n v="2"/>
    <x v="3"/>
    <n v="39"/>
    <n v="119.42558225930649"/>
    <n v="4657.5977081129531"/>
  </r>
  <r>
    <n v="1251"/>
    <x v="4"/>
    <x v="26"/>
    <n v="2005"/>
    <n v="11"/>
    <x v="4"/>
    <n v="26"/>
    <n v="79.641106811056247"/>
    <n v="2070.6687770874623"/>
  </r>
  <r>
    <n v="1252"/>
    <x v="0"/>
    <x v="75"/>
    <n v="2006"/>
    <n v="2"/>
    <x v="4"/>
    <n v="26"/>
    <n v="79.499321772308136"/>
    <n v="2066.9823660800116"/>
  </r>
  <r>
    <n v="1253"/>
    <x v="0"/>
    <x v="60"/>
    <n v="2005"/>
    <n v="12"/>
    <x v="3"/>
    <n v="52"/>
    <n v="158.28266649648856"/>
    <n v="8230.6986578174055"/>
  </r>
  <r>
    <n v="1254"/>
    <x v="4"/>
    <x v="11"/>
    <n v="2004"/>
    <n v="11"/>
    <x v="1"/>
    <n v="19"/>
    <n v="58.769535018680784"/>
    <n v="1116.6211653549349"/>
  </r>
  <r>
    <n v="1255"/>
    <x v="2"/>
    <x v="45"/>
    <n v="2004"/>
    <n v="8"/>
    <x v="4"/>
    <n v="18"/>
    <n v="55.683739721262491"/>
    <n v="1002.3073149827248"/>
  </r>
  <r>
    <n v="1256"/>
    <x v="1"/>
    <x v="66"/>
    <n v="2006"/>
    <n v="11"/>
    <x v="4"/>
    <n v="87"/>
    <n v="263.04139351081579"/>
    <n v="22884.601235440976"/>
  </r>
  <r>
    <n v="1257"/>
    <x v="4"/>
    <x v="81"/>
    <n v="2004"/>
    <n v="10"/>
    <x v="3"/>
    <n v="46"/>
    <n v="139.93969189998913"/>
    <n v="6437.2258273995003"/>
  </r>
  <r>
    <n v="1258"/>
    <x v="0"/>
    <x v="48"/>
    <n v="2006"/>
    <n v="7"/>
    <x v="4"/>
    <n v="54"/>
    <n v="163.69364721145854"/>
    <n v="8839.4569494187617"/>
  </r>
  <r>
    <n v="1259"/>
    <x v="3"/>
    <x v="86"/>
    <n v="2004"/>
    <n v="2"/>
    <x v="4"/>
    <n v="21"/>
    <n v="64.701803739735197"/>
    <n v="1358.7378785344392"/>
  </r>
  <r>
    <n v="1260"/>
    <x v="4"/>
    <x v="36"/>
    <n v="2004"/>
    <n v="2"/>
    <x v="1"/>
    <n v="-6"/>
    <n v="-16.23714349589131"/>
    <n v="97.422860975347859"/>
  </r>
  <r>
    <n v="1261"/>
    <x v="5"/>
    <x v="11"/>
    <n v="2004"/>
    <n v="11"/>
    <x v="1"/>
    <n v="47"/>
    <n v="142.41301237194139"/>
    <n v="6693.4115814812458"/>
  </r>
  <r>
    <n v="1262"/>
    <x v="7"/>
    <x v="74"/>
    <n v="2004"/>
    <n v="4"/>
    <x v="1"/>
    <n v="14"/>
    <n v="44.23662693928393"/>
    <n v="619.31277714997498"/>
  </r>
  <r>
    <n v="1263"/>
    <x v="7"/>
    <x v="58"/>
    <n v="2006"/>
    <n v="10"/>
    <x v="1"/>
    <n v="73"/>
    <n v="220.5000128058029"/>
    <n v="16096.500934823611"/>
  </r>
  <r>
    <n v="1264"/>
    <x v="7"/>
    <x v="7"/>
    <n v="2006"/>
    <n v="12"/>
    <x v="0"/>
    <n v="14"/>
    <n v="44.424699895790788"/>
    <n v="621.94579854107099"/>
  </r>
  <r>
    <n v="1265"/>
    <x v="1"/>
    <x v="99"/>
    <n v="2006"/>
    <n v="4"/>
    <x v="0"/>
    <n v="95"/>
    <n v="286.75698716058628"/>
    <n v="27241.913780255698"/>
  </r>
  <r>
    <n v="1266"/>
    <x v="5"/>
    <x v="59"/>
    <n v="2004"/>
    <n v="2"/>
    <x v="3"/>
    <n v="64"/>
    <n v="193.36768203630285"/>
    <n v="12375.531650323383"/>
  </r>
  <r>
    <n v="1267"/>
    <x v="8"/>
    <x v="71"/>
    <n v="2004"/>
    <n v="10"/>
    <x v="3"/>
    <n v="47"/>
    <n v="143.14314267064674"/>
    <n v="6727.7277055203967"/>
  </r>
  <r>
    <n v="1268"/>
    <x v="5"/>
    <x v="10"/>
    <n v="2004"/>
    <n v="11"/>
    <x v="1"/>
    <n v="20"/>
    <n v="61.937788372758583"/>
    <n v="1238.7557674551717"/>
  </r>
  <r>
    <n v="1269"/>
    <x v="3"/>
    <x v="50"/>
    <n v="2004"/>
    <n v="12"/>
    <x v="0"/>
    <n v="71"/>
    <n v="215.32844026172367"/>
    <n v="15288.31925858238"/>
  </r>
  <r>
    <n v="1270"/>
    <x v="5"/>
    <x v="85"/>
    <n v="2005"/>
    <n v="10"/>
    <x v="3"/>
    <n v="66"/>
    <n v="199.49732716580834"/>
    <n v="13166.82359294335"/>
  </r>
  <r>
    <n v="1271"/>
    <x v="1"/>
    <x v="71"/>
    <n v="2004"/>
    <n v="10"/>
    <x v="1"/>
    <n v="79"/>
    <n v="239.43592811272299"/>
    <n v="18915.438320905116"/>
  </r>
  <r>
    <n v="1272"/>
    <x v="1"/>
    <x v="72"/>
    <n v="2005"/>
    <n v="10"/>
    <x v="4"/>
    <n v="-7"/>
    <n v="-18.401268878071164"/>
    <n v="128.80888214649815"/>
  </r>
  <r>
    <n v="1273"/>
    <x v="0"/>
    <x v="68"/>
    <n v="2005"/>
    <n v="10"/>
    <x v="1"/>
    <n v="72"/>
    <n v="217.35308480664631"/>
    <n v="15649.422106078535"/>
  </r>
  <r>
    <n v="1274"/>
    <x v="1"/>
    <x v="71"/>
    <n v="2004"/>
    <n v="10"/>
    <x v="2"/>
    <n v="91"/>
    <n v="275.36823907836589"/>
    <n v="25058.509756131294"/>
  </r>
  <r>
    <n v="1275"/>
    <x v="4"/>
    <x v="1"/>
    <n v="2004"/>
    <n v="3"/>
    <x v="4"/>
    <n v="57"/>
    <n v="173.47781647307619"/>
    <n v="9888.2355389653421"/>
  </r>
  <r>
    <n v="1276"/>
    <x v="8"/>
    <x v="19"/>
    <n v="2004"/>
    <n v="9"/>
    <x v="1"/>
    <n v="-8"/>
    <n v="-21.82749489869385"/>
    <n v="174.6199591895508"/>
  </r>
  <r>
    <n v="1277"/>
    <x v="5"/>
    <x v="27"/>
    <n v="2005"/>
    <n v="9"/>
    <x v="1"/>
    <n v="45"/>
    <n v="136.95599465560394"/>
    <n v="6163.0197595021773"/>
  </r>
  <r>
    <n v="1278"/>
    <x v="3"/>
    <x v="17"/>
    <n v="2004"/>
    <n v="10"/>
    <x v="3"/>
    <n v="92"/>
    <n v="278.04523769732305"/>
    <n v="25580.161868153722"/>
  </r>
  <r>
    <n v="1279"/>
    <x v="4"/>
    <x v="80"/>
    <n v="2004"/>
    <n v="9"/>
    <x v="4"/>
    <n v="28"/>
    <n v="86.457557586126669"/>
    <n v="2420.8116124115468"/>
  </r>
  <r>
    <n v="1280"/>
    <x v="0"/>
    <x v="49"/>
    <n v="2005"/>
    <n v="1"/>
    <x v="2"/>
    <n v="79"/>
    <n v="238.98646128992934"/>
    <n v="18879.930441904417"/>
  </r>
  <r>
    <n v="1281"/>
    <x v="7"/>
    <x v="49"/>
    <n v="2005"/>
    <n v="1"/>
    <x v="1"/>
    <n v="92"/>
    <n v="277.53792590877345"/>
    <n v="25533.489183607158"/>
  </r>
  <r>
    <n v="1282"/>
    <x v="5"/>
    <x v="74"/>
    <n v="2004"/>
    <n v="4"/>
    <x v="4"/>
    <n v="11"/>
    <n v="34.457391966440007"/>
    <n v="379.03131163084009"/>
  </r>
  <r>
    <n v="1283"/>
    <x v="4"/>
    <x v="49"/>
    <n v="2005"/>
    <n v="1"/>
    <x v="3"/>
    <n v="23"/>
    <n v="70.69661605650883"/>
    <n v="1626.0221692997031"/>
  </r>
  <r>
    <n v="1284"/>
    <x v="0"/>
    <x v="91"/>
    <n v="2006"/>
    <n v="4"/>
    <x v="3"/>
    <n v="2"/>
    <n v="8.8023773142157893"/>
    <n v="17.604754628431579"/>
  </r>
  <r>
    <n v="1285"/>
    <x v="6"/>
    <x v="13"/>
    <n v="2005"/>
    <n v="1"/>
    <x v="3"/>
    <n v="-2"/>
    <n v="-3.4493356628035219"/>
    <n v="6.8986713256070438"/>
  </r>
  <r>
    <n v="1286"/>
    <x v="1"/>
    <x v="98"/>
    <n v="2005"/>
    <n v="6"/>
    <x v="0"/>
    <n v="33"/>
    <n v="100.68617590777907"/>
    <n v="3322.6438049567096"/>
  </r>
  <r>
    <n v="1287"/>
    <x v="6"/>
    <x v="35"/>
    <n v="2006"/>
    <n v="6"/>
    <x v="4"/>
    <n v="10"/>
    <n v="31.300935347132732"/>
    <n v="313.0093534713273"/>
  </r>
  <r>
    <n v="1288"/>
    <x v="2"/>
    <x v="10"/>
    <n v="2004"/>
    <n v="11"/>
    <x v="2"/>
    <n v="84"/>
    <n v="254.11937205363179"/>
    <n v="21346.027252505071"/>
  </r>
  <r>
    <n v="1289"/>
    <x v="1"/>
    <x v="50"/>
    <n v="2004"/>
    <n v="12"/>
    <x v="4"/>
    <n v="88"/>
    <n v="266.39334034313327"/>
    <n v="23442.61395019573"/>
  </r>
  <r>
    <n v="1290"/>
    <x v="0"/>
    <x v="32"/>
    <n v="2005"/>
    <n v="7"/>
    <x v="3"/>
    <n v="95"/>
    <n v="286.60843219410157"/>
    <n v="27227.801058439651"/>
  </r>
  <r>
    <n v="1291"/>
    <x v="3"/>
    <x v="54"/>
    <n v="2005"/>
    <n v="2"/>
    <x v="4"/>
    <n v="3"/>
    <n v="11.903882144888168"/>
    <n v="35.711646434664502"/>
  </r>
  <r>
    <n v="1292"/>
    <x v="0"/>
    <x v="16"/>
    <n v="2006"/>
    <n v="4"/>
    <x v="0"/>
    <n v="72"/>
    <n v="217.58131494729014"/>
    <n v="15665.85467620489"/>
  </r>
  <r>
    <n v="1293"/>
    <x v="8"/>
    <x v="33"/>
    <n v="2005"/>
    <n v="3"/>
    <x v="3"/>
    <n v="58"/>
    <n v="176.65394036929425"/>
    <n v="10245.928541419067"/>
  </r>
  <r>
    <n v="1294"/>
    <x v="2"/>
    <x v="38"/>
    <n v="2004"/>
    <n v="6"/>
    <x v="3"/>
    <n v="19"/>
    <n v="59.643357077362239"/>
    <n v="1133.2237844698825"/>
  </r>
  <r>
    <n v="1295"/>
    <x v="0"/>
    <x v="92"/>
    <n v="2005"/>
    <n v="4"/>
    <x v="4"/>
    <n v="35"/>
    <n v="106.5070892872302"/>
    <n v="3727.7481250530573"/>
  </r>
  <r>
    <n v="1296"/>
    <x v="1"/>
    <x v="10"/>
    <n v="2004"/>
    <n v="11"/>
    <x v="1"/>
    <n v="80"/>
    <n v="242.63330478636408"/>
    <n v="19410.664382909126"/>
  </r>
  <r>
    <n v="1297"/>
    <x v="5"/>
    <x v="97"/>
    <n v="2004"/>
    <n v="1"/>
    <x v="3"/>
    <n v="26"/>
    <n v="80.048584690277565"/>
    <n v="2081.2632019472167"/>
  </r>
  <r>
    <n v="1298"/>
    <x v="3"/>
    <x v="32"/>
    <n v="2005"/>
    <n v="7"/>
    <x v="0"/>
    <n v="93"/>
    <n v="280.93222292224493"/>
    <n v="26126.696731768778"/>
  </r>
  <r>
    <n v="1299"/>
    <x v="4"/>
    <x v="47"/>
    <n v="2005"/>
    <n v="11"/>
    <x v="3"/>
    <n v="29"/>
    <n v="90.05707639133125"/>
    <n v="2611.6552153486064"/>
  </r>
  <r>
    <n v="1300"/>
    <x v="4"/>
    <x v="74"/>
    <n v="2004"/>
    <n v="4"/>
    <x v="1"/>
    <n v="88"/>
    <n v="266.36925289616937"/>
    <n v="23440.494254862904"/>
  </r>
  <r>
    <n v="1301"/>
    <x v="7"/>
    <x v="63"/>
    <n v="2006"/>
    <n v="8"/>
    <x v="3"/>
    <n v="5"/>
    <n v="16.874201572948834"/>
    <n v="84.371007864744172"/>
  </r>
  <r>
    <n v="1302"/>
    <x v="4"/>
    <x v="39"/>
    <n v="2005"/>
    <n v="8"/>
    <x v="4"/>
    <n v="64"/>
    <n v="194.02715866543952"/>
    <n v="12417.738154588129"/>
  </r>
  <r>
    <n v="1303"/>
    <x v="6"/>
    <x v="82"/>
    <n v="2005"/>
    <n v="12"/>
    <x v="0"/>
    <n v="38"/>
    <n v="116.02781429818391"/>
    <n v="4409.0569433309884"/>
  </r>
  <r>
    <n v="1304"/>
    <x v="7"/>
    <x v="81"/>
    <n v="2004"/>
    <n v="10"/>
    <x v="1"/>
    <n v="21"/>
    <n v="65.60411466769294"/>
    <n v="1377.6864080215516"/>
  </r>
  <r>
    <n v="1305"/>
    <x v="1"/>
    <x v="95"/>
    <n v="2005"/>
    <n v="7"/>
    <x v="3"/>
    <n v="61"/>
    <n v="184.44189289759726"/>
    <n v="11250.955466753432"/>
  </r>
  <r>
    <n v="1306"/>
    <x v="3"/>
    <x v="88"/>
    <n v="2004"/>
    <n v="5"/>
    <x v="3"/>
    <n v="53"/>
    <n v="160.79564195236946"/>
    <n v="8522.1690234755824"/>
  </r>
  <r>
    <n v="1307"/>
    <x v="0"/>
    <x v="20"/>
    <n v="2006"/>
    <n v="2"/>
    <x v="4"/>
    <n v="28"/>
    <n v="86.322863736189788"/>
    <n v="2417.0401846133141"/>
  </r>
  <r>
    <n v="1308"/>
    <x v="3"/>
    <x v="93"/>
    <n v="2006"/>
    <n v="8"/>
    <x v="4"/>
    <n v="39"/>
    <n v="119.49155300741148"/>
    <n v="4660.1705672890475"/>
  </r>
  <r>
    <n v="1309"/>
    <x v="3"/>
    <x v="79"/>
    <n v="2006"/>
    <n v="11"/>
    <x v="0"/>
    <n v="89"/>
    <n v="268.72040652792879"/>
    <n v="23916.11618098566"/>
  </r>
  <r>
    <n v="1310"/>
    <x v="0"/>
    <x v="74"/>
    <n v="2004"/>
    <n v="4"/>
    <x v="1"/>
    <n v="72"/>
    <n v="218.15784251474992"/>
    <n v="15707.364661061994"/>
  </r>
  <r>
    <n v="1311"/>
    <x v="4"/>
    <x v="89"/>
    <n v="2004"/>
    <n v="8"/>
    <x v="0"/>
    <n v="63"/>
    <n v="191.07967670509865"/>
    <n v="12038.019632421216"/>
  </r>
  <r>
    <n v="1312"/>
    <x v="5"/>
    <x v="30"/>
    <n v="2006"/>
    <n v="12"/>
    <x v="1"/>
    <n v="47"/>
    <n v="142.1470812441363"/>
    <n v="6680.9128184744059"/>
  </r>
  <r>
    <n v="1313"/>
    <x v="2"/>
    <x v="32"/>
    <n v="2005"/>
    <n v="7"/>
    <x v="4"/>
    <n v="8"/>
    <n v="25.619997788473359"/>
    <n v="204.95998230778687"/>
  </r>
  <r>
    <n v="1314"/>
    <x v="0"/>
    <x v="22"/>
    <n v="2004"/>
    <n v="11"/>
    <x v="0"/>
    <n v="88"/>
    <n v="265.56717139256853"/>
    <n v="23369.91108254603"/>
  </r>
  <r>
    <n v="1315"/>
    <x v="2"/>
    <x v="89"/>
    <n v="2004"/>
    <n v="8"/>
    <x v="0"/>
    <n v="12"/>
    <n v="37.818679875987904"/>
    <n v="453.82415851185488"/>
  </r>
  <r>
    <n v="1316"/>
    <x v="7"/>
    <x v="5"/>
    <n v="2005"/>
    <n v="11"/>
    <x v="4"/>
    <n v="79"/>
    <n v="239.17519679611866"/>
    <n v="18894.840546893374"/>
  </r>
  <r>
    <n v="1317"/>
    <x v="4"/>
    <x v="4"/>
    <n v="2004"/>
    <n v="6"/>
    <x v="2"/>
    <n v="39"/>
    <n v="118.94488443291594"/>
    <n v="4638.8504928837219"/>
  </r>
  <r>
    <n v="1318"/>
    <x v="7"/>
    <x v="75"/>
    <n v="2006"/>
    <n v="2"/>
    <x v="4"/>
    <n v="61"/>
    <n v="185.05613481266943"/>
    <n v="11288.424223572834"/>
  </r>
  <r>
    <n v="1319"/>
    <x v="7"/>
    <x v="14"/>
    <n v="2006"/>
    <n v="9"/>
    <x v="0"/>
    <n v="12"/>
    <n v="38.275233428944262"/>
    <n v="459.30280114733114"/>
  </r>
  <r>
    <n v="1320"/>
    <x v="3"/>
    <x v="22"/>
    <n v="2004"/>
    <n v="11"/>
    <x v="4"/>
    <n v="25"/>
    <n v="76.651168243814681"/>
    <n v="1916.279206095367"/>
  </r>
  <r>
    <n v="1321"/>
    <x v="8"/>
    <x v="5"/>
    <n v="2005"/>
    <n v="11"/>
    <x v="1"/>
    <n v="82"/>
    <n v="248.26100726872076"/>
    <n v="20357.402596035103"/>
  </r>
  <r>
    <n v="1322"/>
    <x v="2"/>
    <x v="50"/>
    <n v="2004"/>
    <n v="12"/>
    <x v="4"/>
    <n v="4"/>
    <n v="14.48265398333678"/>
    <n v="57.93061593334712"/>
  </r>
  <r>
    <n v="1323"/>
    <x v="2"/>
    <x v="7"/>
    <n v="2006"/>
    <n v="12"/>
    <x v="2"/>
    <n v="22"/>
    <n v="68.226854446694333"/>
    <n v="1500.9907978272754"/>
  </r>
  <r>
    <n v="1324"/>
    <x v="2"/>
    <x v="58"/>
    <n v="2006"/>
    <n v="10"/>
    <x v="4"/>
    <n v="81"/>
    <n v="244.6243385117169"/>
    <n v="19814.571419449068"/>
  </r>
  <r>
    <n v="1325"/>
    <x v="3"/>
    <x v="2"/>
    <n v="2005"/>
    <n v="2"/>
    <x v="3"/>
    <n v="34"/>
    <n v="103.85172808433745"/>
    <n v="3530.9587548674735"/>
  </r>
  <r>
    <n v="1326"/>
    <x v="2"/>
    <x v="11"/>
    <n v="2004"/>
    <n v="11"/>
    <x v="4"/>
    <n v="89"/>
    <n v="269.74478909487721"/>
    <n v="24007.286229444071"/>
  </r>
  <r>
    <n v="1327"/>
    <x v="3"/>
    <x v="78"/>
    <n v="2005"/>
    <n v="2"/>
    <x v="4"/>
    <n v="6"/>
    <n v="20.30969002976488"/>
    <n v="121.85814017858928"/>
  </r>
  <r>
    <n v="1328"/>
    <x v="7"/>
    <x v="51"/>
    <n v="2005"/>
    <n v="6"/>
    <x v="3"/>
    <n v="78"/>
    <n v="235.99588000674026"/>
    <n v="18407.678640525741"/>
  </r>
  <r>
    <n v="1329"/>
    <x v="8"/>
    <x v="69"/>
    <n v="2005"/>
    <n v="5"/>
    <x v="0"/>
    <n v="9"/>
    <n v="28.852711267429889"/>
    <n v="259.67440140686898"/>
  </r>
  <r>
    <n v="1330"/>
    <x v="5"/>
    <x v="30"/>
    <n v="2006"/>
    <n v="12"/>
    <x v="4"/>
    <n v="9"/>
    <n v="29.718118103947955"/>
    <n v="267.46306293553158"/>
  </r>
  <r>
    <n v="1331"/>
    <x v="5"/>
    <x v="91"/>
    <n v="2006"/>
    <n v="4"/>
    <x v="1"/>
    <n v="73"/>
    <n v="221.1834991910803"/>
    <n v="16146.395440948862"/>
  </r>
  <r>
    <n v="1332"/>
    <x v="0"/>
    <x v="53"/>
    <n v="2004"/>
    <n v="1"/>
    <x v="0"/>
    <n v="13"/>
    <n v="41.92379193182763"/>
    <n v="545.00929511375921"/>
  </r>
  <r>
    <n v="1333"/>
    <x v="4"/>
    <x v="33"/>
    <n v="2005"/>
    <n v="3"/>
    <x v="3"/>
    <n v="14"/>
    <n v="43.998808725631548"/>
    <n v="615.9833221588417"/>
  </r>
  <r>
    <n v="1334"/>
    <x v="0"/>
    <x v="40"/>
    <n v="2005"/>
    <n v="5"/>
    <x v="2"/>
    <n v="33"/>
    <n v="100.31195245129152"/>
    <n v="3310.2944308926199"/>
  </r>
  <r>
    <n v="1335"/>
    <x v="0"/>
    <x v="0"/>
    <n v="2004"/>
    <n v="4"/>
    <x v="1"/>
    <n v="17"/>
    <n v="53.123119444085049"/>
    <n v="903.09303054944587"/>
  </r>
  <r>
    <n v="1336"/>
    <x v="1"/>
    <x v="8"/>
    <n v="2006"/>
    <n v="7"/>
    <x v="0"/>
    <n v="9"/>
    <n v="29.501152192037068"/>
    <n v="265.51036972833361"/>
  </r>
  <r>
    <n v="1337"/>
    <x v="7"/>
    <x v="34"/>
    <n v="2006"/>
    <n v="2"/>
    <x v="4"/>
    <n v="15"/>
    <n v="47.311523584864588"/>
    <n v="709.67285377296878"/>
  </r>
  <r>
    <n v="1338"/>
    <x v="2"/>
    <x v="29"/>
    <n v="2006"/>
    <n v="9"/>
    <x v="2"/>
    <n v="50"/>
    <n v="152.31019163589909"/>
    <n v="7615.5095817949541"/>
  </r>
  <r>
    <n v="1339"/>
    <x v="7"/>
    <x v="22"/>
    <n v="2004"/>
    <n v="11"/>
    <x v="2"/>
    <n v="13"/>
    <n v="40.558759872429341"/>
    <n v="527.2638783415814"/>
  </r>
  <r>
    <n v="1340"/>
    <x v="1"/>
    <x v="31"/>
    <n v="2004"/>
    <n v="9"/>
    <x v="0"/>
    <n v="24"/>
    <n v="74.731137309505712"/>
    <n v="1793.5472954281372"/>
  </r>
  <r>
    <n v="1341"/>
    <x v="0"/>
    <x v="82"/>
    <n v="2005"/>
    <n v="12"/>
    <x v="0"/>
    <n v="77"/>
    <n v="232.89275600525073"/>
    <n v="17932.742212404308"/>
  </r>
  <r>
    <n v="1342"/>
    <x v="1"/>
    <x v="46"/>
    <n v="2006"/>
    <n v="5"/>
    <x v="4"/>
    <n v="21"/>
    <n v="65.214588826582613"/>
    <n v="1369.5063653582349"/>
  </r>
  <r>
    <n v="1343"/>
    <x v="8"/>
    <x v="32"/>
    <n v="2005"/>
    <n v="7"/>
    <x v="4"/>
    <n v="80"/>
    <n v="240.76226876969253"/>
    <n v="19260.981501575403"/>
  </r>
  <r>
    <n v="1344"/>
    <x v="1"/>
    <x v="22"/>
    <n v="2004"/>
    <n v="11"/>
    <x v="4"/>
    <n v="56"/>
    <n v="170.50901918623575"/>
    <n v="9548.5050744292021"/>
  </r>
  <r>
    <n v="1345"/>
    <x v="5"/>
    <x v="37"/>
    <n v="2005"/>
    <n v="4"/>
    <x v="1"/>
    <n v="28"/>
    <n v="86.002698245868487"/>
    <n v="2408.0755508843176"/>
  </r>
  <r>
    <n v="1346"/>
    <x v="7"/>
    <x v="5"/>
    <n v="2005"/>
    <n v="11"/>
    <x v="2"/>
    <n v="50"/>
    <n v="151.56909496566121"/>
    <n v="7578.4547482830603"/>
  </r>
  <r>
    <n v="1347"/>
    <x v="5"/>
    <x v="37"/>
    <n v="2005"/>
    <n v="4"/>
    <x v="3"/>
    <n v="23"/>
    <n v="71.405303018372905"/>
    <n v="1642.3219694225768"/>
  </r>
  <r>
    <n v="1348"/>
    <x v="7"/>
    <x v="38"/>
    <n v="2004"/>
    <n v="6"/>
    <x v="0"/>
    <n v="77"/>
    <n v="232.85049996581651"/>
    <n v="17929.488497367871"/>
  </r>
  <r>
    <n v="1349"/>
    <x v="0"/>
    <x v="59"/>
    <n v="2004"/>
    <n v="2"/>
    <x v="4"/>
    <n v="56"/>
    <n v="170.26270071526079"/>
    <n v="9534.7112400546048"/>
  </r>
  <r>
    <n v="1350"/>
    <x v="8"/>
    <x v="91"/>
    <n v="2006"/>
    <n v="4"/>
    <x v="0"/>
    <n v="26"/>
    <n v="79.7600955182413"/>
    <n v="2073.7624834742737"/>
  </r>
  <r>
    <n v="1351"/>
    <x v="2"/>
    <x v="59"/>
    <n v="2004"/>
    <n v="2"/>
    <x v="1"/>
    <n v="18"/>
    <n v="55.931706737093798"/>
    <n v="1006.7707212676884"/>
  </r>
  <r>
    <n v="1352"/>
    <x v="5"/>
    <x v="59"/>
    <n v="2004"/>
    <n v="2"/>
    <x v="0"/>
    <n v="40"/>
    <n v="121.10292526674064"/>
    <n v="4844.1170106696254"/>
  </r>
  <r>
    <n v="1353"/>
    <x v="1"/>
    <x v="59"/>
    <n v="2004"/>
    <n v="2"/>
    <x v="4"/>
    <n v="75"/>
    <n v="227.06641475515934"/>
    <n v="17029.981106636951"/>
  </r>
  <r>
    <n v="1354"/>
    <x v="4"/>
    <x v="2"/>
    <n v="2005"/>
    <n v="2"/>
    <x v="2"/>
    <n v="61"/>
    <n v="184.75393471553485"/>
    <n v="11269.990017647626"/>
  </r>
  <r>
    <n v="1355"/>
    <x v="2"/>
    <x v="50"/>
    <n v="2004"/>
    <n v="12"/>
    <x v="2"/>
    <n v="35"/>
    <n v="106.73579162164692"/>
    <n v="3735.7527067576425"/>
  </r>
  <r>
    <n v="1356"/>
    <x v="8"/>
    <x v="57"/>
    <n v="2005"/>
    <n v="7"/>
    <x v="1"/>
    <n v="42"/>
    <n v="127.74297314827389"/>
    <n v="5365.2048722275031"/>
  </r>
  <r>
    <n v="1357"/>
    <x v="1"/>
    <x v="11"/>
    <n v="2004"/>
    <n v="11"/>
    <x v="3"/>
    <n v="47"/>
    <n v="142.58640939942609"/>
    <n v="6701.5612417730263"/>
  </r>
  <r>
    <n v="1358"/>
    <x v="2"/>
    <x v="81"/>
    <n v="2004"/>
    <n v="10"/>
    <x v="4"/>
    <n v="74"/>
    <n v="225.01925553650543"/>
    <n v="16651.4249097014"/>
  </r>
  <r>
    <n v="1359"/>
    <x v="2"/>
    <x v="40"/>
    <n v="2005"/>
    <n v="5"/>
    <x v="4"/>
    <n v="55"/>
    <n v="166.25169597348713"/>
    <n v="9143.8432785417917"/>
  </r>
  <r>
    <n v="1360"/>
    <x v="3"/>
    <x v="24"/>
    <n v="2005"/>
    <n v="9"/>
    <x v="0"/>
    <n v="87"/>
    <n v="263.11074857106775"/>
    <n v="22890.635125682893"/>
  </r>
  <r>
    <n v="1361"/>
    <x v="2"/>
    <x v="43"/>
    <n v="2004"/>
    <n v="6"/>
    <x v="1"/>
    <n v="75"/>
    <n v="227.32916430473495"/>
    <n v="17049.687322855119"/>
  </r>
  <r>
    <n v="1362"/>
    <x v="6"/>
    <x v="62"/>
    <n v="2006"/>
    <n v="6"/>
    <x v="1"/>
    <n v="91"/>
    <n v="274.60744776638205"/>
    <n v="24989.277746740765"/>
  </r>
  <r>
    <n v="1363"/>
    <x v="2"/>
    <x v="60"/>
    <n v="2005"/>
    <n v="12"/>
    <x v="0"/>
    <n v="79"/>
    <n v="238.20578213903983"/>
    <n v="18818.256788984145"/>
  </r>
  <r>
    <n v="1364"/>
    <x v="8"/>
    <x v="4"/>
    <n v="2004"/>
    <n v="6"/>
    <x v="4"/>
    <n v="31"/>
    <n v="94.915314626942674"/>
    <n v="2942.3747534352228"/>
  </r>
  <r>
    <n v="1365"/>
    <x v="1"/>
    <x v="71"/>
    <n v="2004"/>
    <n v="10"/>
    <x v="3"/>
    <n v="36"/>
    <n v="109.8683994875889"/>
    <n v="3955.2623815532006"/>
  </r>
  <r>
    <n v="1366"/>
    <x v="7"/>
    <x v="43"/>
    <n v="2004"/>
    <n v="6"/>
    <x v="4"/>
    <n v="80"/>
    <n v="242.06313932235889"/>
    <n v="19365.051145788711"/>
  </r>
  <r>
    <n v="1367"/>
    <x v="0"/>
    <x v="70"/>
    <n v="2006"/>
    <n v="3"/>
    <x v="0"/>
    <n v="32"/>
    <n v="98.105863423861408"/>
    <n v="3139.387629563565"/>
  </r>
  <r>
    <n v="1368"/>
    <x v="3"/>
    <x v="43"/>
    <n v="2004"/>
    <n v="6"/>
    <x v="2"/>
    <n v="29"/>
    <n v="89.172802878693929"/>
    <n v="2586.0112834821239"/>
  </r>
  <r>
    <n v="1369"/>
    <x v="1"/>
    <x v="69"/>
    <n v="2005"/>
    <n v="5"/>
    <x v="1"/>
    <n v="64"/>
    <n v="193.51676296767636"/>
    <n v="12385.072829931287"/>
  </r>
  <r>
    <n v="1370"/>
    <x v="5"/>
    <x v="1"/>
    <n v="2004"/>
    <n v="3"/>
    <x v="0"/>
    <n v="27"/>
    <n v="83.668497347720773"/>
    <n v="2259.0494283884609"/>
  </r>
  <r>
    <n v="1371"/>
    <x v="8"/>
    <x v="19"/>
    <n v="2004"/>
    <n v="9"/>
    <x v="0"/>
    <n v="36"/>
    <n v="109.80928591136637"/>
    <n v="3953.1342928091894"/>
  </r>
  <r>
    <n v="1372"/>
    <x v="0"/>
    <x v="23"/>
    <n v="2006"/>
    <n v="12"/>
    <x v="4"/>
    <n v="36"/>
    <n v="109.45657773500436"/>
    <n v="3940.4367984601568"/>
  </r>
  <r>
    <n v="1373"/>
    <x v="7"/>
    <x v="25"/>
    <n v="2006"/>
    <n v="10"/>
    <x v="4"/>
    <n v="32"/>
    <n v="97.343399963409695"/>
    <n v="3114.9887988291102"/>
  </r>
  <r>
    <n v="1374"/>
    <x v="5"/>
    <x v="93"/>
    <n v="2006"/>
    <n v="8"/>
    <x v="4"/>
    <n v="9"/>
    <n v="29.173034652532433"/>
    <n v="262.5573118727919"/>
  </r>
  <r>
    <n v="1375"/>
    <x v="3"/>
    <x v="3"/>
    <n v="2006"/>
    <n v="5"/>
    <x v="1"/>
    <n v="78"/>
    <n v="235.63570757894917"/>
    <n v="18379.585191158036"/>
  </r>
  <r>
    <n v="1376"/>
    <x v="3"/>
    <x v="49"/>
    <n v="2005"/>
    <n v="1"/>
    <x v="2"/>
    <n v="55"/>
    <n v="167.69300314757166"/>
    <n v="9223.1151731164409"/>
  </r>
  <r>
    <n v="1377"/>
    <x v="1"/>
    <x v="89"/>
    <n v="2004"/>
    <n v="8"/>
    <x v="4"/>
    <n v="79"/>
    <n v="239.25822655633112"/>
    <n v="18901.399897950159"/>
  </r>
  <r>
    <n v="1378"/>
    <x v="1"/>
    <x v="42"/>
    <n v="2004"/>
    <n v="1"/>
    <x v="3"/>
    <n v="9"/>
    <n v="29.36931208514244"/>
    <n v="264.32380876628196"/>
  </r>
  <r>
    <n v="1379"/>
    <x v="0"/>
    <x v="7"/>
    <n v="2006"/>
    <n v="12"/>
    <x v="1"/>
    <n v="4"/>
    <n v="14.276329980408619"/>
    <n v="57.105319921634475"/>
  </r>
  <r>
    <n v="1380"/>
    <x v="1"/>
    <x v="91"/>
    <n v="2006"/>
    <n v="4"/>
    <x v="4"/>
    <n v="6"/>
    <n v="20.165246376870389"/>
    <n v="120.99147826122234"/>
  </r>
  <r>
    <n v="1381"/>
    <x v="8"/>
    <x v="40"/>
    <n v="2005"/>
    <n v="5"/>
    <x v="3"/>
    <n v="18"/>
    <n v="55.91901948813328"/>
    <n v="1006.5423507863991"/>
  </r>
  <r>
    <n v="1382"/>
    <x v="3"/>
    <x v="72"/>
    <n v="2005"/>
    <n v="10"/>
    <x v="3"/>
    <n v="14"/>
    <n v="44.491260768813873"/>
    <n v="622.87765076339429"/>
  </r>
  <r>
    <n v="1383"/>
    <x v="5"/>
    <x v="63"/>
    <n v="2006"/>
    <n v="8"/>
    <x v="0"/>
    <n v="91"/>
    <n v="275.50447930379551"/>
    <n v="25070.907616645392"/>
  </r>
  <r>
    <n v="1384"/>
    <x v="3"/>
    <x v="44"/>
    <n v="2005"/>
    <n v="12"/>
    <x v="3"/>
    <n v="74"/>
    <n v="224.07187760825997"/>
    <n v="16581.318943011236"/>
  </r>
  <r>
    <n v="1385"/>
    <x v="0"/>
    <x v="96"/>
    <n v="2004"/>
    <n v="7"/>
    <x v="0"/>
    <n v="47"/>
    <n v="143.8575641603407"/>
    <n v="6761.3055155360125"/>
  </r>
  <r>
    <n v="1386"/>
    <x v="4"/>
    <x v="79"/>
    <n v="2006"/>
    <n v="11"/>
    <x v="1"/>
    <n v="28"/>
    <n v="86.468289532216389"/>
    <n v="2421.1121069020587"/>
  </r>
  <r>
    <n v="1387"/>
    <x v="4"/>
    <x v="14"/>
    <n v="2006"/>
    <n v="9"/>
    <x v="3"/>
    <n v="21"/>
    <n v="64.784207766072953"/>
    <n v="1360.468363087532"/>
  </r>
  <r>
    <n v="1388"/>
    <x v="5"/>
    <x v="55"/>
    <n v="2005"/>
    <n v="3"/>
    <x v="1"/>
    <n v="52"/>
    <n v="157.69424365413772"/>
    <n v="8200.1006700151611"/>
  </r>
  <r>
    <n v="1389"/>
    <x v="3"/>
    <x v="43"/>
    <n v="2004"/>
    <n v="6"/>
    <x v="2"/>
    <n v="33"/>
    <n v="101.08856134949143"/>
    <n v="3335.9225245332173"/>
  </r>
  <r>
    <n v="1390"/>
    <x v="4"/>
    <x v="36"/>
    <n v="2004"/>
    <n v="2"/>
    <x v="4"/>
    <n v="-7"/>
    <n v="-19.437923961194201"/>
    <n v="136.06546772835941"/>
  </r>
  <r>
    <n v="1391"/>
    <x v="5"/>
    <x v="0"/>
    <n v="2004"/>
    <n v="4"/>
    <x v="0"/>
    <n v="12"/>
    <n v="38.2380881700618"/>
    <n v="458.85705804074161"/>
  </r>
  <r>
    <n v="1392"/>
    <x v="3"/>
    <x v="86"/>
    <n v="2004"/>
    <n v="2"/>
    <x v="3"/>
    <n v="1"/>
    <n v="4.5049727728030682"/>
    <n v="4.5049727728030682"/>
  </r>
  <r>
    <n v="1393"/>
    <x v="0"/>
    <x v="97"/>
    <n v="2004"/>
    <n v="1"/>
    <x v="4"/>
    <n v="56"/>
    <n v="169.75770217815491"/>
    <n v="9506.4313219766755"/>
  </r>
  <r>
    <n v="1394"/>
    <x v="5"/>
    <x v="51"/>
    <n v="2005"/>
    <n v="6"/>
    <x v="1"/>
    <n v="34"/>
    <n v="104.47706646910852"/>
    <n v="3552.2202599496895"/>
  </r>
  <r>
    <n v="1395"/>
    <x v="8"/>
    <x v="2"/>
    <n v="2005"/>
    <n v="2"/>
    <x v="1"/>
    <n v="83"/>
    <n v="250.38974883045833"/>
    <n v="20782.34915292804"/>
  </r>
  <r>
    <n v="1396"/>
    <x v="4"/>
    <x v="61"/>
    <n v="2005"/>
    <n v="3"/>
    <x v="3"/>
    <n v="-4"/>
    <n v="-10.155624843092607"/>
    <n v="40.622499372370427"/>
  </r>
  <r>
    <n v="1397"/>
    <x v="5"/>
    <x v="78"/>
    <n v="2005"/>
    <n v="2"/>
    <x v="1"/>
    <n v="9"/>
    <n v="29.703664221901175"/>
    <n v="267.33297799711056"/>
  </r>
  <r>
    <n v="1398"/>
    <x v="1"/>
    <x v="83"/>
    <n v="2004"/>
    <n v="5"/>
    <x v="3"/>
    <n v="64"/>
    <n v="193.99078398349641"/>
    <n v="12415.41017494377"/>
  </r>
  <r>
    <n v="1399"/>
    <x v="8"/>
    <x v="83"/>
    <n v="2004"/>
    <n v="5"/>
    <x v="0"/>
    <n v="13"/>
    <n v="40.947424828889474"/>
    <n v="532.31652277556316"/>
  </r>
  <r>
    <n v="1400"/>
    <x v="3"/>
    <x v="74"/>
    <n v="2004"/>
    <n v="4"/>
    <x v="0"/>
    <n v="9"/>
    <n v="28.683682099948655"/>
    <n v="258.15313889953791"/>
  </r>
  <r>
    <n v="1401"/>
    <x v="6"/>
    <x v="14"/>
    <n v="2006"/>
    <n v="9"/>
    <x v="0"/>
    <n v="6"/>
    <n v="19.546281446888681"/>
    <n v="117.27768868133208"/>
  </r>
  <r>
    <n v="1402"/>
    <x v="2"/>
    <x v="3"/>
    <n v="2006"/>
    <n v="5"/>
    <x v="1"/>
    <n v="55"/>
    <n v="167.0921059108752"/>
    <n v="9190.065825098136"/>
  </r>
  <r>
    <n v="1403"/>
    <x v="7"/>
    <x v="18"/>
    <n v="2006"/>
    <n v="6"/>
    <x v="2"/>
    <n v="64"/>
    <n v="194.83490930195086"/>
    <n v="12469.434195324855"/>
  </r>
  <r>
    <n v="1404"/>
    <x v="0"/>
    <x v="41"/>
    <n v="2005"/>
    <n v="6"/>
    <x v="0"/>
    <n v="27"/>
    <n v="82.654748876430304"/>
    <n v="2231.6782196636182"/>
  </r>
  <r>
    <n v="1405"/>
    <x v="7"/>
    <x v="81"/>
    <n v="2004"/>
    <n v="10"/>
    <x v="0"/>
    <n v="4"/>
    <n v="14.358367110038117"/>
    <n v="57.433468440152467"/>
  </r>
  <r>
    <n v="1406"/>
    <x v="8"/>
    <x v="47"/>
    <n v="2005"/>
    <n v="11"/>
    <x v="0"/>
    <n v="17"/>
    <n v="53.450226015325889"/>
    <n v="908.65384226054016"/>
  </r>
  <r>
    <n v="1407"/>
    <x v="2"/>
    <x v="63"/>
    <n v="2006"/>
    <n v="8"/>
    <x v="0"/>
    <n v="24"/>
    <n v="74.287417398883491"/>
    <n v="1782.8980175732038"/>
  </r>
  <r>
    <n v="1408"/>
    <x v="6"/>
    <x v="44"/>
    <n v="2005"/>
    <n v="12"/>
    <x v="0"/>
    <n v="87"/>
    <n v="262.8805946680697"/>
    <n v="22870.611736122064"/>
  </r>
  <r>
    <n v="1409"/>
    <x v="3"/>
    <x v="11"/>
    <n v="2004"/>
    <n v="11"/>
    <x v="4"/>
    <n v="10"/>
    <n v="31.759227784320323"/>
    <n v="317.59227784320325"/>
  </r>
  <r>
    <n v="1410"/>
    <x v="5"/>
    <x v="81"/>
    <n v="2004"/>
    <n v="10"/>
    <x v="4"/>
    <n v="0"/>
    <n v="1.8311339455634805"/>
    <n v="0"/>
  </r>
  <r>
    <n v="1411"/>
    <x v="5"/>
    <x v="49"/>
    <n v="2005"/>
    <n v="1"/>
    <x v="0"/>
    <n v="73"/>
    <n v="221.0091797499388"/>
    <n v="16133.670121745532"/>
  </r>
  <r>
    <n v="1412"/>
    <x v="1"/>
    <x v="6"/>
    <n v="2004"/>
    <n v="3"/>
    <x v="0"/>
    <n v="66"/>
    <n v="200.12198246327054"/>
    <n v="13208.050842575856"/>
  </r>
  <r>
    <n v="1413"/>
    <x v="0"/>
    <x v="63"/>
    <n v="2006"/>
    <n v="8"/>
    <x v="0"/>
    <n v="70"/>
    <n v="211.75333647455852"/>
    <n v="14822.733553219097"/>
  </r>
  <r>
    <n v="1414"/>
    <x v="3"/>
    <x v="90"/>
    <n v="2004"/>
    <n v="12"/>
    <x v="1"/>
    <n v="78"/>
    <n v="235.90596023209099"/>
    <n v="18400.664898103096"/>
  </r>
  <r>
    <n v="1415"/>
    <x v="7"/>
    <x v="47"/>
    <n v="2005"/>
    <n v="11"/>
    <x v="4"/>
    <n v="22"/>
    <n v="66.965065793990505"/>
    <n v="1473.231447467791"/>
  </r>
  <r>
    <n v="1416"/>
    <x v="6"/>
    <x v="71"/>
    <n v="2004"/>
    <n v="10"/>
    <x v="4"/>
    <n v="21"/>
    <n v="65.217462708012192"/>
    <n v="1369.566716868256"/>
  </r>
  <r>
    <n v="1417"/>
    <x v="0"/>
    <x v="81"/>
    <n v="2004"/>
    <n v="10"/>
    <x v="0"/>
    <n v="8"/>
    <n v="25.824952877477109"/>
    <n v="206.59962301981687"/>
  </r>
  <r>
    <n v="1418"/>
    <x v="2"/>
    <x v="59"/>
    <n v="2004"/>
    <n v="2"/>
    <x v="4"/>
    <n v="62"/>
    <n v="187.80112722106594"/>
    <n v="11643.669887706088"/>
  </r>
  <r>
    <n v="1419"/>
    <x v="4"/>
    <x v="46"/>
    <n v="2006"/>
    <n v="5"/>
    <x v="4"/>
    <n v="81"/>
    <n v="244.50746507200088"/>
    <n v="19805.104670832072"/>
  </r>
  <r>
    <n v="1420"/>
    <x v="3"/>
    <x v="50"/>
    <n v="2004"/>
    <n v="12"/>
    <x v="0"/>
    <n v="72"/>
    <n v="218.17265722795503"/>
    <n v="15708.431320412761"/>
  </r>
  <r>
    <n v="1421"/>
    <x v="1"/>
    <x v="84"/>
    <n v="2006"/>
    <n v="10"/>
    <x v="3"/>
    <n v="13"/>
    <n v="41.356875522020459"/>
    <n v="537.63938178626597"/>
  </r>
  <r>
    <n v="1422"/>
    <x v="0"/>
    <x v="12"/>
    <n v="2005"/>
    <n v="8"/>
    <x v="2"/>
    <n v="52"/>
    <n v="157.41873231061072"/>
    <n v="8185.7740801517575"/>
  </r>
  <r>
    <n v="1423"/>
    <x v="5"/>
    <x v="67"/>
    <n v="2006"/>
    <n v="1"/>
    <x v="3"/>
    <n v="49"/>
    <n v="148.10679359164916"/>
    <n v="7257.2328859908093"/>
  </r>
  <r>
    <n v="1424"/>
    <x v="5"/>
    <x v="6"/>
    <n v="2004"/>
    <n v="3"/>
    <x v="3"/>
    <n v="82"/>
    <n v="248.16915651860171"/>
    <n v="20349.87083452534"/>
  </r>
  <r>
    <n v="1425"/>
    <x v="3"/>
    <x v="99"/>
    <n v="2006"/>
    <n v="4"/>
    <x v="3"/>
    <n v="5"/>
    <n v="17.015690322490627"/>
    <n v="85.078451612453136"/>
  </r>
  <r>
    <n v="1426"/>
    <x v="7"/>
    <x v="24"/>
    <n v="2005"/>
    <n v="9"/>
    <x v="4"/>
    <n v="45"/>
    <n v="136.85630897508477"/>
    <n v="6158.5339038788152"/>
  </r>
  <r>
    <n v="1427"/>
    <x v="6"/>
    <x v="44"/>
    <n v="2005"/>
    <n v="12"/>
    <x v="4"/>
    <n v="-10"/>
    <n v="-27.350902782330042"/>
    <n v="273.50902782330041"/>
  </r>
  <r>
    <n v="1428"/>
    <x v="2"/>
    <x v="23"/>
    <n v="2006"/>
    <n v="12"/>
    <x v="3"/>
    <n v="53"/>
    <n v="160.85164058435507"/>
    <n v="8525.1369509708184"/>
  </r>
  <r>
    <n v="1429"/>
    <x v="1"/>
    <x v="55"/>
    <n v="2005"/>
    <n v="3"/>
    <x v="2"/>
    <n v="24"/>
    <n v="73.616064458141409"/>
    <n v="1766.7855469953938"/>
  </r>
  <r>
    <n v="1430"/>
    <x v="5"/>
    <x v="48"/>
    <n v="2006"/>
    <n v="7"/>
    <x v="0"/>
    <n v="27"/>
    <n v="83.23212229417976"/>
    <n v="2247.2673019428535"/>
  </r>
  <r>
    <n v="1431"/>
    <x v="7"/>
    <x v="16"/>
    <n v="2006"/>
    <n v="4"/>
    <x v="1"/>
    <n v="52"/>
    <n v="158.63001694196066"/>
    <n v="8248.760880981954"/>
  </r>
  <r>
    <n v="1432"/>
    <x v="3"/>
    <x v="25"/>
    <n v="2006"/>
    <n v="10"/>
    <x v="1"/>
    <n v="0"/>
    <n v="1.7815728693963861"/>
    <n v="0"/>
  </r>
  <r>
    <n v="1433"/>
    <x v="5"/>
    <x v="4"/>
    <n v="2004"/>
    <n v="6"/>
    <x v="4"/>
    <n v="92"/>
    <n v="278.65173044503393"/>
    <n v="25635.959200943122"/>
  </r>
  <r>
    <n v="1434"/>
    <x v="6"/>
    <x v="25"/>
    <n v="2006"/>
    <n v="10"/>
    <x v="4"/>
    <n v="22"/>
    <n v="67.706785390101601"/>
    <n v="1489.5492785822353"/>
  </r>
  <r>
    <n v="1435"/>
    <x v="8"/>
    <x v="16"/>
    <n v="2006"/>
    <n v="4"/>
    <x v="3"/>
    <n v="67"/>
    <n v="202.90370530776514"/>
    <n v="13594.548255620264"/>
  </r>
  <r>
    <n v="1436"/>
    <x v="3"/>
    <x v="85"/>
    <n v="2005"/>
    <n v="10"/>
    <x v="4"/>
    <n v="7"/>
    <n v="23.034327347174614"/>
    <n v="161.2402914302223"/>
  </r>
  <r>
    <n v="1437"/>
    <x v="8"/>
    <x v="83"/>
    <n v="2004"/>
    <n v="5"/>
    <x v="3"/>
    <n v="-10"/>
    <n v="-27.962734354764166"/>
    <n v="279.62734354764166"/>
  </r>
  <r>
    <n v="1438"/>
    <x v="4"/>
    <x v="63"/>
    <n v="2006"/>
    <n v="8"/>
    <x v="4"/>
    <n v="10"/>
    <n v="31.667217946817743"/>
    <n v="316.67217946817743"/>
  </r>
  <r>
    <n v="1439"/>
    <x v="5"/>
    <x v="51"/>
    <n v="2005"/>
    <n v="6"/>
    <x v="1"/>
    <n v="15"/>
    <n v="46.477551483409364"/>
    <n v="697.16327225114048"/>
  </r>
  <r>
    <n v="1440"/>
    <x v="2"/>
    <x v="51"/>
    <n v="2005"/>
    <n v="6"/>
    <x v="2"/>
    <n v="0"/>
    <n v="2.1309055922780948"/>
    <n v="0"/>
  </r>
  <r>
    <n v="1441"/>
    <x v="3"/>
    <x v="70"/>
    <n v="2006"/>
    <n v="3"/>
    <x v="1"/>
    <n v="93"/>
    <n v="280.90891395594838"/>
    <n v="26124.528997903199"/>
  </r>
  <r>
    <n v="1442"/>
    <x v="1"/>
    <x v="67"/>
    <n v="2006"/>
    <n v="1"/>
    <x v="1"/>
    <n v="57"/>
    <n v="172.62177980113168"/>
    <n v="9839.4414486645055"/>
  </r>
  <r>
    <n v="1443"/>
    <x v="5"/>
    <x v="19"/>
    <n v="2004"/>
    <n v="9"/>
    <x v="0"/>
    <n v="69"/>
    <n v="208.76551379204989"/>
    <n v="14404.820451651442"/>
  </r>
  <r>
    <n v="1444"/>
    <x v="8"/>
    <x v="82"/>
    <n v="2005"/>
    <n v="12"/>
    <x v="1"/>
    <n v="53"/>
    <n v="161.64817183248223"/>
    <n v="8567.3531071215584"/>
  </r>
  <r>
    <n v="1445"/>
    <x v="2"/>
    <x v="25"/>
    <n v="2006"/>
    <n v="10"/>
    <x v="2"/>
    <n v="67"/>
    <n v="203.5655299819017"/>
    <n v="13638.890508787414"/>
  </r>
  <r>
    <n v="1446"/>
    <x v="8"/>
    <x v="0"/>
    <n v="2004"/>
    <n v="4"/>
    <x v="3"/>
    <n v="23"/>
    <n v="70.708152765050201"/>
    <n v="1626.2875135961547"/>
  </r>
  <r>
    <n v="1447"/>
    <x v="4"/>
    <x v="4"/>
    <n v="2004"/>
    <n v="6"/>
    <x v="4"/>
    <n v="43"/>
    <n v="131.16019141346013"/>
    <n v="5639.8882307787853"/>
  </r>
  <r>
    <n v="1448"/>
    <x v="7"/>
    <x v="25"/>
    <n v="2006"/>
    <n v="10"/>
    <x v="0"/>
    <n v="69"/>
    <n v="209.39515625574666"/>
    <n v="14448.26578164652"/>
  </r>
  <r>
    <n v="1449"/>
    <x v="1"/>
    <x v="58"/>
    <n v="2006"/>
    <n v="10"/>
    <x v="2"/>
    <n v="45"/>
    <n v="136.50342219375273"/>
    <n v="6142.6539987188726"/>
  </r>
  <r>
    <n v="1450"/>
    <x v="3"/>
    <x v="47"/>
    <n v="2005"/>
    <n v="11"/>
    <x v="3"/>
    <n v="70"/>
    <n v="211.70097135907523"/>
    <n v="14819.067995135265"/>
  </r>
  <r>
    <n v="1451"/>
    <x v="4"/>
    <x v="25"/>
    <n v="2006"/>
    <n v="10"/>
    <x v="4"/>
    <n v="91"/>
    <n v="274.50140154950032"/>
    <n v="24979.627541004527"/>
  </r>
  <r>
    <n v="1452"/>
    <x v="6"/>
    <x v="7"/>
    <n v="2006"/>
    <n v="12"/>
    <x v="4"/>
    <n v="33"/>
    <n v="100.48140496751634"/>
    <n v="3315.8863639280394"/>
  </r>
  <r>
    <n v="1453"/>
    <x v="4"/>
    <x v="9"/>
    <n v="2006"/>
    <n v="8"/>
    <x v="1"/>
    <n v="90"/>
    <n v="272.35779457225038"/>
    <n v="24512.201511502535"/>
  </r>
  <r>
    <n v="1454"/>
    <x v="4"/>
    <x v="50"/>
    <n v="2004"/>
    <n v="12"/>
    <x v="4"/>
    <n v="17"/>
    <n v="52.516260583580817"/>
    <n v="892.77642992087385"/>
  </r>
  <r>
    <n v="1455"/>
    <x v="3"/>
    <x v="96"/>
    <n v="2004"/>
    <n v="7"/>
    <x v="3"/>
    <n v="-7"/>
    <n v="-18.916737992903691"/>
    <n v="132.41716595032585"/>
  </r>
  <r>
    <n v="1456"/>
    <x v="2"/>
    <x v="80"/>
    <n v="2004"/>
    <n v="9"/>
    <x v="4"/>
    <n v="21"/>
    <n v="64.912642276982112"/>
    <n v="1363.1654878166244"/>
  </r>
  <r>
    <n v="1457"/>
    <x v="7"/>
    <x v="39"/>
    <n v="2005"/>
    <n v="8"/>
    <x v="1"/>
    <n v="14"/>
    <n v="44.327818174178198"/>
    <n v="620.58945443849473"/>
  </r>
  <r>
    <n v="1458"/>
    <x v="3"/>
    <x v="91"/>
    <n v="2006"/>
    <n v="4"/>
    <x v="2"/>
    <n v="84"/>
    <n v="254.27232164491826"/>
    <n v="21358.875018173134"/>
  </r>
  <r>
    <n v="1459"/>
    <x v="5"/>
    <x v="67"/>
    <n v="2006"/>
    <n v="1"/>
    <x v="2"/>
    <n v="92"/>
    <n v="278.12892270091868"/>
    <n v="25587.86088848452"/>
  </r>
  <r>
    <n v="1460"/>
    <x v="3"/>
    <x v="25"/>
    <n v="2006"/>
    <n v="10"/>
    <x v="0"/>
    <n v="-1"/>
    <n v="-0.12859943512322669"/>
    <n v="0.12859943512322669"/>
  </r>
  <r>
    <n v="1461"/>
    <x v="3"/>
    <x v="69"/>
    <n v="2005"/>
    <n v="5"/>
    <x v="0"/>
    <n v="73"/>
    <n v="222.08676582590357"/>
    <n v="16212.333905290961"/>
  </r>
  <r>
    <n v="1462"/>
    <x v="8"/>
    <x v="56"/>
    <n v="2006"/>
    <n v="1"/>
    <x v="1"/>
    <n v="48"/>
    <n v="146.42108275927566"/>
    <n v="7028.2119724452314"/>
  </r>
  <r>
    <n v="1463"/>
    <x v="8"/>
    <x v="90"/>
    <n v="2004"/>
    <n v="12"/>
    <x v="3"/>
    <n v="72"/>
    <n v="217.08233008534265"/>
    <n v="15629.92776614467"/>
  </r>
  <r>
    <n v="1464"/>
    <x v="0"/>
    <x v="8"/>
    <n v="2006"/>
    <n v="7"/>
    <x v="1"/>
    <n v="42"/>
    <n v="127.6087139856683"/>
    <n v="5359.5659873980685"/>
  </r>
  <r>
    <n v="1465"/>
    <x v="3"/>
    <x v="50"/>
    <n v="2004"/>
    <n v="12"/>
    <x v="1"/>
    <n v="80"/>
    <n v="242.20754620036109"/>
    <n v="19376.603696028887"/>
  </r>
  <r>
    <n v="1466"/>
    <x v="3"/>
    <x v="12"/>
    <n v="2005"/>
    <n v="8"/>
    <x v="1"/>
    <n v="56"/>
    <n v="170.85558875726406"/>
    <n v="9567.9129704067873"/>
  </r>
  <r>
    <n v="1467"/>
    <x v="7"/>
    <x v="97"/>
    <n v="2004"/>
    <n v="1"/>
    <x v="4"/>
    <n v="46"/>
    <n v="140.57686436306247"/>
    <n v="6466.5357607008737"/>
  </r>
  <r>
    <n v="1468"/>
    <x v="0"/>
    <x v="18"/>
    <n v="2006"/>
    <n v="6"/>
    <x v="3"/>
    <n v="45"/>
    <n v="136.77216386728932"/>
    <n v="6154.7473740280193"/>
  </r>
  <r>
    <n v="1469"/>
    <x v="2"/>
    <x v="98"/>
    <n v="2005"/>
    <n v="6"/>
    <x v="1"/>
    <n v="53"/>
    <n v="160.40163840433979"/>
    <n v="8501.2868354300081"/>
  </r>
  <r>
    <n v="1470"/>
    <x v="2"/>
    <x v="68"/>
    <n v="2005"/>
    <n v="10"/>
    <x v="3"/>
    <n v="51"/>
    <n v="155.05152823672236"/>
    <n v="7907.6279400728408"/>
  </r>
  <r>
    <n v="1471"/>
    <x v="5"/>
    <x v="60"/>
    <n v="2005"/>
    <n v="12"/>
    <x v="4"/>
    <n v="64"/>
    <n v="193.29903203964747"/>
    <n v="12371.138050537438"/>
  </r>
  <r>
    <n v="1472"/>
    <x v="0"/>
    <x v="22"/>
    <n v="2004"/>
    <n v="11"/>
    <x v="3"/>
    <n v="15"/>
    <n v="47.086660569111189"/>
    <n v="706.29990853666777"/>
  </r>
  <r>
    <n v="1473"/>
    <x v="3"/>
    <x v="0"/>
    <n v="2004"/>
    <n v="4"/>
    <x v="2"/>
    <n v="33"/>
    <n v="101.69988655484008"/>
    <n v="3356.0962563097228"/>
  </r>
  <r>
    <n v="1474"/>
    <x v="6"/>
    <x v="46"/>
    <n v="2006"/>
    <n v="5"/>
    <x v="3"/>
    <n v="31"/>
    <n v="95.050667546988379"/>
    <n v="2946.5706939566398"/>
  </r>
  <r>
    <n v="1475"/>
    <x v="2"/>
    <x v="60"/>
    <n v="2005"/>
    <n v="12"/>
    <x v="2"/>
    <n v="51"/>
    <n v="155.18472828999515"/>
    <n v="7914.4211427897526"/>
  </r>
  <r>
    <n v="1476"/>
    <x v="5"/>
    <x v="63"/>
    <n v="2006"/>
    <n v="8"/>
    <x v="1"/>
    <n v="-7"/>
    <n v="-18.636086701073594"/>
    <n v="130.45260690751516"/>
  </r>
  <r>
    <n v="1477"/>
    <x v="2"/>
    <x v="69"/>
    <n v="2005"/>
    <n v="5"/>
    <x v="3"/>
    <n v="37"/>
    <n v="112.07406400171799"/>
    <n v="4146.7403680635653"/>
  </r>
  <r>
    <n v="1478"/>
    <x v="0"/>
    <x v="41"/>
    <n v="2005"/>
    <n v="6"/>
    <x v="1"/>
    <n v="43"/>
    <n v="130.97379554914517"/>
    <n v="5631.8732086132422"/>
  </r>
  <r>
    <n v="1479"/>
    <x v="8"/>
    <x v="3"/>
    <n v="2006"/>
    <n v="5"/>
    <x v="4"/>
    <n v="63"/>
    <n v="190.69209828626822"/>
    <n v="12013.602192034898"/>
  </r>
  <r>
    <n v="1480"/>
    <x v="4"/>
    <x v="77"/>
    <n v="2004"/>
    <n v="7"/>
    <x v="3"/>
    <n v="29"/>
    <n v="89.589016206328608"/>
    <n v="2598.0814699835296"/>
  </r>
  <r>
    <n v="1481"/>
    <x v="8"/>
    <x v="44"/>
    <n v="2005"/>
    <n v="12"/>
    <x v="4"/>
    <n v="20"/>
    <n v="61.944091716082518"/>
    <n v="1238.8818343216503"/>
  </r>
  <r>
    <n v="1482"/>
    <x v="6"/>
    <x v="28"/>
    <n v="2006"/>
    <n v="3"/>
    <x v="3"/>
    <n v="48"/>
    <n v="146.44223986116381"/>
    <n v="7029.2275133358635"/>
  </r>
  <r>
    <n v="1483"/>
    <x v="0"/>
    <x v="57"/>
    <n v="2005"/>
    <n v="7"/>
    <x v="3"/>
    <n v="94"/>
    <n v="284.30651580761617"/>
    <n v="26724.812485915918"/>
  </r>
  <r>
    <n v="1484"/>
    <x v="0"/>
    <x v="29"/>
    <n v="2006"/>
    <n v="9"/>
    <x v="1"/>
    <n v="41"/>
    <n v="124.88343538167078"/>
    <n v="5120.2208506485022"/>
  </r>
  <r>
    <n v="1485"/>
    <x v="0"/>
    <x v="49"/>
    <n v="2005"/>
    <n v="1"/>
    <x v="3"/>
    <n v="45"/>
    <n v="137.54620754134569"/>
    <n v="6189.5793393605563"/>
  </r>
  <r>
    <n v="1486"/>
    <x v="7"/>
    <x v="69"/>
    <n v="2005"/>
    <n v="5"/>
    <x v="0"/>
    <n v="69"/>
    <n v="208.60656085319707"/>
    <n v="14393.852698870598"/>
  </r>
  <r>
    <n v="1487"/>
    <x v="2"/>
    <x v="0"/>
    <n v="2004"/>
    <n v="4"/>
    <x v="4"/>
    <n v="48"/>
    <n v="146.16733998853596"/>
    <n v="7016.0323194497259"/>
  </r>
  <r>
    <n v="1488"/>
    <x v="5"/>
    <x v="49"/>
    <n v="2005"/>
    <n v="1"/>
    <x v="4"/>
    <n v="38"/>
    <n v="115.70319467233371"/>
    <n v="4396.7213975486811"/>
  </r>
  <r>
    <n v="1489"/>
    <x v="0"/>
    <x v="67"/>
    <n v="2006"/>
    <n v="1"/>
    <x v="0"/>
    <n v="49"/>
    <n v="149.11052069470631"/>
    <n v="7306.4155140406092"/>
  </r>
  <r>
    <n v="1490"/>
    <x v="4"/>
    <x v="80"/>
    <n v="2004"/>
    <n v="9"/>
    <x v="1"/>
    <n v="79"/>
    <n v="239.15028034352162"/>
    <n v="18892.872147138209"/>
  </r>
  <r>
    <n v="1491"/>
    <x v="2"/>
    <x v="95"/>
    <n v="2005"/>
    <n v="7"/>
    <x v="1"/>
    <n v="93"/>
    <n v="281.34133684394243"/>
    <n v="26164.744326486645"/>
  </r>
  <r>
    <n v="1492"/>
    <x v="4"/>
    <x v="50"/>
    <n v="2004"/>
    <n v="12"/>
    <x v="1"/>
    <n v="67"/>
    <n v="202.43601829550036"/>
    <n v="13563.213225798525"/>
  </r>
  <r>
    <n v="1493"/>
    <x v="0"/>
    <x v="3"/>
    <n v="2006"/>
    <n v="5"/>
    <x v="1"/>
    <n v="13"/>
    <n v="41.318769528122459"/>
    <n v="537.14400386559191"/>
  </r>
  <r>
    <n v="1494"/>
    <x v="2"/>
    <x v="85"/>
    <n v="2005"/>
    <n v="10"/>
    <x v="0"/>
    <n v="71"/>
    <n v="215.36222588622564"/>
    <n v="15290.718037922021"/>
  </r>
  <r>
    <n v="1495"/>
    <x v="0"/>
    <x v="25"/>
    <n v="2006"/>
    <n v="10"/>
    <x v="1"/>
    <n v="15"/>
    <n v="46.386549546936031"/>
    <n v="695.79824320404043"/>
  </r>
  <r>
    <n v="1496"/>
    <x v="3"/>
    <x v="27"/>
    <n v="2005"/>
    <n v="9"/>
    <x v="3"/>
    <n v="89"/>
    <n v="269.12365453676284"/>
    <n v="23952.005253771895"/>
  </r>
  <r>
    <n v="1497"/>
    <x v="3"/>
    <x v="72"/>
    <n v="2005"/>
    <n v="10"/>
    <x v="4"/>
    <n v="65"/>
    <n v="197.49619907968821"/>
    <n v="12837.252940179733"/>
  </r>
  <r>
    <n v="1498"/>
    <x v="3"/>
    <x v="50"/>
    <n v="2004"/>
    <n v="12"/>
    <x v="3"/>
    <n v="16"/>
    <n v="49.977621498939477"/>
    <n v="799.64194398303164"/>
  </r>
  <r>
    <n v="1499"/>
    <x v="0"/>
    <x v="18"/>
    <n v="2006"/>
    <n v="6"/>
    <x v="0"/>
    <n v="48"/>
    <n v="146.12940219412363"/>
    <n v="7014.2113053179346"/>
  </r>
  <r>
    <n v="1500"/>
    <x v="1"/>
    <x v="12"/>
    <n v="2005"/>
    <n v="8"/>
    <x v="3"/>
    <n v="78"/>
    <n v="235.9430418370726"/>
    <n v="18403.557263291663"/>
  </r>
  <r>
    <n v="1501"/>
    <x v="8"/>
    <x v="97"/>
    <n v="2004"/>
    <n v="1"/>
    <x v="0"/>
    <n v="5"/>
    <n v="17.19135783501677"/>
    <n v="85.956789175083856"/>
  </r>
  <r>
    <n v="1502"/>
    <x v="6"/>
    <x v="56"/>
    <n v="2006"/>
    <n v="1"/>
    <x v="0"/>
    <n v="33"/>
    <n v="101.70689339051272"/>
    <n v="3356.3274818869195"/>
  </r>
  <r>
    <n v="1503"/>
    <x v="2"/>
    <x v="28"/>
    <n v="2006"/>
    <n v="3"/>
    <x v="1"/>
    <n v="73"/>
    <n v="220.6254493831498"/>
    <n v="16105.657804969935"/>
  </r>
  <r>
    <n v="1504"/>
    <x v="0"/>
    <x v="87"/>
    <n v="2004"/>
    <n v="7"/>
    <x v="4"/>
    <n v="93"/>
    <n v="280.86225864864616"/>
    <n v="26120.190054324092"/>
  </r>
  <r>
    <n v="1505"/>
    <x v="0"/>
    <x v="82"/>
    <n v="2005"/>
    <n v="12"/>
    <x v="1"/>
    <n v="37"/>
    <n v="113.24236035613511"/>
    <n v="4189.9673331769991"/>
  </r>
  <r>
    <n v="1506"/>
    <x v="4"/>
    <x v="57"/>
    <n v="2005"/>
    <n v="7"/>
    <x v="0"/>
    <n v="23"/>
    <n v="70.338092994751676"/>
    <n v="1617.7761388792885"/>
  </r>
  <r>
    <n v="1507"/>
    <x v="4"/>
    <x v="5"/>
    <n v="2005"/>
    <n v="11"/>
    <x v="0"/>
    <n v="-3"/>
    <n v="-7.2085961879253206"/>
    <n v="21.625788563775963"/>
  </r>
  <r>
    <n v="1508"/>
    <x v="7"/>
    <x v="34"/>
    <n v="2006"/>
    <n v="2"/>
    <x v="3"/>
    <n v="39"/>
    <n v="118.95540899877352"/>
    <n v="4639.2609509521671"/>
  </r>
  <r>
    <n v="1509"/>
    <x v="0"/>
    <x v="16"/>
    <n v="2006"/>
    <n v="4"/>
    <x v="3"/>
    <n v="83"/>
    <n v="251.40370686680004"/>
    <n v="20866.507669944403"/>
  </r>
  <r>
    <n v="1510"/>
    <x v="6"/>
    <x v="93"/>
    <n v="2006"/>
    <n v="8"/>
    <x v="1"/>
    <n v="65"/>
    <n v="197.80862125573833"/>
    <n v="12857.560381622992"/>
  </r>
  <r>
    <n v="1511"/>
    <x v="0"/>
    <x v="10"/>
    <n v="2004"/>
    <n v="11"/>
    <x v="0"/>
    <n v="13"/>
    <n v="41.739412502907776"/>
    <n v="542.61236253780112"/>
  </r>
  <r>
    <n v="1512"/>
    <x v="6"/>
    <x v="26"/>
    <n v="2005"/>
    <n v="11"/>
    <x v="1"/>
    <n v="9"/>
    <n v="28.855899545684331"/>
    <n v="259.70309591115898"/>
  </r>
  <r>
    <n v="1513"/>
    <x v="5"/>
    <x v="7"/>
    <n v="2006"/>
    <n v="12"/>
    <x v="3"/>
    <n v="-4"/>
    <n v="-10.353255411982897"/>
    <n v="41.413021647931586"/>
  </r>
  <r>
    <n v="1514"/>
    <x v="2"/>
    <x v="17"/>
    <n v="2004"/>
    <n v="10"/>
    <x v="4"/>
    <n v="22"/>
    <n v="67.745285115132006"/>
    <n v="1490.396272532904"/>
  </r>
  <r>
    <n v="1515"/>
    <x v="1"/>
    <x v="55"/>
    <n v="2005"/>
    <n v="3"/>
    <x v="4"/>
    <n v="-3"/>
    <n v="-6.8920180610801349"/>
    <n v="20.676054183240403"/>
  </r>
  <r>
    <n v="1516"/>
    <x v="4"/>
    <x v="96"/>
    <n v="2004"/>
    <n v="7"/>
    <x v="4"/>
    <n v="58"/>
    <n v="176.19804950784601"/>
    <n v="10219.486871455068"/>
  </r>
  <r>
    <n v="1517"/>
    <x v="5"/>
    <x v="89"/>
    <n v="2004"/>
    <n v="8"/>
    <x v="3"/>
    <n v="65"/>
    <n v="196.63911479091979"/>
    <n v="12781.542461409786"/>
  </r>
  <r>
    <n v="1518"/>
    <x v="4"/>
    <x v="43"/>
    <n v="2004"/>
    <n v="6"/>
    <x v="3"/>
    <n v="9"/>
    <n v="28.459065178844462"/>
    <n v="256.13158660960016"/>
  </r>
  <r>
    <n v="1519"/>
    <x v="6"/>
    <x v="25"/>
    <n v="2006"/>
    <n v="10"/>
    <x v="2"/>
    <n v="18"/>
    <n v="56.300241442258397"/>
    <n v="1013.4043459606512"/>
  </r>
  <r>
    <n v="1520"/>
    <x v="1"/>
    <x v="88"/>
    <n v="2004"/>
    <n v="5"/>
    <x v="1"/>
    <n v="55"/>
    <n v="166.7781249229084"/>
    <n v="9172.796870759963"/>
  </r>
  <r>
    <n v="1521"/>
    <x v="5"/>
    <x v="94"/>
    <n v="2005"/>
    <n v="1"/>
    <x v="3"/>
    <n v="69"/>
    <n v="209.56822946203218"/>
    <n v="14460.20783288022"/>
  </r>
  <r>
    <n v="1522"/>
    <x v="3"/>
    <x v="15"/>
    <n v="2004"/>
    <n v="4"/>
    <x v="3"/>
    <n v="51"/>
    <n v="155.55960489398822"/>
    <n v="7933.5398495933996"/>
  </r>
  <r>
    <n v="1523"/>
    <x v="2"/>
    <x v="67"/>
    <n v="2006"/>
    <n v="1"/>
    <x v="2"/>
    <n v="23"/>
    <n v="71.150007929550512"/>
    <n v="1636.4501823796618"/>
  </r>
  <r>
    <n v="1524"/>
    <x v="0"/>
    <x v="91"/>
    <n v="2006"/>
    <n v="4"/>
    <x v="0"/>
    <n v="38"/>
    <n v="115.80895982640449"/>
    <n v="4400.7404734033707"/>
  </r>
  <r>
    <n v="1525"/>
    <x v="3"/>
    <x v="10"/>
    <n v="2004"/>
    <n v="11"/>
    <x v="2"/>
    <n v="-8"/>
    <n v="-22.286591550898308"/>
    <n v="178.29273240718646"/>
  </r>
  <r>
    <n v="1526"/>
    <x v="1"/>
    <x v="25"/>
    <n v="2006"/>
    <n v="10"/>
    <x v="3"/>
    <n v="20"/>
    <n v="61.782563000840952"/>
    <n v="1235.6512600168189"/>
  </r>
  <r>
    <n v="1527"/>
    <x v="5"/>
    <x v="32"/>
    <n v="2005"/>
    <n v="7"/>
    <x v="0"/>
    <n v="25"/>
    <n v="76.800582511934167"/>
    <n v="1920.0145627983541"/>
  </r>
  <r>
    <n v="1528"/>
    <x v="0"/>
    <x v="25"/>
    <n v="2006"/>
    <n v="10"/>
    <x v="3"/>
    <n v="-6"/>
    <n v="-16.105946140968253"/>
    <n v="96.635676845809513"/>
  </r>
  <r>
    <n v="1529"/>
    <x v="3"/>
    <x v="73"/>
    <n v="2006"/>
    <n v="7"/>
    <x v="0"/>
    <n v="88"/>
    <n v="266.77209888218033"/>
    <n v="23475.94470163187"/>
  </r>
  <r>
    <n v="1530"/>
    <x v="7"/>
    <x v="3"/>
    <n v="2006"/>
    <n v="5"/>
    <x v="3"/>
    <n v="62"/>
    <n v="187.54179752226122"/>
    <n v="11627.591446380196"/>
  </r>
  <r>
    <n v="1531"/>
    <x v="1"/>
    <x v="42"/>
    <n v="2004"/>
    <n v="1"/>
    <x v="2"/>
    <n v="80"/>
    <n v="242.16012405865823"/>
    <n v="19372.809924692658"/>
  </r>
  <r>
    <n v="1532"/>
    <x v="8"/>
    <x v="1"/>
    <n v="2004"/>
    <n v="3"/>
    <x v="2"/>
    <n v="66"/>
    <n v="199.70376718058844"/>
    <n v="13180.448633918837"/>
  </r>
  <r>
    <n v="1533"/>
    <x v="6"/>
    <x v="22"/>
    <n v="2004"/>
    <n v="11"/>
    <x v="1"/>
    <n v="34"/>
    <n v="104.44930690558964"/>
    <n v="3551.2764347900475"/>
  </r>
  <r>
    <n v="1534"/>
    <x v="1"/>
    <x v="90"/>
    <n v="2004"/>
    <n v="12"/>
    <x v="3"/>
    <n v="49"/>
    <n v="149.81621502008079"/>
    <n v="7340.9945359839585"/>
  </r>
  <r>
    <n v="1535"/>
    <x v="8"/>
    <x v="87"/>
    <n v="2004"/>
    <n v="7"/>
    <x v="0"/>
    <n v="45"/>
    <n v="136.92331868568616"/>
    <n v="6161.5493408558768"/>
  </r>
  <r>
    <n v="1536"/>
    <x v="5"/>
    <x v="60"/>
    <n v="2005"/>
    <n v="12"/>
    <x v="1"/>
    <n v="16"/>
    <n v="49.650187557976459"/>
    <n v="794.40300092762334"/>
  </r>
  <r>
    <n v="1537"/>
    <x v="7"/>
    <x v="65"/>
    <n v="2005"/>
    <n v="8"/>
    <x v="2"/>
    <n v="45"/>
    <n v="136.63786720901078"/>
    <n v="6148.7040244054851"/>
  </r>
  <r>
    <n v="1538"/>
    <x v="2"/>
    <x v="4"/>
    <n v="2004"/>
    <n v="6"/>
    <x v="3"/>
    <n v="1"/>
    <n v="5.7263479599581428"/>
    <n v="5.7263479599581428"/>
  </r>
  <r>
    <n v="1539"/>
    <x v="8"/>
    <x v="57"/>
    <n v="2005"/>
    <n v="7"/>
    <x v="4"/>
    <n v="33"/>
    <n v="100.97055324855179"/>
    <n v="3332.0282572022093"/>
  </r>
  <r>
    <n v="1540"/>
    <x v="1"/>
    <x v="12"/>
    <n v="2005"/>
    <n v="8"/>
    <x v="2"/>
    <n v="37"/>
    <n v="113.03930108234786"/>
    <n v="4182.4541400468706"/>
  </r>
  <r>
    <n v="1541"/>
    <x v="2"/>
    <x v="32"/>
    <n v="2005"/>
    <n v="7"/>
    <x v="3"/>
    <n v="46"/>
    <n v="139.33709070957588"/>
    <n v="6409.5061726404901"/>
  </r>
  <r>
    <n v="1542"/>
    <x v="0"/>
    <x v="36"/>
    <n v="2004"/>
    <n v="2"/>
    <x v="1"/>
    <n v="71"/>
    <n v="215.35016800732583"/>
    <n v="15289.861928520135"/>
  </r>
  <r>
    <n v="1543"/>
    <x v="3"/>
    <x v="10"/>
    <n v="2004"/>
    <n v="11"/>
    <x v="4"/>
    <n v="59"/>
    <n v="179.11705650607632"/>
    <n v="10567.906333858504"/>
  </r>
  <r>
    <n v="1544"/>
    <x v="3"/>
    <x v="92"/>
    <n v="2005"/>
    <n v="4"/>
    <x v="2"/>
    <n v="84"/>
    <n v="253.54108298185832"/>
    <n v="21297.4509704761"/>
  </r>
  <r>
    <n v="1545"/>
    <x v="3"/>
    <x v="35"/>
    <n v="2006"/>
    <n v="6"/>
    <x v="3"/>
    <n v="91"/>
    <n v="274.23356541008826"/>
    <n v="24955.254452318033"/>
  </r>
  <r>
    <n v="1546"/>
    <x v="5"/>
    <x v="1"/>
    <n v="2004"/>
    <n v="3"/>
    <x v="0"/>
    <n v="33"/>
    <n v="100.22871812086524"/>
    <n v="3307.547697988553"/>
  </r>
  <r>
    <n v="1547"/>
    <x v="8"/>
    <x v="50"/>
    <n v="2004"/>
    <n v="12"/>
    <x v="3"/>
    <n v="34"/>
    <n v="104.04142923037654"/>
    <n v="3537.4085938328021"/>
  </r>
  <r>
    <n v="1548"/>
    <x v="3"/>
    <x v="25"/>
    <n v="2006"/>
    <n v="10"/>
    <x v="0"/>
    <n v="1"/>
    <n v="5.3199136076983713"/>
    <n v="5.3199136076983713"/>
  </r>
  <r>
    <n v="1549"/>
    <x v="1"/>
    <x v="86"/>
    <n v="2004"/>
    <n v="2"/>
    <x v="3"/>
    <n v="42"/>
    <n v="128.72768952762647"/>
    <n v="5406.5629601603114"/>
  </r>
  <r>
    <n v="1550"/>
    <x v="8"/>
    <x v="60"/>
    <n v="2005"/>
    <n v="12"/>
    <x v="3"/>
    <n v="45"/>
    <n v="137.92982227055688"/>
    <n v="6206.8420021750599"/>
  </r>
  <r>
    <n v="1551"/>
    <x v="6"/>
    <x v="81"/>
    <n v="2004"/>
    <n v="10"/>
    <x v="0"/>
    <n v="26"/>
    <n v="80.031587793648399"/>
    <n v="2080.8212826348586"/>
  </r>
  <r>
    <n v="1552"/>
    <x v="2"/>
    <x v="97"/>
    <n v="2004"/>
    <n v="1"/>
    <x v="3"/>
    <n v="72"/>
    <n v="218.32830582807657"/>
    <n v="15719.638019621512"/>
  </r>
  <r>
    <n v="1553"/>
    <x v="3"/>
    <x v="73"/>
    <n v="2006"/>
    <n v="7"/>
    <x v="3"/>
    <n v="-5"/>
    <n v="-13.390709583317436"/>
    <n v="66.953547916587183"/>
  </r>
  <r>
    <n v="1554"/>
    <x v="4"/>
    <x v="6"/>
    <n v="2004"/>
    <n v="3"/>
    <x v="1"/>
    <n v="31"/>
    <n v="94.662914692651583"/>
    <n v="2934.550355472199"/>
  </r>
  <r>
    <n v="1555"/>
    <x v="8"/>
    <x v="42"/>
    <n v="2004"/>
    <n v="1"/>
    <x v="0"/>
    <n v="48"/>
    <n v="145.90859800554551"/>
    <n v="7003.6127042661847"/>
  </r>
  <r>
    <n v="1556"/>
    <x v="4"/>
    <x v="79"/>
    <n v="2006"/>
    <n v="11"/>
    <x v="4"/>
    <n v="84"/>
    <n v="253.59713370537463"/>
    <n v="21302.159231251469"/>
  </r>
  <r>
    <n v="1557"/>
    <x v="3"/>
    <x v="34"/>
    <n v="2006"/>
    <n v="2"/>
    <x v="3"/>
    <n v="54"/>
    <n v="163.89560832413773"/>
    <n v="8850.3628495034372"/>
  </r>
  <r>
    <n v="1558"/>
    <x v="4"/>
    <x v="53"/>
    <n v="2004"/>
    <n v="1"/>
    <x v="4"/>
    <n v="44"/>
    <n v="134.18925327531994"/>
    <n v="5904.3271441140778"/>
  </r>
  <r>
    <n v="1559"/>
    <x v="5"/>
    <x v="17"/>
    <n v="2004"/>
    <n v="10"/>
    <x v="0"/>
    <n v="40"/>
    <n v="122.05331563226824"/>
    <n v="4882.1326252907293"/>
  </r>
  <r>
    <n v="1560"/>
    <x v="0"/>
    <x v="12"/>
    <n v="2005"/>
    <n v="8"/>
    <x v="0"/>
    <n v="25"/>
    <n v="76.896265241705308"/>
    <n v="1922.4066310426326"/>
  </r>
  <r>
    <n v="1561"/>
    <x v="6"/>
    <x v="86"/>
    <n v="2004"/>
    <n v="2"/>
    <x v="0"/>
    <n v="-8"/>
    <n v="-21.481967764977714"/>
    <n v="171.85574211982171"/>
  </r>
  <r>
    <n v="1562"/>
    <x v="5"/>
    <x v="46"/>
    <n v="2006"/>
    <n v="5"/>
    <x v="3"/>
    <n v="59"/>
    <n v="178.70076770818625"/>
    <n v="10543.345294782988"/>
  </r>
  <r>
    <n v="1563"/>
    <x v="3"/>
    <x v="50"/>
    <n v="2004"/>
    <n v="12"/>
    <x v="3"/>
    <n v="59"/>
    <n v="179.09938274190853"/>
    <n v="10566.863581772603"/>
  </r>
  <r>
    <n v="1564"/>
    <x v="6"/>
    <x v="26"/>
    <n v="2005"/>
    <n v="11"/>
    <x v="1"/>
    <n v="34"/>
    <n v="103.72320973361035"/>
    <n v="3526.5891309427516"/>
  </r>
  <r>
    <n v="1565"/>
    <x v="6"/>
    <x v="10"/>
    <n v="2004"/>
    <n v="11"/>
    <x v="4"/>
    <n v="27"/>
    <n v="82.680755879941501"/>
    <n v="2232.3804087584203"/>
  </r>
  <r>
    <n v="1566"/>
    <x v="8"/>
    <x v="25"/>
    <n v="2006"/>
    <n v="10"/>
    <x v="1"/>
    <n v="3"/>
    <n v="10.695067513438698"/>
    <n v="32.085202540316089"/>
  </r>
  <r>
    <n v="1567"/>
    <x v="1"/>
    <x v="65"/>
    <n v="2005"/>
    <n v="8"/>
    <x v="4"/>
    <n v="89"/>
    <n v="269.11976111617605"/>
    <n v="23951.658739339669"/>
  </r>
  <r>
    <n v="1568"/>
    <x v="1"/>
    <x v="69"/>
    <n v="2005"/>
    <n v="5"/>
    <x v="3"/>
    <n v="58"/>
    <n v="175.98159998303569"/>
    <n v="10206.932799016071"/>
  </r>
  <r>
    <n v="1569"/>
    <x v="8"/>
    <x v="94"/>
    <n v="2005"/>
    <n v="1"/>
    <x v="2"/>
    <n v="52"/>
    <n v="158.04571793449091"/>
    <n v="8218.3773325935272"/>
  </r>
  <r>
    <n v="1570"/>
    <x v="8"/>
    <x v="73"/>
    <n v="2006"/>
    <n v="7"/>
    <x v="4"/>
    <n v="32"/>
    <n v="98.04752721295516"/>
    <n v="3137.5208708145651"/>
  </r>
  <r>
    <n v="1571"/>
    <x v="5"/>
    <x v="27"/>
    <n v="2005"/>
    <n v="9"/>
    <x v="4"/>
    <n v="3"/>
    <n v="10.584064694476611"/>
    <n v="31.752194083429835"/>
  </r>
  <r>
    <n v="1572"/>
    <x v="3"/>
    <x v="11"/>
    <n v="2004"/>
    <n v="11"/>
    <x v="3"/>
    <n v="45"/>
    <n v="137.07935411238626"/>
    <n v="6168.5709350573816"/>
  </r>
  <r>
    <n v="1573"/>
    <x v="4"/>
    <x v="10"/>
    <n v="2004"/>
    <n v="11"/>
    <x v="3"/>
    <n v="91"/>
    <n v="275.55805251311767"/>
    <n v="25075.782778693709"/>
  </r>
  <r>
    <n v="1574"/>
    <x v="3"/>
    <x v="75"/>
    <n v="2006"/>
    <n v="2"/>
    <x v="1"/>
    <n v="-8"/>
    <n v="-21.448768772248492"/>
    <n v="171.59015017798794"/>
  </r>
  <r>
    <n v="1575"/>
    <x v="0"/>
    <x v="61"/>
    <n v="2005"/>
    <n v="3"/>
    <x v="4"/>
    <n v="-7"/>
    <n v="-19.136046094162346"/>
    <n v="133.95232265913643"/>
  </r>
  <r>
    <n v="1576"/>
    <x v="1"/>
    <x v="47"/>
    <n v="2005"/>
    <n v="11"/>
    <x v="1"/>
    <n v="33"/>
    <n v="100.88649672562114"/>
    <n v="3329.2543919454979"/>
  </r>
  <r>
    <n v="1577"/>
    <x v="4"/>
    <x v="69"/>
    <n v="2005"/>
    <n v="5"/>
    <x v="0"/>
    <n v="-7"/>
    <n v="-18.807164790570987"/>
    <n v="131.6501535339969"/>
  </r>
  <r>
    <n v="1578"/>
    <x v="4"/>
    <x v="84"/>
    <n v="2006"/>
    <n v="10"/>
    <x v="1"/>
    <n v="82"/>
    <n v="248.42543228494586"/>
    <n v="20370.885447365559"/>
  </r>
  <r>
    <n v="1579"/>
    <x v="2"/>
    <x v="38"/>
    <n v="2004"/>
    <n v="6"/>
    <x v="3"/>
    <n v="87"/>
    <n v="262.84645942190497"/>
    <n v="22867.641969705732"/>
  </r>
  <r>
    <n v="1580"/>
    <x v="8"/>
    <x v="54"/>
    <n v="2005"/>
    <n v="2"/>
    <x v="4"/>
    <n v="93"/>
    <n v="281.52944446781271"/>
    <n v="26182.238335506583"/>
  </r>
  <r>
    <n v="1581"/>
    <x v="5"/>
    <x v="85"/>
    <n v="2005"/>
    <n v="10"/>
    <x v="1"/>
    <n v="72"/>
    <n v="218.16905589645697"/>
    <n v="15708.172024544901"/>
  </r>
  <r>
    <n v="1582"/>
    <x v="7"/>
    <x v="81"/>
    <n v="2004"/>
    <n v="10"/>
    <x v="4"/>
    <n v="11"/>
    <n v="35.116221937392133"/>
    <n v="386.27844131131349"/>
  </r>
  <r>
    <n v="1583"/>
    <x v="4"/>
    <x v="48"/>
    <n v="2006"/>
    <n v="7"/>
    <x v="0"/>
    <n v="18"/>
    <n v="55.780124801169777"/>
    <n v="1004.042246421056"/>
  </r>
  <r>
    <n v="1584"/>
    <x v="0"/>
    <x v="63"/>
    <n v="2006"/>
    <n v="8"/>
    <x v="1"/>
    <n v="93"/>
    <n v="281.25885991416516"/>
    <n v="26157.073972017359"/>
  </r>
  <r>
    <n v="1585"/>
    <x v="1"/>
    <x v="65"/>
    <n v="2005"/>
    <n v="8"/>
    <x v="1"/>
    <n v="56"/>
    <n v="170.42559015332697"/>
    <n v="9543.8330485863098"/>
  </r>
  <r>
    <n v="1586"/>
    <x v="2"/>
    <x v="19"/>
    <n v="2004"/>
    <n v="9"/>
    <x v="0"/>
    <n v="66"/>
    <n v="199.70274563442874"/>
    <n v="13180.381211872296"/>
  </r>
  <r>
    <n v="1587"/>
    <x v="2"/>
    <x v="94"/>
    <n v="2005"/>
    <n v="1"/>
    <x v="0"/>
    <n v="95"/>
    <n v="286.75530123408925"/>
    <n v="27241.753617238479"/>
  </r>
  <r>
    <n v="1588"/>
    <x v="3"/>
    <x v="32"/>
    <n v="2005"/>
    <n v="7"/>
    <x v="4"/>
    <n v="61"/>
    <n v="184.83908498989172"/>
    <n v="11275.184184383395"/>
  </r>
  <r>
    <n v="1589"/>
    <x v="4"/>
    <x v="48"/>
    <n v="2006"/>
    <n v="7"/>
    <x v="0"/>
    <n v="26"/>
    <n v="79.322466776997217"/>
    <n v="2062.3841362019275"/>
  </r>
  <r>
    <n v="1590"/>
    <x v="6"/>
    <x v="44"/>
    <n v="2005"/>
    <n v="12"/>
    <x v="4"/>
    <n v="29"/>
    <n v="89.116436100256237"/>
    <n v="2584.3766469074308"/>
  </r>
  <r>
    <n v="1591"/>
    <x v="6"/>
    <x v="54"/>
    <n v="2005"/>
    <n v="2"/>
    <x v="0"/>
    <n v="61"/>
    <n v="184.79269376899887"/>
    <n v="11272.354319908931"/>
  </r>
  <r>
    <n v="1592"/>
    <x v="1"/>
    <x v="62"/>
    <n v="2006"/>
    <n v="6"/>
    <x v="4"/>
    <n v="-3"/>
    <n v="-7.0063461933355882"/>
    <n v="21.019038580006765"/>
  </r>
  <r>
    <n v="1593"/>
    <x v="8"/>
    <x v="56"/>
    <n v="2006"/>
    <n v="1"/>
    <x v="1"/>
    <n v="40"/>
    <n v="122.05274122201725"/>
    <n v="4882.1096488806897"/>
  </r>
  <r>
    <n v="1594"/>
    <x v="1"/>
    <x v="48"/>
    <n v="2006"/>
    <n v="7"/>
    <x v="1"/>
    <n v="86"/>
    <n v="260.36699971588303"/>
    <n v="22391.561975565939"/>
  </r>
  <r>
    <n v="1595"/>
    <x v="8"/>
    <x v="98"/>
    <n v="2005"/>
    <n v="6"/>
    <x v="2"/>
    <n v="58"/>
    <n v="176.57900116326704"/>
    <n v="10241.582067469488"/>
  </r>
  <r>
    <n v="1596"/>
    <x v="1"/>
    <x v="54"/>
    <n v="2005"/>
    <n v="2"/>
    <x v="3"/>
    <n v="13"/>
    <n v="41.15897784518318"/>
    <n v="535.06671198738138"/>
  </r>
  <r>
    <n v="1597"/>
    <x v="8"/>
    <x v="30"/>
    <n v="2006"/>
    <n v="12"/>
    <x v="3"/>
    <n v="14"/>
    <n v="44.433583210085722"/>
    <n v="622.07016494120012"/>
  </r>
  <r>
    <n v="1598"/>
    <x v="6"/>
    <x v="92"/>
    <n v="2005"/>
    <n v="4"/>
    <x v="4"/>
    <n v="85"/>
    <n v="256.67637583501136"/>
    <n v="21817.491945975966"/>
  </r>
  <r>
    <n v="1599"/>
    <x v="5"/>
    <x v="20"/>
    <n v="2006"/>
    <n v="2"/>
    <x v="0"/>
    <n v="42"/>
    <n v="127.6000829370011"/>
    <n v="5359.2034833540465"/>
  </r>
  <r>
    <n v="1600"/>
    <x v="8"/>
    <x v="76"/>
    <n v="2006"/>
    <n v="11"/>
    <x v="2"/>
    <n v="11"/>
    <n v="35.427503831280553"/>
    <n v="389.70254214408607"/>
  </r>
  <r>
    <n v="1601"/>
    <x v="7"/>
    <x v="97"/>
    <n v="2004"/>
    <n v="1"/>
    <x v="0"/>
    <n v="32"/>
    <n v="98.405028744773347"/>
    <n v="3148.9609198327471"/>
  </r>
  <r>
    <n v="1602"/>
    <x v="1"/>
    <x v="49"/>
    <n v="2005"/>
    <n v="1"/>
    <x v="0"/>
    <n v="79"/>
    <n v="239.26463824341167"/>
    <n v="18901.906421229523"/>
  </r>
  <r>
    <n v="1603"/>
    <x v="6"/>
    <x v="4"/>
    <n v="2004"/>
    <n v="6"/>
    <x v="0"/>
    <n v="25"/>
    <n v="77.046747006624841"/>
    <n v="1926.1686751656209"/>
  </r>
  <r>
    <n v="1604"/>
    <x v="5"/>
    <x v="5"/>
    <n v="2005"/>
    <n v="11"/>
    <x v="1"/>
    <n v="94"/>
    <n v="284.06034486899824"/>
    <n v="26701.672417685833"/>
  </r>
  <r>
    <n v="1605"/>
    <x v="4"/>
    <x v="76"/>
    <n v="2006"/>
    <n v="11"/>
    <x v="3"/>
    <n v="6"/>
    <n v="20.057205766736782"/>
    <n v="120.34323460042069"/>
  </r>
  <r>
    <n v="1606"/>
    <x v="3"/>
    <x v="41"/>
    <n v="2005"/>
    <n v="6"/>
    <x v="2"/>
    <n v="15"/>
    <n v="46.567063375670365"/>
    <n v="698.50595063505546"/>
  </r>
  <r>
    <n v="1607"/>
    <x v="5"/>
    <x v="43"/>
    <n v="2004"/>
    <n v="6"/>
    <x v="3"/>
    <n v="15"/>
    <n v="47.252520248890754"/>
    <n v="708.78780373336133"/>
  </r>
  <r>
    <n v="1608"/>
    <x v="6"/>
    <x v="1"/>
    <n v="2004"/>
    <n v="3"/>
    <x v="1"/>
    <n v="81"/>
    <n v="244.70980660248637"/>
    <n v="19821.494334801395"/>
  </r>
  <r>
    <n v="1609"/>
    <x v="0"/>
    <x v="37"/>
    <n v="2005"/>
    <n v="4"/>
    <x v="3"/>
    <n v="94"/>
    <n v="283.45878652006695"/>
    <n v="26645.125932886294"/>
  </r>
  <r>
    <n v="1610"/>
    <x v="3"/>
    <x v="53"/>
    <n v="2004"/>
    <n v="1"/>
    <x v="4"/>
    <n v="11"/>
    <n v="35.187328425003173"/>
    <n v="387.06061267503492"/>
  </r>
  <r>
    <n v="1611"/>
    <x v="4"/>
    <x v="0"/>
    <n v="2004"/>
    <n v="4"/>
    <x v="3"/>
    <n v="12"/>
    <n v="38.183005482105493"/>
    <n v="458.19606578526589"/>
  </r>
  <r>
    <n v="1612"/>
    <x v="1"/>
    <x v="12"/>
    <n v="2005"/>
    <n v="8"/>
    <x v="3"/>
    <n v="85"/>
    <n v="257.13848470493929"/>
    <n v="21856.77119991984"/>
  </r>
  <r>
    <n v="1613"/>
    <x v="3"/>
    <x v="66"/>
    <n v="2006"/>
    <n v="11"/>
    <x v="3"/>
    <n v="39"/>
    <n v="119.05508877849219"/>
    <n v="4643.148462361195"/>
  </r>
  <r>
    <n v="1614"/>
    <x v="3"/>
    <x v="77"/>
    <n v="2004"/>
    <n v="7"/>
    <x v="1"/>
    <n v="9"/>
    <n v="29.108535014212187"/>
    <n v="261.97681512790967"/>
  </r>
  <r>
    <n v="1615"/>
    <x v="3"/>
    <x v="78"/>
    <n v="2005"/>
    <n v="2"/>
    <x v="4"/>
    <n v="25"/>
    <n v="77.542041967509959"/>
    <n v="1938.551049187749"/>
  </r>
  <r>
    <n v="1616"/>
    <x v="7"/>
    <x v="38"/>
    <n v="2004"/>
    <n v="6"/>
    <x v="3"/>
    <n v="79"/>
    <n v="239.89003921274065"/>
    <n v="18951.313097806513"/>
  </r>
  <r>
    <n v="1617"/>
    <x v="1"/>
    <x v="64"/>
    <n v="2004"/>
    <n v="5"/>
    <x v="3"/>
    <n v="83"/>
    <n v="250.62172213757762"/>
    <n v="20801.602937418942"/>
  </r>
  <r>
    <n v="1618"/>
    <x v="1"/>
    <x v="44"/>
    <n v="2005"/>
    <n v="12"/>
    <x v="1"/>
    <n v="-3"/>
    <n v="-6.4441526293000173"/>
    <n v="19.332457887900052"/>
  </r>
  <r>
    <n v="1619"/>
    <x v="8"/>
    <x v="34"/>
    <n v="2006"/>
    <n v="2"/>
    <x v="4"/>
    <n v="62"/>
    <n v="188.23625463241646"/>
    <n v="11670.64778720982"/>
  </r>
  <r>
    <n v="1620"/>
    <x v="8"/>
    <x v="36"/>
    <n v="2004"/>
    <n v="2"/>
    <x v="3"/>
    <n v="6"/>
    <n v="19.315165106288639"/>
    <n v="115.89099063773183"/>
  </r>
  <r>
    <n v="1621"/>
    <x v="2"/>
    <x v="99"/>
    <n v="2006"/>
    <n v="4"/>
    <x v="4"/>
    <n v="13"/>
    <n v="41.394747641625173"/>
    <n v="538.13171934112722"/>
  </r>
  <r>
    <n v="1622"/>
    <x v="6"/>
    <x v="24"/>
    <n v="2005"/>
    <n v="9"/>
    <x v="3"/>
    <n v="88"/>
    <n v="266.15306975216902"/>
    <n v="23421.470138190874"/>
  </r>
  <r>
    <n v="1623"/>
    <x v="6"/>
    <x v="15"/>
    <n v="2004"/>
    <n v="4"/>
    <x v="3"/>
    <n v="35"/>
    <n v="106.7048352932988"/>
    <n v="3734.6692352654582"/>
  </r>
  <r>
    <n v="1624"/>
    <x v="5"/>
    <x v="81"/>
    <n v="2004"/>
    <n v="10"/>
    <x v="3"/>
    <n v="61"/>
    <n v="185.38182854142642"/>
    <n v="11308.291541027011"/>
  </r>
  <r>
    <n v="1625"/>
    <x v="1"/>
    <x v="57"/>
    <n v="2005"/>
    <n v="7"/>
    <x v="3"/>
    <n v="95"/>
    <n v="287.15467709700755"/>
    <n v="27279.694324215718"/>
  </r>
  <r>
    <n v="1626"/>
    <x v="6"/>
    <x v="13"/>
    <n v="2005"/>
    <n v="1"/>
    <x v="3"/>
    <n v="30"/>
    <n v="92.417025758970482"/>
    <n v="2772.5107727691143"/>
  </r>
  <r>
    <n v="1627"/>
    <x v="6"/>
    <x v="48"/>
    <n v="2006"/>
    <n v="7"/>
    <x v="3"/>
    <n v="-1"/>
    <n v="-1.6370674232788498"/>
    <n v="1.6370674232788498"/>
  </r>
  <r>
    <n v="1628"/>
    <x v="0"/>
    <x v="13"/>
    <n v="2005"/>
    <n v="1"/>
    <x v="2"/>
    <n v="5"/>
    <n v="16.92808141657132"/>
    <n v="84.640407082856598"/>
  </r>
  <r>
    <n v="1629"/>
    <x v="0"/>
    <x v="33"/>
    <n v="2005"/>
    <n v="3"/>
    <x v="1"/>
    <n v="42"/>
    <n v="127.31651996144141"/>
    <n v="5347.2938383805395"/>
  </r>
  <r>
    <n v="1630"/>
    <x v="3"/>
    <x v="21"/>
    <n v="2005"/>
    <n v="5"/>
    <x v="3"/>
    <n v="14"/>
    <n v="44.540640710887878"/>
    <n v="623.56896995243028"/>
  </r>
  <r>
    <n v="1631"/>
    <x v="5"/>
    <x v="39"/>
    <n v="2005"/>
    <n v="8"/>
    <x v="3"/>
    <n v="-4"/>
    <n v="-10.005990967007831"/>
    <n v="40.023963868031323"/>
  </r>
  <r>
    <n v="1632"/>
    <x v="8"/>
    <x v="67"/>
    <n v="2006"/>
    <n v="1"/>
    <x v="1"/>
    <n v="27"/>
    <n v="82.256344701253937"/>
    <n v="2220.9213069338562"/>
  </r>
  <r>
    <n v="1633"/>
    <x v="8"/>
    <x v="88"/>
    <n v="2004"/>
    <n v="5"/>
    <x v="4"/>
    <n v="5"/>
    <n v="17.11095820057195"/>
    <n v="85.554791002859758"/>
  </r>
  <r>
    <n v="1634"/>
    <x v="2"/>
    <x v="61"/>
    <n v="2005"/>
    <n v="3"/>
    <x v="4"/>
    <n v="57"/>
    <n v="173.29644937565891"/>
    <n v="9877.8976144125572"/>
  </r>
  <r>
    <n v="1635"/>
    <x v="1"/>
    <x v="71"/>
    <n v="2004"/>
    <n v="10"/>
    <x v="0"/>
    <n v="78"/>
    <n v="235.61102661696142"/>
    <n v="18377.660076122993"/>
  </r>
  <r>
    <n v="1636"/>
    <x v="8"/>
    <x v="29"/>
    <n v="2006"/>
    <n v="9"/>
    <x v="4"/>
    <n v="11"/>
    <n v="35.303927193880931"/>
    <n v="388.34319913269024"/>
  </r>
  <r>
    <n v="1637"/>
    <x v="5"/>
    <x v="71"/>
    <n v="2004"/>
    <n v="10"/>
    <x v="0"/>
    <n v="55"/>
    <n v="166.9336198966493"/>
    <n v="9181.3490943157121"/>
  </r>
  <r>
    <n v="1638"/>
    <x v="2"/>
    <x v="71"/>
    <n v="2004"/>
    <n v="10"/>
    <x v="4"/>
    <n v="15"/>
    <n v="46.988168377437937"/>
    <n v="704.8225256615691"/>
  </r>
  <r>
    <n v="1639"/>
    <x v="5"/>
    <x v="36"/>
    <n v="2004"/>
    <n v="2"/>
    <x v="3"/>
    <n v="53"/>
    <n v="161.39224032948613"/>
    <n v="8553.7887374627644"/>
  </r>
  <r>
    <n v="1640"/>
    <x v="3"/>
    <x v="65"/>
    <n v="2005"/>
    <n v="8"/>
    <x v="0"/>
    <n v="70"/>
    <n v="212.01090684722931"/>
    <n v="14840.763479306052"/>
  </r>
  <r>
    <n v="1641"/>
    <x v="8"/>
    <x v="63"/>
    <n v="2006"/>
    <n v="8"/>
    <x v="1"/>
    <n v="56"/>
    <n v="170.03159669706065"/>
    <n v="9521.7694150353964"/>
  </r>
  <r>
    <n v="1642"/>
    <x v="3"/>
    <x v="3"/>
    <n v="2006"/>
    <n v="5"/>
    <x v="3"/>
    <n v="91"/>
    <n v="275.47209572369957"/>
    <n v="25067.96071085666"/>
  </r>
  <r>
    <n v="1643"/>
    <x v="7"/>
    <x v="50"/>
    <n v="2004"/>
    <n v="12"/>
    <x v="2"/>
    <n v="55"/>
    <n v="167.80569976811464"/>
    <n v="9229.3134872463052"/>
  </r>
  <r>
    <n v="1644"/>
    <x v="5"/>
    <x v="72"/>
    <n v="2005"/>
    <n v="10"/>
    <x v="4"/>
    <n v="1"/>
    <n v="4.7067653474104088"/>
    <n v="4.7067653474104088"/>
  </r>
  <r>
    <n v="1645"/>
    <x v="5"/>
    <x v="78"/>
    <n v="2005"/>
    <n v="2"/>
    <x v="3"/>
    <n v="23"/>
    <n v="70.736237537390394"/>
    <n v="1626.933463359979"/>
  </r>
  <r>
    <n v="1646"/>
    <x v="1"/>
    <x v="60"/>
    <n v="2005"/>
    <n v="12"/>
    <x v="0"/>
    <n v="0"/>
    <n v="2.2998593901546056"/>
    <n v="0"/>
  </r>
  <r>
    <n v="1647"/>
    <x v="5"/>
    <x v="50"/>
    <n v="2004"/>
    <n v="12"/>
    <x v="4"/>
    <n v="86"/>
    <n v="259.96491478210521"/>
    <n v="22356.982671261048"/>
  </r>
  <r>
    <n v="1648"/>
    <x v="4"/>
    <x v="0"/>
    <n v="2004"/>
    <n v="4"/>
    <x v="3"/>
    <n v="13"/>
    <n v="40.990045684129242"/>
    <n v="532.87059389368017"/>
  </r>
  <r>
    <n v="1649"/>
    <x v="2"/>
    <x v="91"/>
    <n v="2006"/>
    <n v="4"/>
    <x v="4"/>
    <n v="54"/>
    <n v="163.68855299520598"/>
    <n v="8839.1818617411227"/>
  </r>
  <r>
    <n v="1650"/>
    <x v="4"/>
    <x v="1"/>
    <n v="2004"/>
    <n v="3"/>
    <x v="4"/>
    <n v="82"/>
    <n v="247.65702123487802"/>
    <n v="20307.875741259999"/>
  </r>
  <r>
    <n v="1651"/>
    <x v="6"/>
    <x v="54"/>
    <n v="2005"/>
    <n v="2"/>
    <x v="1"/>
    <n v="27"/>
    <n v="82.646392449751019"/>
    <n v="2231.4525961432773"/>
  </r>
  <r>
    <n v="1652"/>
    <x v="3"/>
    <x v="84"/>
    <n v="2006"/>
    <n v="10"/>
    <x v="2"/>
    <n v="84"/>
    <n v="254.58342526964253"/>
    <n v="21385.007722649974"/>
  </r>
  <r>
    <n v="1653"/>
    <x v="2"/>
    <x v="88"/>
    <n v="2004"/>
    <n v="5"/>
    <x v="3"/>
    <n v="56"/>
    <n v="170.24926391624365"/>
    <n v="9533.9587793096434"/>
  </r>
  <r>
    <n v="1654"/>
    <x v="0"/>
    <x v="86"/>
    <n v="2004"/>
    <n v="2"/>
    <x v="2"/>
    <n v="92"/>
    <n v="277.26934431778176"/>
    <n v="25508.779677235922"/>
  </r>
  <r>
    <n v="1655"/>
    <x v="0"/>
    <x v="53"/>
    <n v="2004"/>
    <n v="1"/>
    <x v="0"/>
    <n v="25"/>
    <n v="77.553918573002605"/>
    <n v="1938.847964325065"/>
  </r>
  <r>
    <n v="1656"/>
    <x v="0"/>
    <x v="13"/>
    <n v="2005"/>
    <n v="1"/>
    <x v="3"/>
    <n v="67"/>
    <n v="203.0044570204021"/>
    <n v="13601.298620366941"/>
  </r>
  <r>
    <n v="1657"/>
    <x v="8"/>
    <x v="15"/>
    <n v="2004"/>
    <n v="4"/>
    <x v="2"/>
    <n v="75"/>
    <n v="226.86441343955028"/>
    <n v="17014.83100796627"/>
  </r>
  <r>
    <n v="1658"/>
    <x v="6"/>
    <x v="24"/>
    <n v="2005"/>
    <n v="9"/>
    <x v="3"/>
    <n v="14"/>
    <n v="44.140520464612329"/>
    <n v="617.9672865045726"/>
  </r>
  <r>
    <n v="1659"/>
    <x v="5"/>
    <x v="60"/>
    <n v="2005"/>
    <n v="12"/>
    <x v="0"/>
    <n v="48"/>
    <n v="145.81129384316213"/>
    <n v="6998.9421044717819"/>
  </r>
  <r>
    <n v="1660"/>
    <x v="4"/>
    <x v="83"/>
    <n v="2004"/>
    <n v="5"/>
    <x v="1"/>
    <n v="73"/>
    <n v="221.16800423559653"/>
    <n v="16145.264309198546"/>
  </r>
  <r>
    <n v="1661"/>
    <x v="1"/>
    <x v="98"/>
    <n v="2005"/>
    <n v="6"/>
    <x v="1"/>
    <n v="28"/>
    <n v="85.646088345809403"/>
    <n v="2398.0904736826633"/>
  </r>
  <r>
    <n v="1662"/>
    <x v="2"/>
    <x v="5"/>
    <n v="2005"/>
    <n v="11"/>
    <x v="3"/>
    <n v="12"/>
    <n v="38.543998121108487"/>
    <n v="462.52797745330184"/>
  </r>
  <r>
    <n v="1663"/>
    <x v="8"/>
    <x v="21"/>
    <n v="2005"/>
    <n v="5"/>
    <x v="0"/>
    <n v="50"/>
    <n v="152.11340525555411"/>
    <n v="7605.6702627777058"/>
  </r>
  <r>
    <n v="1664"/>
    <x v="5"/>
    <x v="58"/>
    <n v="2006"/>
    <n v="10"/>
    <x v="1"/>
    <n v="-5"/>
    <n v="-12.64098802195692"/>
    <n v="63.204940109784602"/>
  </r>
  <r>
    <n v="1665"/>
    <x v="1"/>
    <x v="49"/>
    <n v="2005"/>
    <n v="1"/>
    <x v="0"/>
    <n v="6"/>
    <n v="19.476233913607583"/>
    <n v="116.85740348164549"/>
  </r>
  <r>
    <n v="1666"/>
    <x v="1"/>
    <x v="2"/>
    <n v="2005"/>
    <n v="2"/>
    <x v="1"/>
    <n v="63"/>
    <n v="190.56862486239569"/>
    <n v="12005.823366330929"/>
  </r>
  <r>
    <n v="1667"/>
    <x v="6"/>
    <x v="62"/>
    <n v="2006"/>
    <n v="6"/>
    <x v="1"/>
    <n v="33"/>
    <n v="100.75324427531469"/>
    <n v="3324.8570610853844"/>
  </r>
  <r>
    <n v="1668"/>
    <x v="8"/>
    <x v="19"/>
    <n v="2004"/>
    <n v="9"/>
    <x v="3"/>
    <n v="61"/>
    <n v="185.16541785072013"/>
    <n v="11295.090488893928"/>
  </r>
  <r>
    <n v="1669"/>
    <x v="4"/>
    <x v="90"/>
    <n v="2004"/>
    <n v="12"/>
    <x v="1"/>
    <n v="16"/>
    <n v="50.709076483884871"/>
    <n v="811.34522374215794"/>
  </r>
  <r>
    <n v="1670"/>
    <x v="7"/>
    <x v="18"/>
    <n v="2006"/>
    <n v="6"/>
    <x v="3"/>
    <n v="15"/>
    <n v="47.142751278135883"/>
    <n v="707.14126917203828"/>
  </r>
  <r>
    <n v="1671"/>
    <x v="4"/>
    <x v="73"/>
    <n v="2006"/>
    <n v="7"/>
    <x v="3"/>
    <n v="-1"/>
    <n v="-0.59949529532525503"/>
    <n v="0.59949529532525503"/>
  </r>
  <r>
    <n v="1672"/>
    <x v="1"/>
    <x v="98"/>
    <n v="2005"/>
    <n v="6"/>
    <x v="0"/>
    <n v="28"/>
    <n v="85.359164284772746"/>
    <n v="2390.0565999736368"/>
  </r>
  <r>
    <n v="1673"/>
    <x v="7"/>
    <x v="58"/>
    <n v="2006"/>
    <n v="10"/>
    <x v="1"/>
    <n v="74"/>
    <n v="223.5358944867458"/>
    <n v="16541.656192019189"/>
  </r>
  <r>
    <n v="1674"/>
    <x v="6"/>
    <x v="15"/>
    <n v="2004"/>
    <n v="4"/>
    <x v="0"/>
    <n v="60"/>
    <n v="182.52957283898829"/>
    <n v="10951.774370339297"/>
  </r>
  <r>
    <n v="1675"/>
    <x v="5"/>
    <x v="21"/>
    <n v="2005"/>
    <n v="5"/>
    <x v="4"/>
    <n v="26"/>
    <n v="79.644787892751594"/>
    <n v="2070.7644852115413"/>
  </r>
  <r>
    <n v="1676"/>
    <x v="1"/>
    <x v="86"/>
    <n v="2004"/>
    <n v="2"/>
    <x v="1"/>
    <n v="41"/>
    <n v="124.80546413554566"/>
    <n v="5117.0240295573722"/>
  </r>
  <r>
    <n v="1677"/>
    <x v="2"/>
    <x v="83"/>
    <n v="2004"/>
    <n v="5"/>
    <x v="0"/>
    <n v="-1"/>
    <n v="-0.72875697552539753"/>
    <n v="0.72875697552539753"/>
  </r>
  <r>
    <n v="1678"/>
    <x v="2"/>
    <x v="8"/>
    <n v="2006"/>
    <n v="7"/>
    <x v="0"/>
    <n v="89"/>
    <n v="268.71620455118574"/>
    <n v="23915.742205055532"/>
  </r>
  <r>
    <n v="1679"/>
    <x v="1"/>
    <x v="38"/>
    <n v="2004"/>
    <n v="6"/>
    <x v="4"/>
    <n v="12"/>
    <n v="38.034373617715126"/>
    <n v="456.41248341258154"/>
  </r>
  <r>
    <n v="1680"/>
    <x v="5"/>
    <x v="81"/>
    <n v="2004"/>
    <n v="10"/>
    <x v="3"/>
    <n v="21"/>
    <n v="65.91159641394708"/>
    <n v="1384.1435246928886"/>
  </r>
  <r>
    <n v="1681"/>
    <x v="7"/>
    <x v="35"/>
    <n v="2006"/>
    <n v="6"/>
    <x v="4"/>
    <n v="23"/>
    <n v="71.518171146886857"/>
    <n v="1644.9179363783978"/>
  </r>
  <r>
    <n v="1682"/>
    <x v="8"/>
    <x v="55"/>
    <n v="2005"/>
    <n v="3"/>
    <x v="1"/>
    <n v="-7"/>
    <n v="-18.640973323270995"/>
    <n v="130.48681326289696"/>
  </r>
  <r>
    <n v="1683"/>
    <x v="0"/>
    <x v="1"/>
    <n v="2004"/>
    <n v="3"/>
    <x v="1"/>
    <n v="35"/>
    <n v="106.65095335657088"/>
    <n v="3732.7833674799808"/>
  </r>
  <r>
    <n v="1684"/>
    <x v="2"/>
    <x v="31"/>
    <n v="2004"/>
    <n v="9"/>
    <x v="4"/>
    <n v="94"/>
    <n v="283.7951382741839"/>
    <n v="26676.742997773286"/>
  </r>
  <r>
    <n v="1685"/>
    <x v="2"/>
    <x v="47"/>
    <n v="2005"/>
    <n v="11"/>
    <x v="3"/>
    <n v="88"/>
    <n v="265.96151267807471"/>
    <n v="23404.613115670574"/>
  </r>
  <r>
    <n v="1686"/>
    <x v="2"/>
    <x v="1"/>
    <n v="2004"/>
    <n v="3"/>
    <x v="2"/>
    <n v="26"/>
    <n v="79.798393656893168"/>
    <n v="2074.7582350792222"/>
  </r>
  <r>
    <n v="1687"/>
    <x v="8"/>
    <x v="77"/>
    <n v="2004"/>
    <n v="7"/>
    <x v="1"/>
    <n v="83"/>
    <n v="250.98698082020448"/>
    <n v="20831.91940807697"/>
  </r>
  <r>
    <n v="1688"/>
    <x v="6"/>
    <x v="18"/>
    <n v="2006"/>
    <n v="6"/>
    <x v="4"/>
    <n v="11"/>
    <n v="34.677474217404566"/>
    <n v="381.45221639145024"/>
  </r>
  <r>
    <n v="1689"/>
    <x v="4"/>
    <x v="14"/>
    <n v="2006"/>
    <n v="9"/>
    <x v="1"/>
    <n v="18"/>
    <n v="56.570167419014545"/>
    <n v="1018.2630135422618"/>
  </r>
  <r>
    <n v="1690"/>
    <x v="3"/>
    <x v="61"/>
    <n v="2005"/>
    <n v="3"/>
    <x v="3"/>
    <n v="90"/>
    <n v="272.35988641044867"/>
    <n v="24512.389776940381"/>
  </r>
  <r>
    <n v="1691"/>
    <x v="4"/>
    <x v="68"/>
    <n v="2005"/>
    <n v="10"/>
    <x v="4"/>
    <n v="12"/>
    <n v="38.358567090515102"/>
    <n v="460.30280508618125"/>
  </r>
  <r>
    <n v="1692"/>
    <x v="4"/>
    <x v="97"/>
    <n v="2004"/>
    <n v="1"/>
    <x v="0"/>
    <n v="39"/>
    <n v="118.63508946594906"/>
    <n v="4626.7684891720137"/>
  </r>
  <r>
    <n v="1693"/>
    <x v="4"/>
    <x v="59"/>
    <n v="2004"/>
    <n v="2"/>
    <x v="2"/>
    <n v="45"/>
    <n v="137.71025367694813"/>
    <n v="6196.9614154626661"/>
  </r>
  <r>
    <n v="1694"/>
    <x v="3"/>
    <x v="23"/>
    <n v="2006"/>
    <n v="12"/>
    <x v="1"/>
    <n v="74"/>
    <n v="223.24261767904073"/>
    <n v="16519.953708249013"/>
  </r>
  <r>
    <n v="1695"/>
    <x v="4"/>
    <x v="95"/>
    <n v="2005"/>
    <n v="7"/>
    <x v="1"/>
    <n v="95"/>
    <n v="286.97940760158696"/>
    <n v="27263.04372215076"/>
  </r>
  <r>
    <n v="1696"/>
    <x v="1"/>
    <x v="38"/>
    <n v="2004"/>
    <n v="6"/>
    <x v="0"/>
    <n v="48"/>
    <n v="145.47941837398358"/>
    <n v="6983.0120819512122"/>
  </r>
  <r>
    <n v="1697"/>
    <x v="0"/>
    <x v="81"/>
    <n v="2004"/>
    <n v="10"/>
    <x v="4"/>
    <n v="-3"/>
    <n v="-7.0556984383694044"/>
    <n v="21.167095315108213"/>
  </r>
  <r>
    <n v="1698"/>
    <x v="5"/>
    <x v="40"/>
    <n v="2005"/>
    <n v="5"/>
    <x v="2"/>
    <n v="92"/>
    <n v="278.51510126549795"/>
    <n v="25623.389316425812"/>
  </r>
  <r>
    <n v="1699"/>
    <x v="3"/>
    <x v="33"/>
    <n v="2005"/>
    <n v="3"/>
    <x v="4"/>
    <n v="17"/>
    <n v="53.278847558385984"/>
    <n v="905.74040849256176"/>
  </r>
  <r>
    <n v="1700"/>
    <x v="1"/>
    <x v="17"/>
    <n v="2004"/>
    <n v="10"/>
    <x v="0"/>
    <n v="45"/>
    <n v="136.31233370896607"/>
    <n v="6134.0550169034732"/>
  </r>
  <r>
    <n v="1701"/>
    <x v="5"/>
    <x v="84"/>
    <n v="2006"/>
    <n v="10"/>
    <x v="2"/>
    <n v="62"/>
    <n v="187.97208926447612"/>
    <n v="11654.269534397519"/>
  </r>
  <r>
    <n v="1702"/>
    <x v="3"/>
    <x v="17"/>
    <n v="2004"/>
    <n v="10"/>
    <x v="1"/>
    <n v="52"/>
    <n v="158.0460445332865"/>
    <n v="8218.3943157308986"/>
  </r>
  <r>
    <n v="1703"/>
    <x v="1"/>
    <x v="64"/>
    <n v="2004"/>
    <n v="5"/>
    <x v="2"/>
    <n v="73"/>
    <n v="221.23952830258372"/>
    <n v="16150.485566088611"/>
  </r>
  <r>
    <n v="1704"/>
    <x v="8"/>
    <x v="95"/>
    <n v="2005"/>
    <n v="7"/>
    <x v="2"/>
    <n v="38"/>
    <n v="116.53981147745662"/>
    <n v="4428.5128361433517"/>
  </r>
  <r>
    <n v="1705"/>
    <x v="1"/>
    <x v="60"/>
    <n v="2005"/>
    <n v="12"/>
    <x v="3"/>
    <n v="0"/>
    <n v="1.7059716699737852"/>
    <n v="0"/>
  </r>
  <r>
    <n v="1706"/>
    <x v="7"/>
    <x v="81"/>
    <n v="2004"/>
    <n v="10"/>
    <x v="3"/>
    <n v="70"/>
    <n v="211.80942925062229"/>
    <n v="14826.660047543561"/>
  </r>
  <r>
    <n v="1707"/>
    <x v="8"/>
    <x v="69"/>
    <n v="2005"/>
    <n v="5"/>
    <x v="1"/>
    <n v="-8"/>
    <n v="-22.16452981425434"/>
    <n v="177.31623851403472"/>
  </r>
  <r>
    <n v="1708"/>
    <x v="8"/>
    <x v="16"/>
    <n v="2006"/>
    <n v="4"/>
    <x v="3"/>
    <n v="65"/>
    <n v="196.94966457435572"/>
    <n v="12801.728197333123"/>
  </r>
  <r>
    <n v="1709"/>
    <x v="8"/>
    <x v="66"/>
    <n v="2006"/>
    <n v="11"/>
    <x v="0"/>
    <n v="-5"/>
    <n v="-12.235172213399022"/>
    <n v="61.175861066995111"/>
  </r>
  <r>
    <n v="1710"/>
    <x v="8"/>
    <x v="57"/>
    <n v="2005"/>
    <n v="7"/>
    <x v="1"/>
    <n v="34"/>
    <n v="104.46148815266854"/>
    <n v="3551.6905971907304"/>
  </r>
  <r>
    <n v="1711"/>
    <x v="4"/>
    <x v="28"/>
    <n v="2006"/>
    <n v="3"/>
    <x v="0"/>
    <n v="72"/>
    <n v="217.88587173222501"/>
    <n v="15687.782764720201"/>
  </r>
  <r>
    <n v="1712"/>
    <x v="7"/>
    <x v="78"/>
    <n v="2005"/>
    <n v="2"/>
    <x v="3"/>
    <n v="-1"/>
    <n v="-0.65444775995364735"/>
    <n v="0.65444775995364735"/>
  </r>
  <r>
    <n v="1713"/>
    <x v="6"/>
    <x v="44"/>
    <n v="2005"/>
    <n v="12"/>
    <x v="0"/>
    <n v="40"/>
    <n v="122.14268476291653"/>
    <n v="4885.7073905166617"/>
  </r>
  <r>
    <n v="1714"/>
    <x v="1"/>
    <x v="29"/>
    <n v="2006"/>
    <n v="9"/>
    <x v="4"/>
    <n v="65"/>
    <n v="196.70486780051661"/>
    <n v="12785.816407033579"/>
  </r>
  <r>
    <n v="1715"/>
    <x v="8"/>
    <x v="8"/>
    <n v="2006"/>
    <n v="7"/>
    <x v="0"/>
    <n v="77"/>
    <n v="232.41740522130286"/>
    <n v="17896.140202040318"/>
  </r>
  <r>
    <n v="1716"/>
    <x v="7"/>
    <x v="91"/>
    <n v="2006"/>
    <n v="4"/>
    <x v="4"/>
    <n v="51"/>
    <n v="155.00139731564644"/>
    <n v="7905.0712630979688"/>
  </r>
  <r>
    <n v="1717"/>
    <x v="3"/>
    <x v="37"/>
    <n v="2005"/>
    <n v="4"/>
    <x v="1"/>
    <n v="-9"/>
    <n v="-25.103275559538364"/>
    <n v="225.92948003584527"/>
  </r>
  <r>
    <n v="1718"/>
    <x v="7"/>
    <x v="55"/>
    <n v="2005"/>
    <n v="3"/>
    <x v="4"/>
    <n v="17"/>
    <n v="52.732870933394423"/>
    <n v="896.45880586770522"/>
  </r>
  <r>
    <n v="1719"/>
    <x v="2"/>
    <x v="37"/>
    <n v="2005"/>
    <n v="4"/>
    <x v="3"/>
    <n v="11"/>
    <n v="34.806777506140598"/>
    <n v="382.87455256754657"/>
  </r>
  <r>
    <n v="1720"/>
    <x v="6"/>
    <x v="35"/>
    <n v="2006"/>
    <n v="6"/>
    <x v="0"/>
    <n v="40"/>
    <n v="121.64869809891456"/>
    <n v="4865.9479239565826"/>
  </r>
  <r>
    <n v="1721"/>
    <x v="2"/>
    <x v="65"/>
    <n v="2005"/>
    <n v="8"/>
    <x v="1"/>
    <n v="67"/>
    <n v="202.72483169959665"/>
    <n v="13582.563723872976"/>
  </r>
  <r>
    <n v="1722"/>
    <x v="8"/>
    <x v="57"/>
    <n v="2005"/>
    <n v="7"/>
    <x v="2"/>
    <n v="79"/>
    <n v="239.25066766148794"/>
    <n v="18900.802745257548"/>
  </r>
  <r>
    <n v="1723"/>
    <x v="3"/>
    <x v="83"/>
    <n v="2004"/>
    <n v="5"/>
    <x v="1"/>
    <n v="-7"/>
    <n v="-19.159862376296054"/>
    <n v="134.11903663407239"/>
  </r>
  <r>
    <n v="1724"/>
    <x v="3"/>
    <x v="40"/>
    <n v="2005"/>
    <n v="5"/>
    <x v="4"/>
    <n v="72"/>
    <n v="218.05969697818949"/>
    <n v="15700.298182429644"/>
  </r>
  <r>
    <n v="1725"/>
    <x v="4"/>
    <x v="57"/>
    <n v="2005"/>
    <n v="7"/>
    <x v="3"/>
    <n v="53"/>
    <n v="160.76900841046421"/>
    <n v="8520.7574457546034"/>
  </r>
  <r>
    <n v="1726"/>
    <x v="6"/>
    <x v="8"/>
    <n v="2006"/>
    <n v="7"/>
    <x v="3"/>
    <n v="35"/>
    <n v="107.40939275823844"/>
    <n v="3759.3287465383455"/>
  </r>
  <r>
    <n v="1727"/>
    <x v="2"/>
    <x v="79"/>
    <n v="2006"/>
    <n v="11"/>
    <x v="0"/>
    <n v="39"/>
    <n v="118.67053890819109"/>
    <n v="4628.1510174194527"/>
  </r>
  <r>
    <n v="1728"/>
    <x v="4"/>
    <x v="77"/>
    <n v="2004"/>
    <n v="7"/>
    <x v="4"/>
    <n v="-7"/>
    <n v="-19.354078968263273"/>
    <n v="135.47855277784291"/>
  </r>
  <r>
    <n v="1729"/>
    <x v="5"/>
    <x v="4"/>
    <n v="2004"/>
    <n v="6"/>
    <x v="3"/>
    <n v="68"/>
    <n v="206.3442384317722"/>
    <n v="14031.40821336051"/>
  </r>
  <r>
    <n v="1730"/>
    <x v="6"/>
    <x v="17"/>
    <n v="2004"/>
    <n v="10"/>
    <x v="3"/>
    <n v="86"/>
    <n v="260.29001268034375"/>
    <n v="22384.941090509561"/>
  </r>
  <r>
    <n v="1731"/>
    <x v="0"/>
    <x v="12"/>
    <n v="2005"/>
    <n v="8"/>
    <x v="2"/>
    <n v="84"/>
    <n v="254.77631099529688"/>
    <n v="21401.210123604938"/>
  </r>
  <r>
    <n v="1732"/>
    <x v="5"/>
    <x v="66"/>
    <n v="2006"/>
    <n v="11"/>
    <x v="4"/>
    <n v="6"/>
    <n v="19.965040351983745"/>
    <n v="119.79024211190247"/>
  </r>
  <r>
    <n v="1733"/>
    <x v="0"/>
    <x v="56"/>
    <n v="2006"/>
    <n v="1"/>
    <x v="2"/>
    <n v="-5"/>
    <n v="-12.772394146444128"/>
    <n v="63.861970732220641"/>
  </r>
  <r>
    <n v="1734"/>
    <x v="5"/>
    <x v="99"/>
    <n v="2006"/>
    <n v="4"/>
    <x v="0"/>
    <n v="22"/>
    <n v="67.936736058497871"/>
    <n v="1494.6081932869531"/>
  </r>
  <r>
    <n v="1735"/>
    <x v="0"/>
    <x v="44"/>
    <n v="2005"/>
    <n v="12"/>
    <x v="3"/>
    <n v="29"/>
    <n v="89.114636106343568"/>
    <n v="2584.3244470839636"/>
  </r>
  <r>
    <n v="1736"/>
    <x v="8"/>
    <x v="22"/>
    <n v="2004"/>
    <n v="11"/>
    <x v="0"/>
    <n v="3"/>
    <n v="10.889833668586128"/>
    <n v="32.669501005758384"/>
  </r>
  <r>
    <n v="1737"/>
    <x v="2"/>
    <x v="28"/>
    <n v="2006"/>
    <n v="3"/>
    <x v="3"/>
    <n v="88"/>
    <n v="265.52523967441095"/>
    <n v="23366.221091348165"/>
  </r>
  <r>
    <n v="1738"/>
    <x v="6"/>
    <x v="2"/>
    <n v="2005"/>
    <n v="2"/>
    <x v="3"/>
    <n v="41"/>
    <n v="124.98924123949018"/>
    <n v="5124.5588908190975"/>
  </r>
  <r>
    <n v="1739"/>
    <x v="7"/>
    <x v="54"/>
    <n v="2005"/>
    <n v="2"/>
    <x v="1"/>
    <n v="59"/>
    <n v="178.83628019769552"/>
    <n v="10551.340531664035"/>
  </r>
  <r>
    <n v="1740"/>
    <x v="7"/>
    <x v="71"/>
    <n v="2004"/>
    <n v="10"/>
    <x v="4"/>
    <n v="29"/>
    <n v="89.261658607480399"/>
    <n v="2588.5880996169317"/>
  </r>
  <r>
    <n v="1741"/>
    <x v="2"/>
    <x v="59"/>
    <n v="2004"/>
    <n v="2"/>
    <x v="4"/>
    <n v="43"/>
    <n v="130.29965520792396"/>
    <n v="5602.8851739407301"/>
  </r>
  <r>
    <n v="1742"/>
    <x v="8"/>
    <x v="91"/>
    <n v="2006"/>
    <n v="4"/>
    <x v="0"/>
    <n v="75"/>
    <n v="227.51732588951381"/>
    <n v="17063.799441713534"/>
  </r>
  <r>
    <n v="1743"/>
    <x v="0"/>
    <x v="89"/>
    <n v="2004"/>
    <n v="8"/>
    <x v="4"/>
    <n v="40"/>
    <n v="121.70811716084982"/>
    <n v="4868.3246864339926"/>
  </r>
  <r>
    <n v="1744"/>
    <x v="8"/>
    <x v="11"/>
    <n v="2004"/>
    <n v="11"/>
    <x v="4"/>
    <n v="78"/>
    <n v="235.886562763272"/>
    <n v="18399.151895535215"/>
  </r>
  <r>
    <n v="1745"/>
    <x v="3"/>
    <x v="61"/>
    <n v="2005"/>
    <n v="3"/>
    <x v="3"/>
    <n v="38"/>
    <n v="115.79763515244602"/>
    <n v="4400.310135792949"/>
  </r>
  <r>
    <n v="1746"/>
    <x v="6"/>
    <x v="98"/>
    <n v="2005"/>
    <n v="6"/>
    <x v="4"/>
    <n v="-3"/>
    <n v="-6.3542907791353951"/>
    <n v="19.062872337406183"/>
  </r>
  <r>
    <n v="1747"/>
    <x v="1"/>
    <x v="74"/>
    <n v="2004"/>
    <n v="4"/>
    <x v="1"/>
    <n v="34"/>
    <n v="103.8978672415664"/>
    <n v="3532.5274862132578"/>
  </r>
  <r>
    <n v="1748"/>
    <x v="2"/>
    <x v="88"/>
    <n v="2004"/>
    <n v="5"/>
    <x v="3"/>
    <n v="85"/>
    <n v="256.4457111777549"/>
    <n v="21797.885450109166"/>
  </r>
  <r>
    <n v="1749"/>
    <x v="5"/>
    <x v="26"/>
    <n v="2005"/>
    <n v="11"/>
    <x v="1"/>
    <n v="70"/>
    <n v="212.02897469121848"/>
    <n v="14842.028228385294"/>
  </r>
  <r>
    <n v="1750"/>
    <x v="6"/>
    <x v="79"/>
    <n v="2006"/>
    <n v="11"/>
    <x v="3"/>
    <n v="86"/>
    <n v="259.75727876328739"/>
    <n v="22339.125973642716"/>
  </r>
  <r>
    <n v="1751"/>
    <x v="8"/>
    <x v="7"/>
    <n v="2006"/>
    <n v="12"/>
    <x v="1"/>
    <n v="47"/>
    <n v="142.93190581421757"/>
    <n v="6717.7995732682257"/>
  </r>
  <r>
    <n v="1752"/>
    <x v="4"/>
    <x v="62"/>
    <n v="2006"/>
    <n v="6"/>
    <x v="2"/>
    <n v="20"/>
    <n v="62.6034037824639"/>
    <n v="1252.0680756492779"/>
  </r>
  <r>
    <n v="1753"/>
    <x v="7"/>
    <x v="83"/>
    <n v="2004"/>
    <n v="5"/>
    <x v="4"/>
    <n v="33"/>
    <n v="101.41906626440009"/>
    <n v="3346.8291867252028"/>
  </r>
  <r>
    <n v="1754"/>
    <x v="5"/>
    <x v="22"/>
    <n v="2004"/>
    <n v="11"/>
    <x v="4"/>
    <n v="-10"/>
    <n v="-27.865488210965292"/>
    <n v="278.65488210965293"/>
  </r>
  <r>
    <n v="1755"/>
    <x v="8"/>
    <x v="23"/>
    <n v="2006"/>
    <n v="12"/>
    <x v="0"/>
    <n v="40"/>
    <n v="122.39966734312085"/>
    <n v="4895.9866937248344"/>
  </r>
  <r>
    <n v="1756"/>
    <x v="6"/>
    <x v="87"/>
    <n v="2004"/>
    <n v="7"/>
    <x v="1"/>
    <n v="13"/>
    <n v="40.440362188704526"/>
    <n v="525.72470845315888"/>
  </r>
  <r>
    <n v="1757"/>
    <x v="2"/>
    <x v="93"/>
    <n v="2006"/>
    <n v="8"/>
    <x v="0"/>
    <n v="20"/>
    <n v="62.159874636859705"/>
    <n v="1243.1974927371941"/>
  </r>
  <r>
    <n v="1758"/>
    <x v="6"/>
    <x v="86"/>
    <n v="2004"/>
    <n v="2"/>
    <x v="3"/>
    <n v="22"/>
    <n v="68.778643754081543"/>
    <n v="1513.1301625897941"/>
  </r>
  <r>
    <n v="1759"/>
    <x v="3"/>
    <x v="27"/>
    <n v="2005"/>
    <n v="9"/>
    <x v="1"/>
    <n v="91"/>
    <n v="275.56378169889956"/>
    <n v="25076.304134599861"/>
  </r>
  <r>
    <n v="1760"/>
    <x v="0"/>
    <x v="46"/>
    <n v="2006"/>
    <n v="5"/>
    <x v="0"/>
    <n v="17"/>
    <n v="53.536546154185139"/>
    <n v="910.12128462114731"/>
  </r>
  <r>
    <n v="1761"/>
    <x v="3"/>
    <x v="22"/>
    <n v="2004"/>
    <n v="11"/>
    <x v="0"/>
    <n v="77"/>
    <n v="232.78300193286029"/>
    <n v="17924.291148830242"/>
  </r>
  <r>
    <n v="1762"/>
    <x v="5"/>
    <x v="23"/>
    <n v="2006"/>
    <n v="12"/>
    <x v="4"/>
    <n v="8"/>
    <n v="25.170033543748811"/>
    <n v="201.36026834999049"/>
  </r>
  <r>
    <n v="1763"/>
    <x v="2"/>
    <x v="65"/>
    <n v="2005"/>
    <n v="8"/>
    <x v="3"/>
    <n v="-1"/>
    <n v="-0.68878150112298231"/>
    <n v="0.68878150112298231"/>
  </r>
  <r>
    <n v="1764"/>
    <x v="1"/>
    <x v="98"/>
    <n v="2005"/>
    <n v="6"/>
    <x v="0"/>
    <n v="52"/>
    <n v="158.074363782803"/>
    <n v="8219.866916705756"/>
  </r>
  <r>
    <n v="1765"/>
    <x v="8"/>
    <x v="12"/>
    <n v="2005"/>
    <n v="8"/>
    <x v="4"/>
    <n v="50"/>
    <n v="152.59801251978521"/>
    <n v="7629.9006259892603"/>
  </r>
  <r>
    <n v="1766"/>
    <x v="8"/>
    <x v="35"/>
    <n v="2006"/>
    <n v="6"/>
    <x v="1"/>
    <n v="69"/>
    <n v="209.27458050780132"/>
    <n v="14439.94605503829"/>
  </r>
  <r>
    <n v="1767"/>
    <x v="6"/>
    <x v="18"/>
    <n v="2006"/>
    <n v="6"/>
    <x v="4"/>
    <n v="-10"/>
    <n v="-28.429474612283389"/>
    <n v="284.29474612283389"/>
  </r>
  <r>
    <n v="1768"/>
    <x v="3"/>
    <x v="31"/>
    <n v="2004"/>
    <n v="9"/>
    <x v="1"/>
    <n v="-10"/>
    <n v="-27.787426760377638"/>
    <n v="277.87426760377639"/>
  </r>
  <r>
    <n v="1769"/>
    <x v="7"/>
    <x v="72"/>
    <n v="2005"/>
    <n v="10"/>
    <x v="4"/>
    <n v="90"/>
    <n v="272.47244684275518"/>
    <n v="24522.520215847966"/>
  </r>
  <r>
    <n v="1770"/>
    <x v="2"/>
    <x v="76"/>
    <n v="2006"/>
    <n v="11"/>
    <x v="1"/>
    <n v="-4"/>
    <n v="-9.8005201872550316"/>
    <n v="39.202080749020126"/>
  </r>
  <r>
    <n v="1771"/>
    <x v="0"/>
    <x v="63"/>
    <n v="2006"/>
    <n v="8"/>
    <x v="0"/>
    <n v="14"/>
    <n v="44.066692086610537"/>
    <n v="616.93368921254751"/>
  </r>
  <r>
    <n v="1772"/>
    <x v="6"/>
    <x v="60"/>
    <n v="2005"/>
    <n v="12"/>
    <x v="0"/>
    <n v="13"/>
    <n v="41.651608836226835"/>
    <n v="541.47091487094883"/>
  </r>
  <r>
    <n v="1773"/>
    <x v="4"/>
    <x v="87"/>
    <n v="2004"/>
    <n v="7"/>
    <x v="1"/>
    <n v="-10"/>
    <n v="-27.449007372488328"/>
    <n v="274.4900737248833"/>
  </r>
  <r>
    <n v="1774"/>
    <x v="8"/>
    <x v="54"/>
    <n v="2005"/>
    <n v="2"/>
    <x v="1"/>
    <n v="81"/>
    <n v="244.96209724909312"/>
    <n v="19841.929877176543"/>
  </r>
  <r>
    <n v="1775"/>
    <x v="0"/>
    <x v="13"/>
    <n v="2005"/>
    <n v="1"/>
    <x v="1"/>
    <n v="91"/>
    <n v="274.01633323079733"/>
    <n v="24935.486324002555"/>
  </r>
  <r>
    <n v="1776"/>
    <x v="5"/>
    <x v="50"/>
    <n v="2004"/>
    <n v="12"/>
    <x v="0"/>
    <n v="7"/>
    <n v="23.096103574094034"/>
    <n v="161.67272501865824"/>
  </r>
  <r>
    <n v="1777"/>
    <x v="0"/>
    <x v="60"/>
    <n v="2005"/>
    <n v="12"/>
    <x v="3"/>
    <n v="95"/>
    <n v="286.4091350392265"/>
    <n v="27208.867828726517"/>
  </r>
  <r>
    <n v="1778"/>
    <x v="4"/>
    <x v="70"/>
    <n v="2006"/>
    <n v="3"/>
    <x v="4"/>
    <n v="7"/>
    <n v="23.460398451433193"/>
    <n v="164.22278916003233"/>
  </r>
  <r>
    <n v="1779"/>
    <x v="6"/>
    <x v="37"/>
    <n v="2005"/>
    <n v="4"/>
    <x v="4"/>
    <n v="9"/>
    <n v="29.496709116948491"/>
    <n v="265.47038205253642"/>
  </r>
  <r>
    <n v="1780"/>
    <x v="6"/>
    <x v="88"/>
    <n v="2004"/>
    <n v="5"/>
    <x v="1"/>
    <n v="16"/>
    <n v="50.32304691843445"/>
    <n v="805.1687506949512"/>
  </r>
  <r>
    <n v="1781"/>
    <x v="2"/>
    <x v="2"/>
    <n v="2005"/>
    <n v="2"/>
    <x v="0"/>
    <n v="37"/>
    <n v="112.6423668975758"/>
    <n v="4167.7675752103041"/>
  </r>
  <r>
    <n v="1782"/>
    <x v="8"/>
    <x v="58"/>
    <n v="2006"/>
    <n v="10"/>
    <x v="0"/>
    <n v="38"/>
    <n v="115.86694350408794"/>
    <n v="4402.9438531553415"/>
  </r>
  <r>
    <n v="1783"/>
    <x v="0"/>
    <x v="14"/>
    <n v="2006"/>
    <n v="9"/>
    <x v="2"/>
    <n v="43"/>
    <n v="130.38058732657913"/>
    <n v="5606.3652550429024"/>
  </r>
  <r>
    <n v="1784"/>
    <x v="8"/>
    <x v="8"/>
    <n v="2006"/>
    <n v="7"/>
    <x v="4"/>
    <n v="-5"/>
    <n v="-12.649706737241745"/>
    <n v="63.248533686208724"/>
  </r>
  <r>
    <n v="1785"/>
    <x v="6"/>
    <x v="76"/>
    <n v="2006"/>
    <n v="11"/>
    <x v="3"/>
    <n v="9"/>
    <n v="28.951087924744211"/>
    <n v="260.55979132269789"/>
  </r>
  <r>
    <n v="1786"/>
    <x v="0"/>
    <x v="56"/>
    <n v="2006"/>
    <n v="1"/>
    <x v="0"/>
    <n v="-9"/>
    <n v="-24.653364515512152"/>
    <n v="221.88028063960937"/>
  </r>
  <r>
    <n v="1787"/>
    <x v="7"/>
    <x v="12"/>
    <n v="2005"/>
    <n v="8"/>
    <x v="2"/>
    <n v="24"/>
    <n v="74.611228324097638"/>
    <n v="1790.6694797783434"/>
  </r>
  <r>
    <n v="1788"/>
    <x v="8"/>
    <x v="88"/>
    <n v="2004"/>
    <n v="5"/>
    <x v="0"/>
    <n v="30"/>
    <n v="91.370060380593657"/>
    <n v="2741.1018114178096"/>
  </r>
  <r>
    <n v="1789"/>
    <x v="5"/>
    <x v="44"/>
    <n v="2005"/>
    <n v="12"/>
    <x v="0"/>
    <n v="83"/>
    <n v="250.84508105520038"/>
    <n v="20820.141727581631"/>
  </r>
  <r>
    <n v="1790"/>
    <x v="6"/>
    <x v="6"/>
    <n v="2004"/>
    <n v="3"/>
    <x v="0"/>
    <n v="90"/>
    <n v="271.87067701120321"/>
    <n v="24468.36093100829"/>
  </r>
  <r>
    <n v="1791"/>
    <x v="4"/>
    <x v="55"/>
    <n v="2005"/>
    <n v="3"/>
    <x v="3"/>
    <n v="82"/>
    <n v="248.22787993853669"/>
    <n v="20354.686154960007"/>
  </r>
  <r>
    <n v="1792"/>
    <x v="1"/>
    <x v="72"/>
    <n v="2005"/>
    <n v="10"/>
    <x v="3"/>
    <n v="51"/>
    <n v="155.23329282201692"/>
    <n v="7916.8979339228626"/>
  </r>
  <r>
    <n v="1793"/>
    <x v="8"/>
    <x v="42"/>
    <n v="2004"/>
    <n v="1"/>
    <x v="0"/>
    <n v="66"/>
    <n v="200.12511432116293"/>
    <n v="13208.257545196753"/>
  </r>
  <r>
    <n v="1794"/>
    <x v="6"/>
    <x v="82"/>
    <n v="2005"/>
    <n v="12"/>
    <x v="4"/>
    <n v="29"/>
    <n v="89.016407302334798"/>
    <n v="2581.4758117677093"/>
  </r>
  <r>
    <n v="1795"/>
    <x v="2"/>
    <x v="68"/>
    <n v="2005"/>
    <n v="10"/>
    <x v="0"/>
    <n v="93"/>
    <n v="280.87456053220649"/>
    <n v="26121.334129495204"/>
  </r>
  <r>
    <n v="1796"/>
    <x v="7"/>
    <x v="84"/>
    <n v="2006"/>
    <n v="10"/>
    <x v="3"/>
    <n v="-3"/>
    <n v="-6.5419840395963593"/>
    <n v="19.62595211878908"/>
  </r>
  <r>
    <n v="1797"/>
    <x v="2"/>
    <x v="29"/>
    <n v="2006"/>
    <n v="9"/>
    <x v="0"/>
    <n v="-2"/>
    <n v="-3.6355111778913436"/>
    <n v="7.2710223557826872"/>
  </r>
  <r>
    <n v="1798"/>
    <x v="5"/>
    <x v="71"/>
    <n v="2004"/>
    <n v="10"/>
    <x v="2"/>
    <n v="79"/>
    <n v="239.25077929031391"/>
    <n v="18900.8115639348"/>
  </r>
  <r>
    <n v="1799"/>
    <x v="0"/>
    <x v="30"/>
    <n v="2006"/>
    <n v="12"/>
    <x v="0"/>
    <n v="31"/>
    <n v="94.72145499265082"/>
    <n v="2936.3651047721755"/>
  </r>
  <r>
    <n v="1800"/>
    <x v="1"/>
    <x v="69"/>
    <n v="2005"/>
    <n v="5"/>
    <x v="1"/>
    <n v="46"/>
    <n v="140.21517548818187"/>
    <n v="6449.8980724563662"/>
  </r>
  <r>
    <n v="1801"/>
    <x v="6"/>
    <x v="30"/>
    <n v="2006"/>
    <n v="12"/>
    <x v="1"/>
    <n v="93"/>
    <n v="281.78560885336435"/>
    <n v="26206.061623362886"/>
  </r>
  <r>
    <n v="1802"/>
    <x v="6"/>
    <x v="1"/>
    <n v="2004"/>
    <n v="3"/>
    <x v="0"/>
    <n v="82"/>
    <n v="247.0191820862224"/>
    <n v="20255.572931070237"/>
  </r>
  <r>
    <n v="1803"/>
    <x v="8"/>
    <x v="23"/>
    <n v="2006"/>
    <n v="12"/>
    <x v="2"/>
    <n v="87"/>
    <n v="263.71733330819893"/>
    <n v="22943.407997813309"/>
  </r>
  <r>
    <n v="1804"/>
    <x v="2"/>
    <x v="90"/>
    <n v="2004"/>
    <n v="12"/>
    <x v="1"/>
    <n v="62"/>
    <n v="187.56768751552113"/>
    <n v="11629.19662596231"/>
  </r>
  <r>
    <n v="1805"/>
    <x v="5"/>
    <x v="50"/>
    <n v="2004"/>
    <n v="12"/>
    <x v="1"/>
    <n v="31"/>
    <n v="94.571992971518611"/>
    <n v="2931.7317821170768"/>
  </r>
  <r>
    <n v="1806"/>
    <x v="2"/>
    <x v="45"/>
    <n v="2004"/>
    <n v="8"/>
    <x v="4"/>
    <n v="43"/>
    <n v="131.33084322347369"/>
    <n v="5647.2262586093684"/>
  </r>
  <r>
    <n v="1807"/>
    <x v="5"/>
    <x v="22"/>
    <n v="2004"/>
    <n v="11"/>
    <x v="0"/>
    <n v="78"/>
    <n v="236.44038982169729"/>
    <n v="18442.350406092388"/>
  </r>
  <r>
    <n v="1808"/>
    <x v="5"/>
    <x v="96"/>
    <n v="2004"/>
    <n v="7"/>
    <x v="0"/>
    <n v="-1"/>
    <n v="-0.44195721388362097"/>
    <n v="0.44195721388362097"/>
  </r>
  <r>
    <n v="1809"/>
    <x v="3"/>
    <x v="1"/>
    <n v="2004"/>
    <n v="3"/>
    <x v="2"/>
    <n v="5"/>
    <n v="17.469809541800071"/>
    <n v="87.349047709000359"/>
  </r>
  <r>
    <n v="1810"/>
    <x v="5"/>
    <x v="3"/>
    <n v="2006"/>
    <n v="5"/>
    <x v="2"/>
    <n v="30"/>
    <n v="92.310265407731023"/>
    <n v="2769.3079622319306"/>
  </r>
  <r>
    <n v="1811"/>
    <x v="1"/>
    <x v="91"/>
    <n v="2006"/>
    <n v="4"/>
    <x v="3"/>
    <n v="65"/>
    <n v="197.17585549268185"/>
    <n v="12816.43060702432"/>
  </r>
  <r>
    <n v="1812"/>
    <x v="8"/>
    <x v="46"/>
    <n v="2006"/>
    <n v="5"/>
    <x v="4"/>
    <n v="14"/>
    <n v="43.795902693300988"/>
    <n v="613.1426377062138"/>
  </r>
  <r>
    <n v="1813"/>
    <x v="8"/>
    <x v="5"/>
    <n v="2005"/>
    <n v="11"/>
    <x v="1"/>
    <n v="10"/>
    <n v="31.259562735955448"/>
    <n v="312.5956273595545"/>
  </r>
  <r>
    <n v="1814"/>
    <x v="0"/>
    <x v="1"/>
    <n v="2004"/>
    <n v="3"/>
    <x v="2"/>
    <n v="31"/>
    <n v="94.729581013275251"/>
    <n v="2936.617011411533"/>
  </r>
  <r>
    <n v="1815"/>
    <x v="0"/>
    <x v="91"/>
    <n v="2006"/>
    <n v="4"/>
    <x v="4"/>
    <n v="25"/>
    <n v="77.103127744417094"/>
    <n v="1927.5781936104274"/>
  </r>
  <r>
    <n v="1816"/>
    <x v="0"/>
    <x v="61"/>
    <n v="2005"/>
    <n v="3"/>
    <x v="2"/>
    <n v="11"/>
    <n v="35.295636570052608"/>
    <n v="388.25200227057871"/>
  </r>
  <r>
    <n v="1817"/>
    <x v="0"/>
    <x v="53"/>
    <n v="2004"/>
    <n v="1"/>
    <x v="1"/>
    <n v="62"/>
    <n v="187.51222635081746"/>
    <n v="11625.758033750682"/>
  </r>
  <r>
    <n v="1818"/>
    <x v="2"/>
    <x v="97"/>
    <n v="2004"/>
    <n v="1"/>
    <x v="1"/>
    <n v="4"/>
    <n v="14.186481337467258"/>
    <n v="56.745925349869033"/>
  </r>
  <r>
    <n v="1819"/>
    <x v="3"/>
    <x v="29"/>
    <n v="2006"/>
    <n v="9"/>
    <x v="3"/>
    <n v="4"/>
    <n v="13.713847194878378"/>
    <n v="54.855388779513511"/>
  </r>
  <r>
    <n v="1820"/>
    <x v="5"/>
    <x v="5"/>
    <n v="2005"/>
    <n v="11"/>
    <x v="0"/>
    <n v="71"/>
    <n v="215.12149125217519"/>
    <n v="15273.625878904439"/>
  </r>
  <r>
    <n v="1821"/>
    <x v="7"/>
    <x v="3"/>
    <n v="2006"/>
    <n v="5"/>
    <x v="2"/>
    <n v="67"/>
    <n v="203.18155970987976"/>
    <n v="13613.164500561945"/>
  </r>
  <r>
    <n v="1822"/>
    <x v="6"/>
    <x v="92"/>
    <n v="2005"/>
    <n v="4"/>
    <x v="0"/>
    <n v="19"/>
    <n v="59.451848680441209"/>
    <n v="1129.585124928383"/>
  </r>
  <r>
    <n v="1823"/>
    <x v="8"/>
    <x v="51"/>
    <n v="2005"/>
    <n v="6"/>
    <x v="0"/>
    <n v="12"/>
    <n v="37.634507305486729"/>
    <n v="451.61408766584077"/>
  </r>
  <r>
    <n v="1824"/>
    <x v="3"/>
    <x v="35"/>
    <n v="2006"/>
    <n v="6"/>
    <x v="0"/>
    <n v="50"/>
    <n v="151.66817286074655"/>
    <n v="7583.4086430373272"/>
  </r>
  <r>
    <n v="1825"/>
    <x v="0"/>
    <x v="75"/>
    <n v="2006"/>
    <n v="2"/>
    <x v="2"/>
    <n v="73"/>
    <n v="221.23251800803121"/>
    <n v="16149.973814586278"/>
  </r>
  <r>
    <n v="1826"/>
    <x v="8"/>
    <x v="63"/>
    <n v="2006"/>
    <n v="8"/>
    <x v="2"/>
    <n v="30"/>
    <n v="91.686808812711931"/>
    <n v="2750.604264381358"/>
  </r>
  <r>
    <n v="1827"/>
    <x v="2"/>
    <x v="31"/>
    <n v="2004"/>
    <n v="9"/>
    <x v="4"/>
    <n v="19"/>
    <n v="59.101466872333368"/>
    <n v="1122.9278705743341"/>
  </r>
  <r>
    <n v="1828"/>
    <x v="7"/>
    <x v="98"/>
    <n v="2005"/>
    <n v="6"/>
    <x v="3"/>
    <n v="48"/>
    <n v="145.21747547077908"/>
    <n v="6970.4388225973962"/>
  </r>
  <r>
    <n v="1829"/>
    <x v="1"/>
    <x v="3"/>
    <n v="2006"/>
    <n v="5"/>
    <x v="4"/>
    <n v="-8"/>
    <n v="-21.602633683096364"/>
    <n v="172.82106946477091"/>
  </r>
  <r>
    <n v="1830"/>
    <x v="8"/>
    <x v="63"/>
    <n v="2006"/>
    <n v="8"/>
    <x v="0"/>
    <n v="-8"/>
    <n v="-22.143532028061156"/>
    <n v="177.14825622448924"/>
  </r>
  <r>
    <n v="1831"/>
    <x v="8"/>
    <x v="55"/>
    <n v="2005"/>
    <n v="3"/>
    <x v="0"/>
    <n v="28"/>
    <n v="85.906767980675738"/>
    <n v="2405.3895034589204"/>
  </r>
  <r>
    <n v="1832"/>
    <x v="3"/>
    <x v="24"/>
    <n v="2005"/>
    <n v="9"/>
    <x v="4"/>
    <n v="81"/>
    <n v="245.21311554699477"/>
    <n v="19862.262359306576"/>
  </r>
  <r>
    <n v="1833"/>
    <x v="3"/>
    <x v="94"/>
    <n v="2005"/>
    <n v="1"/>
    <x v="0"/>
    <n v="12"/>
    <n v="37.991916032039505"/>
    <n v="455.90299238447403"/>
  </r>
  <r>
    <n v="1834"/>
    <x v="3"/>
    <x v="52"/>
    <n v="2006"/>
    <n v="3"/>
    <x v="3"/>
    <n v="54"/>
    <n v="164.03373721658585"/>
    <n v="8857.8218096956352"/>
  </r>
  <r>
    <n v="1835"/>
    <x v="3"/>
    <x v="40"/>
    <n v="2005"/>
    <n v="5"/>
    <x v="1"/>
    <n v="70"/>
    <n v="212.30572042127932"/>
    <n v="14861.400429489553"/>
  </r>
  <r>
    <n v="1836"/>
    <x v="3"/>
    <x v="39"/>
    <n v="2005"/>
    <n v="8"/>
    <x v="3"/>
    <n v="89"/>
    <n v="269.07289128480653"/>
    <n v="23947.487324347781"/>
  </r>
  <r>
    <n v="1837"/>
    <x v="5"/>
    <x v="27"/>
    <n v="2005"/>
    <n v="9"/>
    <x v="1"/>
    <n v="10"/>
    <n v="32.271941209300522"/>
    <n v="322.71941209300519"/>
  </r>
  <r>
    <n v="1838"/>
    <x v="0"/>
    <x v="42"/>
    <n v="2004"/>
    <n v="1"/>
    <x v="1"/>
    <n v="52"/>
    <n v="158.17581888720281"/>
    <n v="8225.1425821345456"/>
  </r>
  <r>
    <n v="1839"/>
    <x v="5"/>
    <x v="32"/>
    <n v="2005"/>
    <n v="7"/>
    <x v="4"/>
    <n v="85"/>
    <n v="257.81669173781398"/>
    <n v="21914.418797714188"/>
  </r>
  <r>
    <n v="1840"/>
    <x v="2"/>
    <x v="51"/>
    <n v="2005"/>
    <n v="6"/>
    <x v="1"/>
    <n v="31"/>
    <n v="93.983701954495999"/>
    <n v="2913.4947605893758"/>
  </r>
  <r>
    <n v="1841"/>
    <x v="6"/>
    <x v="70"/>
    <n v="2006"/>
    <n v="3"/>
    <x v="4"/>
    <n v="36"/>
    <n v="110.02990284078979"/>
    <n v="3961.0765022684323"/>
  </r>
  <r>
    <n v="1842"/>
    <x v="4"/>
    <x v="15"/>
    <n v="2004"/>
    <n v="4"/>
    <x v="0"/>
    <n v="80"/>
    <n v="241.83353913915346"/>
    <n v="19346.683131132275"/>
  </r>
  <r>
    <n v="1843"/>
    <x v="4"/>
    <x v="57"/>
    <n v="2005"/>
    <n v="7"/>
    <x v="4"/>
    <n v="27"/>
    <n v="82.455751292325587"/>
    <n v="2226.305284892791"/>
  </r>
  <r>
    <n v="1844"/>
    <x v="5"/>
    <x v="88"/>
    <n v="2004"/>
    <n v="5"/>
    <x v="1"/>
    <n v="46"/>
    <n v="140.39446141212673"/>
    <n v="6458.1452249578297"/>
  </r>
  <r>
    <n v="1845"/>
    <x v="5"/>
    <x v="87"/>
    <n v="2004"/>
    <n v="7"/>
    <x v="1"/>
    <n v="29"/>
    <n v="89.577515368145924"/>
    <n v="2597.7479456762317"/>
  </r>
  <r>
    <n v="1846"/>
    <x v="7"/>
    <x v="75"/>
    <n v="2006"/>
    <n v="2"/>
    <x v="0"/>
    <n v="55"/>
    <n v="167.03601910379061"/>
    <n v="9186.981050708484"/>
  </r>
  <r>
    <n v="1847"/>
    <x v="6"/>
    <x v="31"/>
    <n v="2004"/>
    <n v="9"/>
    <x v="4"/>
    <n v="2"/>
    <n v="7.3173645509019103"/>
    <n v="14.634729101803821"/>
  </r>
  <r>
    <n v="1848"/>
    <x v="0"/>
    <x v="35"/>
    <n v="2006"/>
    <n v="6"/>
    <x v="1"/>
    <n v="60"/>
    <n v="182.39254500689876"/>
    <n v="10943.552700413926"/>
  </r>
  <r>
    <n v="1849"/>
    <x v="3"/>
    <x v="57"/>
    <n v="2005"/>
    <n v="7"/>
    <x v="0"/>
    <n v="12"/>
    <n v="37.851664258571823"/>
    <n v="454.2199711028619"/>
  </r>
  <r>
    <n v="1850"/>
    <x v="7"/>
    <x v="83"/>
    <n v="2004"/>
    <n v="5"/>
    <x v="4"/>
    <n v="52"/>
    <n v="157.88309865957618"/>
    <n v="8209.921130297962"/>
  </r>
  <r>
    <n v="1851"/>
    <x v="2"/>
    <x v="74"/>
    <n v="2004"/>
    <n v="4"/>
    <x v="0"/>
    <n v="37"/>
    <n v="113.27390397366521"/>
    <n v="4191.1344470256126"/>
  </r>
  <r>
    <n v="1852"/>
    <x v="2"/>
    <x v="19"/>
    <n v="2004"/>
    <n v="9"/>
    <x v="2"/>
    <n v="36"/>
    <n v="110.51900033744339"/>
    <n v="3978.6840121479618"/>
  </r>
  <r>
    <n v="1853"/>
    <x v="8"/>
    <x v="74"/>
    <n v="2004"/>
    <n v="4"/>
    <x v="0"/>
    <n v="87"/>
    <n v="262.81312845180031"/>
    <n v="22864.742175306626"/>
  </r>
  <r>
    <n v="1854"/>
    <x v="5"/>
    <x v="20"/>
    <n v="2006"/>
    <n v="2"/>
    <x v="4"/>
    <n v="16"/>
    <n v="50.279574486289519"/>
    <n v="804.47319178063231"/>
  </r>
  <r>
    <n v="1855"/>
    <x v="6"/>
    <x v="95"/>
    <n v="2005"/>
    <n v="7"/>
    <x v="0"/>
    <n v="50"/>
    <n v="152.12593577749263"/>
    <n v="7606.2967888746316"/>
  </r>
  <r>
    <n v="1856"/>
    <x v="1"/>
    <x v="20"/>
    <n v="2006"/>
    <n v="2"/>
    <x v="4"/>
    <n v="53"/>
    <n v="160.62764519173885"/>
    <n v="8513.2651951621592"/>
  </r>
  <r>
    <n v="1857"/>
    <x v="8"/>
    <x v="64"/>
    <n v="2004"/>
    <n v="5"/>
    <x v="1"/>
    <n v="61"/>
    <n v="184.76093809619837"/>
    <n v="11270.4172238681"/>
  </r>
  <r>
    <n v="1858"/>
    <x v="2"/>
    <x v="32"/>
    <n v="2005"/>
    <n v="7"/>
    <x v="1"/>
    <n v="95"/>
    <n v="286.82526300294711"/>
    <n v="27248.399985279975"/>
  </r>
  <r>
    <n v="1859"/>
    <x v="4"/>
    <x v="89"/>
    <n v="2004"/>
    <n v="8"/>
    <x v="2"/>
    <n v="-6"/>
    <n v="-16.589394597675682"/>
    <n v="99.536367586054098"/>
  </r>
  <r>
    <n v="1860"/>
    <x v="6"/>
    <x v="45"/>
    <n v="2004"/>
    <n v="8"/>
    <x v="0"/>
    <n v="-9"/>
    <n v="-24.760053633714985"/>
    <n v="222.84048270343487"/>
  </r>
  <r>
    <n v="1861"/>
    <x v="5"/>
    <x v="70"/>
    <n v="2006"/>
    <n v="3"/>
    <x v="3"/>
    <n v="74"/>
    <n v="223.82751177660725"/>
    <n v="16563.235871468936"/>
  </r>
  <r>
    <n v="1862"/>
    <x v="1"/>
    <x v="44"/>
    <n v="2005"/>
    <n v="12"/>
    <x v="0"/>
    <n v="18"/>
    <n v="55.524146786750528"/>
    <n v="999.43464216150949"/>
  </r>
  <r>
    <n v="1863"/>
    <x v="3"/>
    <x v="52"/>
    <n v="2006"/>
    <n v="3"/>
    <x v="3"/>
    <n v="73"/>
    <n v="220.67063477706461"/>
    <n v="16108.956338725717"/>
  </r>
  <r>
    <n v="1864"/>
    <x v="6"/>
    <x v="90"/>
    <n v="2004"/>
    <n v="12"/>
    <x v="3"/>
    <n v="62"/>
    <n v="188.42678187961798"/>
    <n v="11682.460476536315"/>
  </r>
  <r>
    <n v="1865"/>
    <x v="4"/>
    <x v="8"/>
    <n v="2006"/>
    <n v="7"/>
    <x v="1"/>
    <n v="-2"/>
    <n v="-3.5924377444896751"/>
    <n v="7.1848754889793502"/>
  </r>
  <r>
    <n v="1866"/>
    <x v="5"/>
    <x v="58"/>
    <n v="2006"/>
    <n v="10"/>
    <x v="1"/>
    <n v="-7"/>
    <n v="-18.939063444337712"/>
    <n v="132.57344411036399"/>
  </r>
  <r>
    <n v="1867"/>
    <x v="5"/>
    <x v="63"/>
    <n v="2006"/>
    <n v="8"/>
    <x v="4"/>
    <n v="73"/>
    <n v="220.77421208293487"/>
    <n v="16116.517482054245"/>
  </r>
  <r>
    <n v="1868"/>
    <x v="1"/>
    <x v="37"/>
    <n v="2005"/>
    <n v="4"/>
    <x v="3"/>
    <n v="24"/>
    <n v="73.585989082063819"/>
    <n v="1766.0637379695318"/>
  </r>
  <r>
    <n v="1869"/>
    <x v="0"/>
    <x v="68"/>
    <n v="2005"/>
    <n v="10"/>
    <x v="2"/>
    <n v="18"/>
    <n v="56.084454934208836"/>
    <n v="1009.5201888157591"/>
  </r>
  <r>
    <n v="1870"/>
    <x v="1"/>
    <x v="66"/>
    <n v="2006"/>
    <n v="11"/>
    <x v="4"/>
    <n v="49"/>
    <n v="149.40493820151829"/>
    <n v="7320.8419718743962"/>
  </r>
  <r>
    <n v="1871"/>
    <x v="8"/>
    <x v="13"/>
    <n v="2005"/>
    <n v="1"/>
    <x v="4"/>
    <n v="21"/>
    <n v="64.683872648507389"/>
    <n v="1358.3613256186552"/>
  </r>
  <r>
    <n v="1872"/>
    <x v="4"/>
    <x v="83"/>
    <n v="2004"/>
    <n v="5"/>
    <x v="1"/>
    <n v="2"/>
    <n v="7.9938401735771141"/>
    <n v="15.987680347154228"/>
  </r>
  <r>
    <n v="1873"/>
    <x v="8"/>
    <x v="11"/>
    <n v="2004"/>
    <n v="11"/>
    <x v="1"/>
    <n v="83"/>
    <n v="250.87539350545751"/>
    <n v="20822.657660952973"/>
  </r>
  <r>
    <n v="1874"/>
    <x v="4"/>
    <x v="13"/>
    <n v="2005"/>
    <n v="1"/>
    <x v="0"/>
    <n v="63"/>
    <n v="191.14760672109483"/>
    <n v="12042.299223428974"/>
  </r>
  <r>
    <n v="1875"/>
    <x v="5"/>
    <x v="86"/>
    <n v="2004"/>
    <n v="2"/>
    <x v="2"/>
    <n v="54"/>
    <n v="163.86628539020685"/>
    <n v="8848.7794110711693"/>
  </r>
  <r>
    <n v="1876"/>
    <x v="4"/>
    <x v="31"/>
    <n v="2004"/>
    <n v="9"/>
    <x v="0"/>
    <n v="19"/>
    <n v="59.715260847522721"/>
    <n v="1134.5899561029316"/>
  </r>
  <r>
    <n v="1877"/>
    <x v="8"/>
    <x v="31"/>
    <n v="2004"/>
    <n v="9"/>
    <x v="3"/>
    <n v="66"/>
    <n v="199.3615971018873"/>
    <n v="13157.865408724561"/>
  </r>
  <r>
    <n v="1878"/>
    <x v="0"/>
    <x v="64"/>
    <n v="2004"/>
    <n v="5"/>
    <x v="0"/>
    <n v="60"/>
    <n v="182.28071376505659"/>
    <n v="10936.842825903395"/>
  </r>
  <r>
    <n v="1879"/>
    <x v="2"/>
    <x v="63"/>
    <n v="2006"/>
    <n v="8"/>
    <x v="3"/>
    <n v="90"/>
    <n v="271.85208039455387"/>
    <n v="24466.687235509849"/>
  </r>
  <r>
    <n v="1880"/>
    <x v="6"/>
    <x v="7"/>
    <n v="2006"/>
    <n v="12"/>
    <x v="0"/>
    <n v="59"/>
    <n v="178.65030230399057"/>
    <n v="10540.367835935444"/>
  </r>
  <r>
    <n v="1881"/>
    <x v="6"/>
    <x v="68"/>
    <n v="2005"/>
    <n v="10"/>
    <x v="1"/>
    <n v="0"/>
    <n v="2.6560689007562872"/>
    <n v="0"/>
  </r>
  <r>
    <n v="1882"/>
    <x v="7"/>
    <x v="6"/>
    <n v="2004"/>
    <n v="3"/>
    <x v="1"/>
    <n v="72"/>
    <n v="217.90015045055327"/>
    <n v="15688.810832439834"/>
  </r>
  <r>
    <n v="1883"/>
    <x v="0"/>
    <x v="87"/>
    <n v="2004"/>
    <n v="7"/>
    <x v="0"/>
    <n v="-6"/>
    <n v="-15.735959690520316"/>
    <n v="94.415758143121892"/>
  </r>
  <r>
    <n v="1884"/>
    <x v="1"/>
    <x v="3"/>
    <n v="2006"/>
    <n v="5"/>
    <x v="0"/>
    <n v="89"/>
    <n v="269.39552816852074"/>
    <n v="23976.202006998345"/>
  </r>
  <r>
    <n v="1885"/>
    <x v="2"/>
    <x v="46"/>
    <n v="2006"/>
    <n v="5"/>
    <x v="0"/>
    <n v="12"/>
    <n v="37.837711255972984"/>
    <n v="454.05253507167583"/>
  </r>
  <r>
    <n v="1886"/>
    <x v="5"/>
    <x v="39"/>
    <n v="2005"/>
    <n v="8"/>
    <x v="4"/>
    <n v="89"/>
    <n v="269.14754282019447"/>
    <n v="23954.131310997309"/>
  </r>
  <r>
    <n v="1887"/>
    <x v="3"/>
    <x v="92"/>
    <n v="2005"/>
    <n v="4"/>
    <x v="0"/>
    <n v="61"/>
    <n v="185.3147883164014"/>
    <n v="11304.202087300486"/>
  </r>
  <r>
    <n v="1888"/>
    <x v="4"/>
    <x v="95"/>
    <n v="2005"/>
    <n v="7"/>
    <x v="3"/>
    <n v="24"/>
    <n v="73.811151860326262"/>
    <n v="1771.4676446478302"/>
  </r>
  <r>
    <n v="1889"/>
    <x v="6"/>
    <x v="66"/>
    <n v="2006"/>
    <n v="11"/>
    <x v="3"/>
    <n v="76"/>
    <n v="229.9178081264337"/>
    <n v="17473.753417608961"/>
  </r>
  <r>
    <n v="1890"/>
    <x v="8"/>
    <x v="41"/>
    <n v="2005"/>
    <n v="6"/>
    <x v="1"/>
    <n v="16"/>
    <n v="49.753987400329763"/>
    <n v="796.0637984052762"/>
  </r>
  <r>
    <n v="1891"/>
    <x v="0"/>
    <x v="37"/>
    <n v="2005"/>
    <n v="4"/>
    <x v="1"/>
    <n v="39"/>
    <n v="119.18883187506967"/>
    <n v="4648.3644431277171"/>
  </r>
  <r>
    <n v="1892"/>
    <x v="8"/>
    <x v="34"/>
    <n v="2006"/>
    <n v="2"/>
    <x v="4"/>
    <n v="92"/>
    <n v="278.43491112447333"/>
    <n v="25616.011823451547"/>
  </r>
  <r>
    <n v="1893"/>
    <x v="8"/>
    <x v="96"/>
    <n v="2004"/>
    <n v="7"/>
    <x v="1"/>
    <n v="20"/>
    <n v="61.923857472779041"/>
    <n v="1238.4771494555807"/>
  </r>
  <r>
    <n v="1894"/>
    <x v="4"/>
    <x v="83"/>
    <n v="2004"/>
    <n v="5"/>
    <x v="0"/>
    <n v="60"/>
    <n v="181.87034788891373"/>
    <n v="10912.220873334823"/>
  </r>
  <r>
    <n v="1895"/>
    <x v="6"/>
    <x v="5"/>
    <n v="2005"/>
    <n v="11"/>
    <x v="3"/>
    <n v="15"/>
    <n v="47.161022333179389"/>
    <n v="707.41533499769082"/>
  </r>
  <r>
    <n v="1896"/>
    <x v="2"/>
    <x v="54"/>
    <n v="2005"/>
    <n v="2"/>
    <x v="1"/>
    <n v="36"/>
    <n v="109.84259915039922"/>
    <n v="3954.3335694143721"/>
  </r>
  <r>
    <n v="1897"/>
    <x v="4"/>
    <x v="47"/>
    <n v="2005"/>
    <n v="11"/>
    <x v="0"/>
    <n v="46"/>
    <n v="140.4088993575123"/>
    <n v="6458.8093704455659"/>
  </r>
  <r>
    <n v="1898"/>
    <x v="3"/>
    <x v="53"/>
    <n v="2004"/>
    <n v="1"/>
    <x v="2"/>
    <n v="72"/>
    <n v="217.83588624347365"/>
    <n v="15684.183809530103"/>
  </r>
  <r>
    <n v="1899"/>
    <x v="1"/>
    <x v="79"/>
    <n v="2006"/>
    <n v="11"/>
    <x v="3"/>
    <n v="28"/>
    <n v="85.656829526557672"/>
    <n v="2398.3912267436149"/>
  </r>
  <r>
    <n v="1900"/>
    <x v="5"/>
    <x v="62"/>
    <n v="2006"/>
    <n v="6"/>
    <x v="3"/>
    <n v="54"/>
    <n v="164.48733423141368"/>
    <n v="8882.3160484963391"/>
  </r>
  <r>
    <n v="1901"/>
    <x v="2"/>
    <x v="100"/>
    <n v="2020"/>
    <n v="7"/>
    <x v="0"/>
    <n v="26"/>
    <n v="87.25"/>
    <n v="2268.5"/>
  </r>
  <r>
    <n v="1902"/>
    <x v="2"/>
    <x v="101"/>
    <n v="2020"/>
    <n v="3"/>
    <x v="3"/>
    <n v="46"/>
    <n v="65.760000000000005"/>
    <n v="3024.96"/>
  </r>
  <r>
    <n v="1903"/>
    <x v="2"/>
    <x v="102"/>
    <n v="2020"/>
    <n v="8"/>
    <x v="1"/>
    <n v="68"/>
    <n v="70.25"/>
    <n v="4777"/>
  </r>
  <r>
    <n v="1904"/>
    <x v="2"/>
    <x v="103"/>
    <n v="2020"/>
    <n v="6"/>
    <x v="2"/>
    <n v="95"/>
    <n v="39.950000000000003"/>
    <n v="3795.2500000000005"/>
  </r>
  <r>
    <n v="1905"/>
    <x v="2"/>
    <x v="104"/>
    <n v="2020"/>
    <n v="2"/>
    <x v="4"/>
    <n v="112"/>
    <n v="42.5"/>
    <n v="4760"/>
  </r>
  <r>
    <n v="1906"/>
    <x v="0"/>
    <x v="105"/>
    <n v="2020"/>
    <n v="1"/>
    <x v="2"/>
    <n v="115"/>
    <n v="42.5"/>
    <n v="4887.5"/>
  </r>
  <r>
    <n v="1907"/>
    <x v="0"/>
    <x v="106"/>
    <n v="2020"/>
    <n v="4"/>
    <x v="1"/>
    <n v="78"/>
    <n v="65.2"/>
    <n v="5085.6000000000004"/>
  </r>
  <r>
    <n v="1908"/>
    <x v="0"/>
    <x v="107"/>
    <n v="2020"/>
    <n v="7"/>
    <x v="3"/>
    <n v="72"/>
    <n v="65"/>
    <n v="4680"/>
  </r>
  <r>
    <n v="1909"/>
    <x v="0"/>
    <x v="102"/>
    <n v="2020"/>
    <n v="8"/>
    <x v="0"/>
    <n v="46"/>
    <n v="69"/>
    <n v="3174"/>
  </r>
  <r>
    <n v="1910"/>
    <x v="0"/>
    <x v="108"/>
    <n v="2020"/>
    <n v="4"/>
    <x v="4"/>
    <n v="62"/>
    <n v="89.45"/>
    <n v="5545.9000000000005"/>
  </r>
  <r>
    <n v="1911"/>
    <x v="8"/>
    <x v="109"/>
    <n v="2020"/>
    <n v="4"/>
    <x v="0"/>
    <n v="52"/>
    <n v="67.849999999999994"/>
    <n v="3528.2"/>
  </r>
  <r>
    <n v="1912"/>
    <x v="8"/>
    <x v="110"/>
    <n v="2020"/>
    <n v="6"/>
    <x v="3"/>
    <n v="35"/>
    <n v="59.45"/>
    <n v="2080.75"/>
  </r>
  <r>
    <n v="1913"/>
    <x v="8"/>
    <x v="111"/>
    <n v="2020"/>
    <n v="4"/>
    <x v="1"/>
    <n v="47"/>
    <n v="65.45"/>
    <n v="3076.15"/>
  </r>
  <r>
    <n v="1914"/>
    <x v="8"/>
    <x v="112"/>
    <n v="2020"/>
    <n v="4"/>
    <x v="4"/>
    <n v="52"/>
    <n v="60.25"/>
    <n v="3133"/>
  </r>
  <r>
    <n v="1915"/>
    <x v="8"/>
    <x v="113"/>
    <n v="2020"/>
    <n v="9"/>
    <x v="2"/>
    <n v="46"/>
    <n v="59.35"/>
    <n v="2730.1"/>
  </r>
  <r>
    <n v="1916"/>
    <x v="4"/>
    <x v="114"/>
    <n v="2020"/>
    <n v="3"/>
    <x v="4"/>
    <n v="39"/>
    <n v="59.95"/>
    <n v="2338.0500000000002"/>
  </r>
  <r>
    <n v="1917"/>
    <x v="4"/>
    <x v="115"/>
    <n v="2020"/>
    <n v="5"/>
    <x v="2"/>
    <n v="62"/>
    <n v="45.6"/>
    <n v="2827.2000000000003"/>
  </r>
  <r>
    <n v="1918"/>
    <x v="4"/>
    <x v="116"/>
    <n v="2020"/>
    <n v="11"/>
    <x v="0"/>
    <n v="70"/>
    <n v="45.5"/>
    <n v="3185"/>
  </r>
  <r>
    <n v="1919"/>
    <x v="4"/>
    <x v="117"/>
    <n v="2020"/>
    <n v="8"/>
    <x v="1"/>
    <n v="56"/>
    <n v="67.25"/>
    <n v="3766"/>
  </r>
  <r>
    <n v="1920"/>
    <x v="4"/>
    <x v="118"/>
    <n v="2020"/>
    <n v="5"/>
    <x v="3"/>
    <n v="59"/>
    <n v="55.45"/>
    <n v="3271.55"/>
  </r>
  <r>
    <n v="1921"/>
    <x v="5"/>
    <x v="119"/>
    <n v="2020"/>
    <n v="6"/>
    <x v="4"/>
    <n v="42"/>
    <n v="110.59"/>
    <n v="4644.78"/>
  </r>
  <r>
    <n v="1922"/>
    <x v="5"/>
    <x v="120"/>
    <n v="2020"/>
    <n v="8"/>
    <x v="2"/>
    <n v="67"/>
    <n v="119.75"/>
    <n v="8023.25"/>
  </r>
  <r>
    <n v="1923"/>
    <x v="5"/>
    <x v="121"/>
    <n v="2020"/>
    <n v="3"/>
    <x v="0"/>
    <n v="45"/>
    <n v="79.95"/>
    <n v="3597.75"/>
  </r>
  <r>
    <n v="1924"/>
    <x v="5"/>
    <x v="122"/>
    <n v="2020"/>
    <n v="9"/>
    <x v="1"/>
    <n v="80"/>
    <n v="56.98"/>
    <n v="4558.3999999999996"/>
  </r>
  <r>
    <n v="1925"/>
    <x v="5"/>
    <x v="123"/>
    <n v="2020"/>
    <n v="11"/>
    <x v="3"/>
    <n v="59"/>
    <n v="76"/>
    <n v="4484"/>
  </r>
  <r>
    <n v="1926"/>
    <x v="9"/>
    <x v="124"/>
    <n v="2020"/>
    <n v="10"/>
    <x v="4"/>
    <n v="95"/>
    <n v="45.85"/>
    <n v="4355.75"/>
  </r>
  <r>
    <n v="1927"/>
    <x v="9"/>
    <x v="125"/>
    <n v="2020"/>
    <n v="12"/>
    <x v="2"/>
    <n v="120"/>
    <n v="45.98"/>
    <n v="5517.5999999999995"/>
  </r>
  <r>
    <n v="1928"/>
    <x v="9"/>
    <x v="126"/>
    <n v="2020"/>
    <n v="11"/>
    <x v="0"/>
    <n v="69"/>
    <n v="62.99"/>
    <n v="4346.3100000000004"/>
  </r>
  <r>
    <n v="1929"/>
    <x v="9"/>
    <x v="127"/>
    <n v="2020"/>
    <n v="12"/>
    <x v="1"/>
    <n v="78"/>
    <n v="87.99"/>
    <n v="6863.2199999999993"/>
  </r>
  <r>
    <n v="1930"/>
    <x v="9"/>
    <x v="128"/>
    <n v="2020"/>
    <n v="6"/>
    <x v="3"/>
    <n v="34"/>
    <n v="65.989999999999995"/>
    <n v="2243.66"/>
  </r>
  <r>
    <n v="1931"/>
    <x v="10"/>
    <x v="129"/>
    <n v="2020"/>
    <n v="2"/>
    <x v="4"/>
    <n v="45"/>
    <n v="89.29"/>
    <n v="4018.05"/>
  </r>
  <r>
    <n v="1932"/>
    <x v="10"/>
    <x v="130"/>
    <n v="2020"/>
    <n v="4"/>
    <x v="2"/>
    <n v="60"/>
    <n v="56.25"/>
    <n v="3375"/>
  </r>
  <r>
    <n v="1933"/>
    <x v="10"/>
    <x v="102"/>
    <n v="2020"/>
    <n v="8"/>
    <x v="0"/>
    <n v="71"/>
    <n v="45.9"/>
    <n v="3258.9"/>
  </r>
  <r>
    <n v="1934"/>
    <x v="10"/>
    <x v="131"/>
    <n v="2020"/>
    <n v="10"/>
    <x v="1"/>
    <n v="60"/>
    <n v="65.45"/>
    <n v="3927"/>
  </r>
  <r>
    <n v="1935"/>
    <x v="10"/>
    <x v="132"/>
    <n v="2020"/>
    <n v="1"/>
    <x v="3"/>
    <n v="82"/>
    <n v="116.45"/>
    <n v="9548.9"/>
  </r>
  <r>
    <n v="1936"/>
    <x v="2"/>
    <x v="133"/>
    <n v="2020"/>
    <n v="4"/>
    <x v="4"/>
    <n v="69"/>
    <n v="110"/>
    <n v="7590"/>
  </r>
  <r>
    <n v="1937"/>
    <x v="2"/>
    <x v="134"/>
    <n v="2020"/>
    <n v="11"/>
    <x v="1"/>
    <n v="60"/>
    <n v="76.849999999999994"/>
    <n v="4611"/>
  </r>
  <r>
    <n v="1938"/>
    <x v="0"/>
    <x v="100"/>
    <n v="2020"/>
    <n v="7"/>
    <x v="0"/>
    <n v="56"/>
    <n v="95"/>
    <n v="5320"/>
  </r>
  <r>
    <n v="1939"/>
    <x v="8"/>
    <x v="115"/>
    <n v="2020"/>
    <n v="5"/>
    <x v="2"/>
    <n v="72"/>
    <n v="45"/>
    <n v="3240"/>
  </r>
  <r>
    <n v="1940"/>
    <x v="9"/>
    <x v="135"/>
    <n v="2020"/>
    <n v="10"/>
    <x v="3"/>
    <n v="70"/>
    <n v="67"/>
    <n v="4690"/>
  </r>
  <r>
    <n v="1941"/>
    <x v="5"/>
    <x v="136"/>
    <n v="2020"/>
    <n v="12"/>
    <x v="1"/>
    <n v="28"/>
    <n v="116"/>
    <n v="3248"/>
  </r>
  <r>
    <n v="1942"/>
    <x v="0"/>
    <x v="137"/>
    <n v="2020"/>
    <n v="9"/>
    <x v="4"/>
    <n v="52"/>
    <n v="76"/>
    <n v="3952"/>
  </r>
  <r>
    <n v="1943"/>
    <x v="2"/>
    <x v="138"/>
    <n v="2020"/>
    <n v="5"/>
    <x v="4"/>
    <n v="45"/>
    <n v="62"/>
    <n v="2790"/>
  </r>
  <r>
    <n v="1944"/>
    <x v="2"/>
    <x v="139"/>
    <n v="2020"/>
    <n v="3"/>
    <x v="2"/>
    <n v="52"/>
    <n v="80"/>
    <n v="4160"/>
  </r>
  <r>
    <n v="1945"/>
    <x v="2"/>
    <x v="131"/>
    <n v="2020"/>
    <n v="10"/>
    <x v="0"/>
    <n v="48"/>
    <n v="39.950000000000003"/>
    <n v="1917.6000000000001"/>
  </r>
  <r>
    <n v="1946"/>
    <x v="2"/>
    <x v="140"/>
    <n v="2020"/>
    <n v="11"/>
    <x v="1"/>
    <n v="59"/>
    <n v="82"/>
    <n v="4838"/>
  </r>
  <r>
    <n v="1947"/>
    <x v="2"/>
    <x v="141"/>
    <n v="2020"/>
    <n v="6"/>
    <x v="3"/>
    <n v="50"/>
    <n v="79.849999999999994"/>
    <n v="3992.4999999999995"/>
  </r>
  <r>
    <n v="1948"/>
    <x v="0"/>
    <x v="114"/>
    <n v="2020"/>
    <n v="3"/>
    <x v="4"/>
    <n v="29"/>
    <n v="62.75"/>
    <n v="1819.75"/>
  </r>
  <r>
    <n v="1949"/>
    <x v="0"/>
    <x v="142"/>
    <n v="2020"/>
    <n v="4"/>
    <x v="2"/>
    <n v="45"/>
    <n v="60"/>
    <n v="2700"/>
  </r>
  <r>
    <n v="1950"/>
    <x v="0"/>
    <x v="143"/>
    <n v="2020"/>
    <n v="8"/>
    <x v="0"/>
    <n v="53"/>
    <n v="85.45"/>
    <n v="4528.8500000000004"/>
  </r>
  <r>
    <n v="1951"/>
    <x v="0"/>
    <x v="144"/>
    <n v="2020"/>
    <n v="10"/>
    <x v="1"/>
    <n v="45"/>
    <n v="85.95"/>
    <n v="3867.75"/>
  </r>
  <r>
    <n v="1952"/>
    <x v="0"/>
    <x v="145"/>
    <n v="2020"/>
    <n v="1"/>
    <x v="3"/>
    <n v="50"/>
    <n v="45.95"/>
    <n v="2297.5"/>
  </r>
  <r>
    <n v="1953"/>
    <x v="8"/>
    <x v="146"/>
    <n v="2020"/>
    <n v="7"/>
    <x v="4"/>
    <n v="62"/>
    <n v="76.989999999999995"/>
    <n v="4773.38"/>
  </r>
  <r>
    <n v="1954"/>
    <x v="8"/>
    <x v="147"/>
    <n v="2020"/>
    <n v="8"/>
    <x v="2"/>
    <n v="52"/>
    <n v="48.99"/>
    <n v="2547.48"/>
  </r>
  <r>
    <n v="1955"/>
    <x v="8"/>
    <x v="146"/>
    <n v="2020"/>
    <n v="7"/>
    <x v="0"/>
    <n v="25"/>
    <n v="39.5"/>
    <n v="987.5"/>
  </r>
  <r>
    <n v="1956"/>
    <x v="8"/>
    <x v="148"/>
    <n v="2020"/>
    <n v="3"/>
    <x v="1"/>
    <n v="37"/>
    <n v="65"/>
    <n v="2405"/>
  </r>
  <r>
    <n v="1957"/>
    <x v="8"/>
    <x v="149"/>
    <n v="2020"/>
    <n v="6"/>
    <x v="3"/>
    <n v="52"/>
    <n v="80"/>
    <n v="4160"/>
  </r>
  <r>
    <n v="1958"/>
    <x v="4"/>
    <x v="150"/>
    <n v="2020"/>
    <n v="3"/>
    <x v="4"/>
    <n v="65"/>
    <n v="89.99"/>
    <n v="5849.3499999999995"/>
  </r>
  <r>
    <n v="1959"/>
    <x v="4"/>
    <x v="151"/>
    <n v="2020"/>
    <n v="3"/>
    <x v="2"/>
    <n v="49"/>
    <n v="59.99"/>
    <n v="2939.51"/>
  </r>
  <r>
    <n v="1960"/>
    <x v="4"/>
    <x v="152"/>
    <n v="2020"/>
    <n v="10"/>
    <x v="0"/>
    <n v="65"/>
    <n v="29.95"/>
    <n v="1946.75"/>
  </r>
  <r>
    <n v="1961"/>
    <x v="4"/>
    <x v="153"/>
    <n v="2020"/>
    <n v="9"/>
    <x v="1"/>
    <n v="38"/>
    <n v="59.99"/>
    <n v="2279.62"/>
  </r>
  <r>
    <n v="1962"/>
    <x v="4"/>
    <x v="154"/>
    <n v="2020"/>
    <n v="10"/>
    <x v="3"/>
    <n v="47"/>
    <n v="55.95"/>
    <n v="2629.65"/>
  </r>
  <r>
    <n v="1963"/>
    <x v="5"/>
    <x v="132"/>
    <n v="2020"/>
    <n v="1"/>
    <x v="4"/>
    <n v="36"/>
    <n v="86.95"/>
    <n v="3130.2000000000003"/>
  </r>
  <r>
    <n v="1964"/>
    <x v="5"/>
    <x v="155"/>
    <n v="2020"/>
    <n v="6"/>
    <x v="2"/>
    <n v="45"/>
    <n v="126.5"/>
    <n v="5692.5"/>
  </r>
  <r>
    <n v="1965"/>
    <x v="5"/>
    <x v="156"/>
    <n v="2020"/>
    <n v="7"/>
    <x v="0"/>
    <n v="56"/>
    <n v="78"/>
    <n v="4368"/>
  </r>
  <r>
    <n v="1966"/>
    <x v="5"/>
    <x v="146"/>
    <n v="2020"/>
    <n v="7"/>
    <x v="1"/>
    <n v="60"/>
    <n v="56.5"/>
    <n v="3390"/>
  </r>
  <r>
    <n v="1967"/>
    <x v="5"/>
    <x v="157"/>
    <n v="2020"/>
    <n v="3"/>
    <x v="3"/>
    <n v="65"/>
    <n v="39.950000000000003"/>
    <n v="2596.75"/>
  </r>
  <r>
    <n v="1968"/>
    <x v="9"/>
    <x v="158"/>
    <n v="2020"/>
    <n v="8"/>
    <x v="4"/>
    <n v="46"/>
    <n v="89"/>
    <n v="4094"/>
  </r>
  <r>
    <n v="1969"/>
    <x v="9"/>
    <x v="159"/>
    <n v="2020"/>
    <n v="7"/>
    <x v="2"/>
    <n v="72"/>
    <n v="59.95"/>
    <n v="4316.4000000000005"/>
  </r>
  <r>
    <n v="1970"/>
    <x v="9"/>
    <x v="160"/>
    <n v="2020"/>
    <n v="2"/>
    <x v="0"/>
    <n v="65"/>
    <n v="76"/>
    <n v="4940"/>
  </r>
  <r>
    <n v="1971"/>
    <x v="9"/>
    <x v="161"/>
    <n v="2020"/>
    <n v="3"/>
    <x v="1"/>
    <n v="36"/>
    <n v="74.989999999999995"/>
    <n v="2699.64"/>
  </r>
  <r>
    <n v="1972"/>
    <x v="9"/>
    <x v="138"/>
    <n v="2020"/>
    <n v="5"/>
    <x v="3"/>
    <n v="46"/>
    <n v="46.55"/>
    <n v="2141.2999999999997"/>
  </r>
  <r>
    <n v="1973"/>
    <x v="10"/>
    <x v="162"/>
    <n v="2020"/>
    <n v="1"/>
    <x v="4"/>
    <n v="47"/>
    <n v="85"/>
    <n v="3995"/>
  </r>
  <r>
    <n v="1974"/>
    <x v="10"/>
    <x v="163"/>
    <n v="2020"/>
    <n v="8"/>
    <x v="2"/>
    <n v="38"/>
    <n v="39"/>
    <n v="1482"/>
  </r>
  <r>
    <n v="1975"/>
    <x v="10"/>
    <x v="164"/>
    <n v="2020"/>
    <n v="8"/>
    <x v="0"/>
    <n v="29"/>
    <n v="49.55"/>
    <n v="1436.9499999999998"/>
  </r>
  <r>
    <n v="1976"/>
    <x v="10"/>
    <x v="165"/>
    <n v="2020"/>
    <n v="5"/>
    <x v="1"/>
    <n v="45"/>
    <n v="68.95"/>
    <n v="3102.75"/>
  </r>
  <r>
    <n v="1977"/>
    <x v="10"/>
    <x v="142"/>
    <n v="2020"/>
    <n v="4"/>
    <x v="3"/>
    <n v="76"/>
    <n v="59"/>
    <n v="4484"/>
  </r>
  <r>
    <n v="1978"/>
    <x v="2"/>
    <x v="145"/>
    <n v="2020"/>
    <n v="1"/>
    <x v="2"/>
    <n v="60"/>
    <n v="74"/>
    <n v="4440"/>
  </r>
  <r>
    <n v="1979"/>
    <x v="2"/>
    <x v="147"/>
    <n v="2020"/>
    <n v="8"/>
    <x v="0"/>
    <n v="45"/>
    <n v="79.989999999999995"/>
    <n v="3599.5499999999997"/>
  </r>
  <r>
    <n v="1980"/>
    <x v="0"/>
    <x v="118"/>
    <n v="2020"/>
    <n v="5"/>
    <x v="1"/>
    <n v="54"/>
    <n v="67"/>
    <n v="3618"/>
  </r>
  <r>
    <n v="1981"/>
    <x v="8"/>
    <x v="121"/>
    <n v="2020"/>
    <n v="3"/>
    <x v="3"/>
    <n v="48"/>
    <n v="57"/>
    <n v="2736"/>
  </r>
  <r>
    <n v="1982"/>
    <x v="9"/>
    <x v="108"/>
    <n v="2020"/>
    <n v="4"/>
    <x v="4"/>
    <n v="62"/>
    <n v="76"/>
    <n v="4712"/>
  </r>
  <r>
    <n v="1983"/>
    <x v="4"/>
    <x v="166"/>
    <n v="2020"/>
    <n v="6"/>
    <x v="3"/>
    <n v="84"/>
    <n v="69"/>
    <n v="5796"/>
  </r>
  <r>
    <n v="1984"/>
    <x v="0"/>
    <x v="167"/>
    <n v="2020"/>
    <n v="2"/>
    <x v="1"/>
    <n v="59"/>
    <n v="67"/>
    <n v="3953"/>
  </r>
  <r>
    <n v="1985"/>
    <x v="2"/>
    <x v="168"/>
    <n v="2021"/>
    <n v="9"/>
    <x v="4"/>
    <n v="62"/>
    <n v="59"/>
    <n v="3658"/>
  </r>
  <r>
    <n v="1986"/>
    <x v="2"/>
    <x v="169"/>
    <n v="2021"/>
    <n v="9"/>
    <x v="2"/>
    <n v="45"/>
    <n v="39"/>
    <n v="1755"/>
  </r>
  <r>
    <n v="1987"/>
    <x v="2"/>
    <x v="170"/>
    <n v="2021"/>
    <n v="10"/>
    <x v="0"/>
    <n v="38"/>
    <n v="79"/>
    <n v="3002"/>
  </r>
  <r>
    <n v="1988"/>
    <x v="2"/>
    <x v="171"/>
    <n v="2021"/>
    <n v="4"/>
    <x v="1"/>
    <n v="49"/>
    <n v="79.55"/>
    <n v="3897.95"/>
  </r>
  <r>
    <n v="1989"/>
    <x v="2"/>
    <x v="172"/>
    <n v="2021"/>
    <n v="3"/>
    <x v="3"/>
    <n v="51"/>
    <n v="48.99"/>
    <n v="2498.4900000000002"/>
  </r>
  <r>
    <n v="1990"/>
    <x v="0"/>
    <x v="173"/>
    <n v="2021"/>
    <n v="4"/>
    <x v="4"/>
    <n v="60"/>
    <n v="139.94999999999999"/>
    <n v="8397"/>
  </r>
  <r>
    <n v="1991"/>
    <x v="0"/>
    <x v="174"/>
    <n v="2021"/>
    <n v="3"/>
    <x v="2"/>
    <n v="30"/>
    <n v="76.989999999999995"/>
    <n v="2309.6999999999998"/>
  </r>
  <r>
    <n v="1992"/>
    <x v="0"/>
    <x v="175"/>
    <n v="2021"/>
    <n v="2"/>
    <x v="0"/>
    <n v="29"/>
    <n v="110"/>
    <n v="3190"/>
  </r>
  <r>
    <n v="1993"/>
    <x v="0"/>
    <x v="176"/>
    <n v="2021"/>
    <n v="1"/>
    <x v="1"/>
    <n v="30"/>
    <n v="96.95"/>
    <n v="2908.5"/>
  </r>
  <r>
    <n v="1994"/>
    <x v="0"/>
    <x v="177"/>
    <n v="2021"/>
    <n v="5"/>
    <x v="3"/>
    <n v="56"/>
    <n v="90.99"/>
    <n v="5095.4399999999996"/>
  </r>
  <r>
    <n v="1995"/>
    <x v="8"/>
    <x v="178"/>
    <n v="2021"/>
    <n v="9"/>
    <x v="4"/>
    <n v="29"/>
    <n v="60.49"/>
    <n v="1754.21"/>
  </r>
  <r>
    <n v="1996"/>
    <x v="8"/>
    <x v="179"/>
    <n v="2021"/>
    <n v="9"/>
    <x v="2"/>
    <n v="46"/>
    <n v="76"/>
    <n v="3496"/>
  </r>
  <r>
    <n v="1997"/>
    <x v="8"/>
    <x v="180"/>
    <n v="2021"/>
    <n v="6"/>
    <x v="0"/>
    <n v="40"/>
    <n v="65"/>
    <n v="2600"/>
  </r>
  <r>
    <n v="1998"/>
    <x v="8"/>
    <x v="181"/>
    <n v="2021"/>
    <n v="5"/>
    <x v="1"/>
    <n v="26"/>
    <n v="89"/>
    <n v="2314"/>
  </r>
  <r>
    <n v="1999"/>
    <x v="8"/>
    <x v="182"/>
    <n v="2021"/>
    <n v="9"/>
    <x v="3"/>
    <n v="12"/>
    <n v="82"/>
    <n v="984"/>
  </r>
  <r>
    <n v="2000"/>
    <x v="4"/>
    <x v="183"/>
    <n v="2021"/>
    <n v="7"/>
    <x v="4"/>
    <n v="59"/>
    <n v="56"/>
    <n v="3304"/>
  </r>
  <r>
    <n v="2001"/>
    <x v="4"/>
    <x v="184"/>
    <n v="2021"/>
    <n v="10"/>
    <x v="2"/>
    <n v="72"/>
    <n v="84.5"/>
    <n v="6084"/>
  </r>
  <r>
    <n v="2002"/>
    <x v="4"/>
    <x v="185"/>
    <n v="2021"/>
    <n v="4"/>
    <x v="0"/>
    <n v="58"/>
    <n v="90"/>
    <n v="5220"/>
  </r>
  <r>
    <n v="2003"/>
    <x v="4"/>
    <x v="186"/>
    <n v="2021"/>
    <n v="10"/>
    <x v="1"/>
    <n v="49"/>
    <n v="105.95"/>
    <n v="5191.55"/>
  </r>
  <r>
    <n v="2004"/>
    <x v="4"/>
    <x v="187"/>
    <n v="2021"/>
    <n v="3"/>
    <x v="3"/>
    <n v="30"/>
    <n v="76.95"/>
    <n v="2308.5"/>
  </r>
  <r>
    <n v="2005"/>
    <x v="5"/>
    <x v="188"/>
    <n v="2021"/>
    <n v="1"/>
    <x v="4"/>
    <n v="26"/>
    <n v="104"/>
    <n v="2704"/>
  </r>
  <r>
    <n v="2006"/>
    <x v="5"/>
    <x v="189"/>
    <n v="2021"/>
    <n v="12"/>
    <x v="2"/>
    <n v="19"/>
    <n v="76.849999999999994"/>
    <n v="1460.1499999999999"/>
  </r>
  <r>
    <n v="2007"/>
    <x v="5"/>
    <x v="190"/>
    <n v="2021"/>
    <n v="6"/>
    <x v="0"/>
    <n v="36"/>
    <n v="72.989999999999995"/>
    <n v="2627.64"/>
  </r>
  <r>
    <n v="2008"/>
    <x v="5"/>
    <x v="191"/>
    <n v="2021"/>
    <n v="5"/>
    <x v="1"/>
    <n v="52"/>
    <n v="118.5"/>
    <n v="6162"/>
  </r>
  <r>
    <n v="2009"/>
    <x v="5"/>
    <x v="192"/>
    <n v="2021"/>
    <n v="8"/>
    <x v="3"/>
    <n v="28"/>
    <n v="86.95"/>
    <n v="2434.6"/>
  </r>
  <r>
    <n v="2010"/>
    <x v="9"/>
    <x v="193"/>
    <n v="2021"/>
    <n v="2"/>
    <x v="4"/>
    <n v="46"/>
    <n v="69.989999999999995"/>
    <n v="3219.54"/>
  </r>
  <r>
    <n v="2011"/>
    <x v="9"/>
    <x v="194"/>
    <n v="2021"/>
    <n v="6"/>
    <x v="2"/>
    <n v="38"/>
    <n v="95"/>
    <n v="3610"/>
  </r>
  <r>
    <n v="2012"/>
    <x v="9"/>
    <x v="195"/>
    <n v="2021"/>
    <n v="8"/>
    <x v="0"/>
    <n v="32"/>
    <n v="85"/>
    <n v="2720"/>
  </r>
  <r>
    <n v="2013"/>
    <x v="9"/>
    <x v="196"/>
    <n v="2021"/>
    <n v="9"/>
    <x v="1"/>
    <n v="30"/>
    <n v="126"/>
    <n v="3780"/>
  </r>
  <r>
    <n v="2014"/>
    <x v="9"/>
    <x v="197"/>
    <n v="2021"/>
    <n v="10"/>
    <x v="3"/>
    <n v="29"/>
    <n v="76.989999999999995"/>
    <n v="2232.71"/>
  </r>
  <r>
    <n v="2015"/>
    <x v="10"/>
    <x v="198"/>
    <n v="2021"/>
    <n v="1"/>
    <x v="4"/>
    <n v="60"/>
    <n v="79.89"/>
    <n v="4793.3999999999996"/>
  </r>
  <r>
    <n v="2016"/>
    <x v="10"/>
    <x v="199"/>
    <n v="2021"/>
    <n v="3"/>
    <x v="2"/>
    <n v="48"/>
    <n v="95"/>
    <n v="4560"/>
  </r>
  <r>
    <n v="2017"/>
    <x v="10"/>
    <x v="200"/>
    <n v="2021"/>
    <n v="9"/>
    <x v="0"/>
    <n v="58"/>
    <n v="67"/>
    <n v="3886"/>
  </r>
  <r>
    <n v="2018"/>
    <x v="10"/>
    <x v="201"/>
    <n v="2021"/>
    <n v="9"/>
    <x v="1"/>
    <n v="56"/>
    <n v="79.989999999999995"/>
    <n v="4479.4399999999996"/>
  </r>
  <r>
    <n v="2019"/>
    <x v="10"/>
    <x v="202"/>
    <n v="2021"/>
    <n v="5"/>
    <x v="3"/>
    <n v="38"/>
    <n v="85.95"/>
    <n v="3266.1"/>
  </r>
  <r>
    <n v="2020"/>
    <x v="11"/>
    <x v="203"/>
    <n v="2021"/>
    <n v="11"/>
    <x v="4"/>
    <n v="43"/>
    <n v="87"/>
    <n v="3741"/>
  </r>
  <r>
    <n v="2021"/>
    <x v="11"/>
    <x v="190"/>
    <n v="2021"/>
    <n v="6"/>
    <x v="2"/>
    <n v="29"/>
    <n v="98.95"/>
    <n v="2869.55"/>
  </r>
  <r>
    <n v="2022"/>
    <x v="11"/>
    <x v="204"/>
    <n v="2021"/>
    <n v="11"/>
    <x v="0"/>
    <n v="38"/>
    <n v="120"/>
    <n v="4560"/>
  </r>
  <r>
    <n v="2023"/>
    <x v="11"/>
    <x v="205"/>
    <n v="2021"/>
    <n v="5"/>
    <x v="1"/>
    <n v="26"/>
    <n v="84"/>
    <n v="2184"/>
  </r>
  <r>
    <n v="2024"/>
    <x v="11"/>
    <x v="206"/>
    <n v="2021"/>
    <n v="3"/>
    <x v="3"/>
    <n v="41"/>
    <n v="94.99"/>
    <n v="3894.5899999999997"/>
  </r>
  <r>
    <n v="2025"/>
    <x v="2"/>
    <x v="207"/>
    <n v="2021"/>
    <n v="11"/>
    <x v="4"/>
    <n v="28"/>
    <n v="83"/>
    <n v="2324"/>
  </r>
  <r>
    <n v="2026"/>
    <x v="2"/>
    <x v="178"/>
    <n v="2021"/>
    <n v="9"/>
    <x v="2"/>
    <n v="40"/>
    <n v="98"/>
    <n v="3920"/>
  </r>
  <r>
    <n v="2027"/>
    <x v="2"/>
    <x v="185"/>
    <n v="2021"/>
    <n v="4"/>
    <x v="0"/>
    <n v="37"/>
    <n v="82"/>
    <n v="3034"/>
  </r>
  <r>
    <n v="2028"/>
    <x v="2"/>
    <x v="208"/>
    <n v="2021"/>
    <n v="7"/>
    <x v="1"/>
    <n v="39"/>
    <n v="65"/>
    <n v="2535"/>
  </r>
  <r>
    <n v="2029"/>
    <x v="2"/>
    <x v="209"/>
    <n v="2021"/>
    <n v="9"/>
    <x v="3"/>
    <n v="76"/>
    <n v="89"/>
    <n v="6764"/>
  </r>
  <r>
    <n v="2030"/>
    <x v="0"/>
    <x v="210"/>
    <n v="2021"/>
    <n v="3"/>
    <x v="4"/>
    <n v="45"/>
    <n v="82"/>
    <n v="3690"/>
  </r>
  <r>
    <n v="2031"/>
    <x v="0"/>
    <x v="211"/>
    <n v="2021"/>
    <n v="1"/>
    <x v="2"/>
    <n v="37"/>
    <n v="89.95"/>
    <n v="3328.15"/>
  </r>
  <r>
    <n v="2032"/>
    <x v="0"/>
    <x v="212"/>
    <n v="2021"/>
    <n v="6"/>
    <x v="0"/>
    <n v="40"/>
    <n v="79"/>
    <n v="3160"/>
  </r>
  <r>
    <n v="2033"/>
    <x v="0"/>
    <x v="213"/>
    <n v="2021"/>
    <n v="9"/>
    <x v="1"/>
    <n v="61"/>
    <n v="82"/>
    <n v="5002"/>
  </r>
  <r>
    <n v="2034"/>
    <x v="0"/>
    <x v="214"/>
    <n v="2021"/>
    <n v="12"/>
    <x v="3"/>
    <n v="42"/>
    <n v="76.489999999999995"/>
    <n v="3212.58"/>
  </r>
  <r>
    <n v="2035"/>
    <x v="8"/>
    <x v="215"/>
    <n v="2021"/>
    <n v="12"/>
    <x v="4"/>
    <n v="24"/>
    <n v="92"/>
    <n v="2208"/>
  </r>
  <r>
    <n v="2036"/>
    <x v="8"/>
    <x v="216"/>
    <n v="2021"/>
    <n v="11"/>
    <x v="2"/>
    <n v="19"/>
    <n v="78"/>
    <n v="1482"/>
  </r>
  <r>
    <n v="2037"/>
    <x v="8"/>
    <x v="217"/>
    <n v="2021"/>
    <n v="3"/>
    <x v="0"/>
    <n v="37"/>
    <n v="83"/>
    <n v="3071"/>
  </r>
  <r>
    <n v="2038"/>
    <x v="8"/>
    <x v="218"/>
    <n v="2021"/>
    <n v="12"/>
    <x v="1"/>
    <n v="69"/>
    <n v="95"/>
    <n v="6555"/>
  </r>
  <r>
    <n v="2039"/>
    <x v="8"/>
    <x v="172"/>
    <n v="2021"/>
    <n v="3"/>
    <x v="3"/>
    <n v="8"/>
    <n v="78.989999999999995"/>
    <n v="631.91999999999996"/>
  </r>
  <r>
    <n v="2040"/>
    <x v="4"/>
    <x v="219"/>
    <n v="2021"/>
    <n v="2"/>
    <x v="4"/>
    <n v="19"/>
    <n v="89.99"/>
    <n v="1709.81"/>
  </r>
  <r>
    <n v="2041"/>
    <x v="4"/>
    <x v="211"/>
    <n v="2021"/>
    <n v="1"/>
    <x v="2"/>
    <n v="42"/>
    <n v="89"/>
    <n v="3738"/>
  </r>
  <r>
    <n v="2042"/>
    <x v="4"/>
    <x v="220"/>
    <n v="2021"/>
    <n v="7"/>
    <x v="0"/>
    <n v="53"/>
    <n v="83"/>
    <n v="4399"/>
  </r>
  <r>
    <n v="2043"/>
    <x v="4"/>
    <x v="221"/>
    <n v="2021"/>
    <n v="2"/>
    <x v="1"/>
    <n v="48"/>
    <n v="78"/>
    <n v="3744"/>
  </r>
  <r>
    <n v="2044"/>
    <x v="4"/>
    <x v="222"/>
    <n v="2021"/>
    <n v="1"/>
    <x v="3"/>
    <n v="56"/>
    <n v="119.45"/>
    <n v="6689.2"/>
  </r>
  <r>
    <n v="2045"/>
    <x v="5"/>
    <x v="193"/>
    <n v="2021"/>
    <n v="2"/>
    <x v="4"/>
    <n v="51"/>
    <n v="78"/>
    <n v="3978"/>
  </r>
  <r>
    <n v="2046"/>
    <x v="5"/>
    <x v="223"/>
    <n v="2021"/>
    <n v="8"/>
    <x v="2"/>
    <n v="39"/>
    <n v="114"/>
    <n v="4446"/>
  </r>
  <r>
    <n v="2047"/>
    <x v="5"/>
    <x v="224"/>
    <n v="2021"/>
    <n v="10"/>
    <x v="0"/>
    <n v="28"/>
    <n v="78.45"/>
    <n v="2196.6"/>
  </r>
  <r>
    <n v="2048"/>
    <x v="5"/>
    <x v="225"/>
    <n v="2021"/>
    <n v="7"/>
    <x v="1"/>
    <n v="38"/>
    <n v="98.45"/>
    <n v="3741.1"/>
  </r>
  <r>
    <n v="2049"/>
    <x v="5"/>
    <x v="226"/>
    <n v="2021"/>
    <n v="3"/>
    <x v="3"/>
    <n v="30"/>
    <n v="80"/>
    <n v="2400"/>
  </r>
  <r>
    <n v="2050"/>
    <x v="9"/>
    <x v="227"/>
    <n v="2021"/>
    <n v="2"/>
    <x v="4"/>
    <n v="32"/>
    <n v="85.49"/>
    <n v="2735.68"/>
  </r>
  <r>
    <n v="2051"/>
    <x v="9"/>
    <x v="222"/>
    <n v="2021"/>
    <n v="1"/>
    <x v="2"/>
    <n v="40"/>
    <n v="56.45"/>
    <n v="2258"/>
  </r>
  <r>
    <n v="2052"/>
    <x v="9"/>
    <x v="228"/>
    <n v="2021"/>
    <n v="1"/>
    <x v="0"/>
    <n v="38"/>
    <n v="98.99"/>
    <n v="3761.62"/>
  </r>
  <r>
    <n v="2053"/>
    <x v="9"/>
    <x v="210"/>
    <n v="2021"/>
    <n v="3"/>
    <x v="1"/>
    <n v="42"/>
    <n v="85"/>
    <n v="3570"/>
  </r>
  <r>
    <n v="2054"/>
    <x v="9"/>
    <x v="229"/>
    <n v="2021"/>
    <n v="5"/>
    <x v="3"/>
    <n v="38"/>
    <n v="79.88"/>
    <n v="3035.4399999999996"/>
  </r>
  <r>
    <n v="2055"/>
    <x v="10"/>
    <x v="230"/>
    <n v="2021"/>
    <n v="6"/>
    <x v="4"/>
    <n v="48"/>
    <n v="89.99"/>
    <n v="4319.5199999999995"/>
  </r>
  <r>
    <n v="2056"/>
    <x v="10"/>
    <x v="231"/>
    <n v="2021"/>
    <n v="7"/>
    <x v="2"/>
    <n v="44"/>
    <n v="118.49"/>
    <n v="5213.5599999999995"/>
  </r>
  <r>
    <n v="2057"/>
    <x v="10"/>
    <x v="232"/>
    <n v="2021"/>
    <n v="9"/>
    <x v="0"/>
    <n v="51"/>
    <n v="81.489999999999995"/>
    <n v="4155.99"/>
  </r>
  <r>
    <n v="2058"/>
    <x v="10"/>
    <x v="233"/>
    <n v="2021"/>
    <n v="9"/>
    <x v="1"/>
    <n v="40"/>
    <n v="92"/>
    <n v="3680"/>
  </r>
  <r>
    <n v="2059"/>
    <x v="10"/>
    <x v="234"/>
    <n v="2021"/>
    <n v="9"/>
    <x v="3"/>
    <n v="38"/>
    <n v="99"/>
    <n v="3762"/>
  </r>
  <r>
    <n v="2060"/>
    <x v="11"/>
    <x v="235"/>
    <n v="2021"/>
    <n v="9"/>
    <x v="4"/>
    <n v="49"/>
    <n v="119.95"/>
    <n v="5877.55"/>
  </r>
  <r>
    <n v="2061"/>
    <x v="11"/>
    <x v="210"/>
    <n v="2021"/>
    <n v="3"/>
    <x v="2"/>
    <n v="40"/>
    <n v="89.49"/>
    <n v="3579.6"/>
  </r>
  <r>
    <n v="2062"/>
    <x v="11"/>
    <x v="236"/>
    <n v="2021"/>
    <n v="5"/>
    <x v="0"/>
    <n v="54"/>
    <n v="90"/>
    <n v="4860"/>
  </r>
  <r>
    <n v="2063"/>
    <x v="11"/>
    <x v="233"/>
    <n v="2021"/>
    <n v="9"/>
    <x v="1"/>
    <n v="65"/>
    <n v="129.94999999999999"/>
    <n v="8446.75"/>
  </r>
  <r>
    <n v="2064"/>
    <x v="11"/>
    <x v="237"/>
    <n v="2021"/>
    <n v="7"/>
    <x v="3"/>
    <n v="52"/>
    <n v="97.99"/>
    <n v="5095.4799999999996"/>
  </r>
  <r>
    <n v="2065"/>
    <x v="2"/>
    <x v="238"/>
    <n v="2022"/>
    <n v="6"/>
    <x v="4"/>
    <n v="43"/>
    <n v="79"/>
    <n v="3397"/>
  </r>
  <r>
    <n v="2066"/>
    <x v="2"/>
    <x v="239"/>
    <n v="2022"/>
    <n v="3"/>
    <x v="2"/>
    <n v="40"/>
    <n v="89"/>
    <n v="3560"/>
  </r>
  <r>
    <n v="2067"/>
    <x v="2"/>
    <x v="240"/>
    <n v="2022"/>
    <n v="2"/>
    <x v="0"/>
    <n v="34"/>
    <n v="95"/>
    <n v="3230"/>
  </r>
  <r>
    <n v="2068"/>
    <x v="2"/>
    <x v="241"/>
    <n v="2022"/>
    <n v="6"/>
    <x v="1"/>
    <n v="40"/>
    <n v="98"/>
    <n v="3920"/>
  </r>
  <r>
    <n v="2069"/>
    <x v="2"/>
    <x v="242"/>
    <n v="2022"/>
    <n v="8"/>
    <x v="3"/>
    <n v="18"/>
    <n v="112"/>
    <n v="2016"/>
  </r>
  <r>
    <n v="2070"/>
    <x v="0"/>
    <x v="243"/>
    <n v="2022"/>
    <n v="4"/>
    <x v="4"/>
    <n v="29"/>
    <n v="86"/>
    <n v="2494"/>
  </r>
  <r>
    <n v="2071"/>
    <x v="0"/>
    <x v="244"/>
    <n v="2022"/>
    <n v="1"/>
    <x v="2"/>
    <n v="38"/>
    <n v="87.45"/>
    <n v="3323.1"/>
  </r>
  <r>
    <n v="2072"/>
    <x v="0"/>
    <x v="245"/>
    <n v="2022"/>
    <n v="12"/>
    <x v="0"/>
    <n v="67"/>
    <n v="95.45"/>
    <n v="6395.1500000000005"/>
  </r>
  <r>
    <n v="2073"/>
    <x v="0"/>
    <x v="246"/>
    <n v="2022"/>
    <n v="2"/>
    <x v="1"/>
    <n v="32"/>
    <n v="119.95"/>
    <n v="3838.4"/>
  </r>
  <r>
    <n v="2074"/>
    <x v="0"/>
    <x v="247"/>
    <n v="2022"/>
    <n v="8"/>
    <x v="3"/>
    <n v="38"/>
    <n v="110"/>
    <n v="4180"/>
  </r>
  <r>
    <n v="2075"/>
    <x v="8"/>
    <x v="248"/>
    <n v="2022"/>
    <n v="1"/>
    <x v="4"/>
    <n v="48"/>
    <n v="119"/>
    <n v="5712"/>
  </r>
  <r>
    <n v="2076"/>
    <x v="8"/>
    <x v="249"/>
    <n v="2022"/>
    <n v="3"/>
    <x v="2"/>
    <n v="39"/>
    <n v="96"/>
    <n v="3744"/>
  </r>
  <r>
    <n v="2077"/>
    <x v="8"/>
    <x v="250"/>
    <n v="2022"/>
    <n v="4"/>
    <x v="0"/>
    <n v="26"/>
    <n v="98.45"/>
    <n v="2559.7000000000003"/>
  </r>
  <r>
    <n v="2078"/>
    <x v="8"/>
    <x v="251"/>
    <n v="2022"/>
    <n v="1"/>
    <x v="1"/>
    <n v="30"/>
    <n v="86.5"/>
    <n v="2595"/>
  </r>
  <r>
    <n v="2079"/>
    <x v="8"/>
    <x v="252"/>
    <n v="2022"/>
    <n v="9"/>
    <x v="3"/>
    <n v="42"/>
    <n v="98"/>
    <n v="4116"/>
  </r>
  <r>
    <n v="2080"/>
    <x v="4"/>
    <x v="253"/>
    <n v="2022"/>
    <n v="4"/>
    <x v="4"/>
    <n v="14"/>
    <n v="99"/>
    <n v="1386"/>
  </r>
  <r>
    <n v="2081"/>
    <x v="4"/>
    <x v="254"/>
    <n v="2022"/>
    <n v="9"/>
    <x v="2"/>
    <n v="53"/>
    <n v="86"/>
    <n v="4558"/>
  </r>
  <r>
    <n v="2082"/>
    <x v="4"/>
    <x v="244"/>
    <n v="2022"/>
    <n v="1"/>
    <x v="0"/>
    <n v="23"/>
    <n v="89"/>
    <n v="2047"/>
  </r>
  <r>
    <n v="2083"/>
    <x v="4"/>
    <x v="255"/>
    <n v="2022"/>
    <n v="12"/>
    <x v="1"/>
    <n v="76"/>
    <n v="119.45"/>
    <n v="9078.2000000000007"/>
  </r>
  <r>
    <n v="2084"/>
    <x v="4"/>
    <x v="256"/>
    <n v="2022"/>
    <n v="11"/>
    <x v="3"/>
    <n v="62"/>
    <n v="98.45"/>
    <n v="6103.9000000000005"/>
  </r>
  <r>
    <n v="2085"/>
    <x v="12"/>
    <x v="257"/>
    <n v="2022"/>
    <n v="3"/>
    <x v="4"/>
    <n v="34"/>
    <n v="98"/>
    <n v="3332"/>
  </r>
  <r>
    <n v="2086"/>
    <x v="12"/>
    <x v="258"/>
    <n v="2022"/>
    <n v="1"/>
    <x v="2"/>
    <n v="42"/>
    <n v="99.95"/>
    <n v="4197.9000000000005"/>
  </r>
  <r>
    <n v="2087"/>
    <x v="12"/>
    <x v="259"/>
    <n v="2022"/>
    <n v="11"/>
    <x v="0"/>
    <n v="13"/>
    <n v="96"/>
    <n v="1248"/>
  </r>
  <r>
    <n v="2088"/>
    <x v="12"/>
    <x v="260"/>
    <n v="2022"/>
    <n v="12"/>
    <x v="1"/>
    <n v="29"/>
    <n v="89.45"/>
    <n v="2594.0500000000002"/>
  </r>
  <r>
    <n v="2089"/>
    <x v="12"/>
    <x v="261"/>
    <n v="2022"/>
    <n v="11"/>
    <x v="3"/>
    <n v="26"/>
    <n v="88.25"/>
    <n v="2294.5"/>
  </r>
  <r>
    <n v="2090"/>
    <x v="9"/>
    <x v="262"/>
    <n v="2022"/>
    <n v="9"/>
    <x v="4"/>
    <n v="36"/>
    <n v="98.99"/>
    <n v="3563.64"/>
  </r>
  <r>
    <n v="2091"/>
    <x v="9"/>
    <x v="263"/>
    <n v="2022"/>
    <n v="4"/>
    <x v="2"/>
    <n v="29"/>
    <n v="99.45"/>
    <n v="2884.05"/>
  </r>
  <r>
    <n v="2092"/>
    <x v="9"/>
    <x v="264"/>
    <n v="2022"/>
    <n v="1"/>
    <x v="0"/>
    <n v="40"/>
    <n v="96.99"/>
    <n v="3879.6"/>
  </r>
  <r>
    <n v="2093"/>
    <x v="9"/>
    <x v="265"/>
    <n v="2022"/>
    <n v="1"/>
    <x v="1"/>
    <n v="38"/>
    <n v="101.99"/>
    <n v="3875.62"/>
  </r>
  <r>
    <n v="2094"/>
    <x v="9"/>
    <x v="266"/>
    <n v="2022"/>
    <n v="7"/>
    <x v="3"/>
    <n v="56"/>
    <n v="102.99"/>
    <n v="5767.44"/>
  </r>
  <r>
    <n v="2095"/>
    <x v="2"/>
    <x v="267"/>
    <n v="2022"/>
    <n v="6"/>
    <x v="4"/>
    <n v="16"/>
    <n v="106"/>
    <n v="1696"/>
  </r>
  <r>
    <n v="2096"/>
    <x v="2"/>
    <x v="268"/>
    <n v="2022"/>
    <n v="9"/>
    <x v="2"/>
    <n v="23"/>
    <n v="100"/>
    <n v="2300"/>
  </r>
  <r>
    <n v="2097"/>
    <x v="2"/>
    <x v="269"/>
    <n v="2022"/>
    <n v="1"/>
    <x v="0"/>
    <n v="22"/>
    <n v="102"/>
    <n v="2244"/>
  </r>
  <r>
    <n v="2098"/>
    <x v="2"/>
    <x v="270"/>
    <n v="2022"/>
    <n v="9"/>
    <x v="1"/>
    <n v="27"/>
    <n v="96"/>
    <n v="2592"/>
  </r>
  <r>
    <n v="2099"/>
    <x v="2"/>
    <x v="271"/>
    <n v="2022"/>
    <n v="11"/>
    <x v="3"/>
    <n v="18"/>
    <n v="102"/>
    <n v="1836"/>
  </r>
  <r>
    <n v="2100"/>
    <x v="0"/>
    <x v="272"/>
    <n v="2022"/>
    <n v="10"/>
    <x v="4"/>
    <n v="36"/>
    <n v="103"/>
    <n v="3708"/>
  </r>
  <r>
    <n v="2101"/>
    <x v="0"/>
    <x v="273"/>
    <n v="2022"/>
    <n v="11"/>
    <x v="2"/>
    <n v="12"/>
    <n v="105"/>
    <n v="1260"/>
  </r>
  <r>
    <n v="2102"/>
    <x v="0"/>
    <x v="274"/>
    <n v="2022"/>
    <n v="12"/>
    <x v="0"/>
    <n v="28"/>
    <n v="102"/>
    <n v="2856"/>
  </r>
  <r>
    <n v="2103"/>
    <x v="0"/>
    <x v="275"/>
    <n v="2022"/>
    <n v="10"/>
    <x v="1"/>
    <n v="23"/>
    <n v="105"/>
    <n v="2415"/>
  </r>
  <r>
    <n v="2104"/>
    <x v="0"/>
    <x v="276"/>
    <n v="2022"/>
    <n v="11"/>
    <x v="3"/>
    <n v="17"/>
    <n v="96"/>
    <n v="1632"/>
  </r>
  <r>
    <n v="2105"/>
    <x v="8"/>
    <x v="267"/>
    <n v="2022"/>
    <n v="6"/>
    <x v="4"/>
    <n v="21"/>
    <n v="108"/>
    <n v="2268"/>
  </r>
  <r>
    <n v="2106"/>
    <x v="8"/>
    <x v="277"/>
    <n v="2022"/>
    <n v="5"/>
    <x v="2"/>
    <n v="13"/>
    <n v="107"/>
    <n v="1391"/>
  </r>
  <r>
    <n v="2107"/>
    <x v="8"/>
    <x v="240"/>
    <n v="2022"/>
    <n v="2"/>
    <x v="0"/>
    <n v="26"/>
    <n v="103"/>
    <n v="2678"/>
  </r>
  <r>
    <n v="2108"/>
    <x v="8"/>
    <x v="278"/>
    <n v="2022"/>
    <n v="4"/>
    <x v="1"/>
    <n v="17"/>
    <n v="101"/>
    <n v="1717"/>
  </r>
  <r>
    <n v="2109"/>
    <x v="8"/>
    <x v="244"/>
    <n v="2022"/>
    <n v="1"/>
    <x v="3"/>
    <n v="17"/>
    <n v="101"/>
    <n v="1717"/>
  </r>
  <r>
    <n v="2110"/>
    <x v="4"/>
    <x v="279"/>
    <n v="2022"/>
    <n v="3"/>
    <x v="4"/>
    <n v="36"/>
    <n v="104"/>
    <n v="3744"/>
  </r>
  <r>
    <n v="2111"/>
    <x v="4"/>
    <x v="280"/>
    <n v="2022"/>
    <n v="6"/>
    <x v="2"/>
    <n v="25"/>
    <n v="101"/>
    <n v="2525"/>
  </r>
  <r>
    <n v="2112"/>
    <x v="4"/>
    <x v="281"/>
    <n v="2022"/>
    <n v="5"/>
    <x v="0"/>
    <n v="16"/>
    <n v="109"/>
    <n v="1744"/>
  </r>
  <r>
    <n v="2113"/>
    <x v="4"/>
    <x v="262"/>
    <n v="2022"/>
    <n v="9"/>
    <x v="1"/>
    <n v="29"/>
    <n v="109"/>
    <n v="3161"/>
  </r>
  <r>
    <n v="2114"/>
    <x v="4"/>
    <x v="282"/>
    <n v="2022"/>
    <n v="10"/>
    <x v="3"/>
    <n v="27"/>
    <n v="100"/>
    <n v="2700"/>
  </r>
  <r>
    <n v="2115"/>
    <x v="12"/>
    <x v="283"/>
    <n v="2022"/>
    <n v="5"/>
    <x v="4"/>
    <n v="39"/>
    <n v="97"/>
    <n v="3783"/>
  </r>
  <r>
    <n v="2116"/>
    <x v="12"/>
    <x v="284"/>
    <n v="2022"/>
    <n v="10"/>
    <x v="2"/>
    <n v="14"/>
    <n v="100"/>
    <n v="1400"/>
  </r>
  <r>
    <n v="2117"/>
    <x v="12"/>
    <x v="285"/>
    <n v="2022"/>
    <n v="1"/>
    <x v="0"/>
    <n v="10"/>
    <n v="99"/>
    <n v="990"/>
  </r>
  <r>
    <n v="2118"/>
    <x v="12"/>
    <x v="286"/>
    <n v="2022"/>
    <n v="2"/>
    <x v="1"/>
    <n v="38"/>
    <n v="103"/>
    <n v="3914"/>
  </r>
  <r>
    <n v="2119"/>
    <x v="12"/>
    <x v="287"/>
    <n v="2022"/>
    <n v="10"/>
    <x v="3"/>
    <n v="34"/>
    <n v="109"/>
    <n v="3706"/>
  </r>
  <r>
    <n v="2120"/>
    <x v="9"/>
    <x v="288"/>
    <n v="2022"/>
    <n v="4"/>
    <x v="4"/>
    <n v="28"/>
    <n v="101"/>
    <n v="2828"/>
  </r>
  <r>
    <n v="2121"/>
    <x v="9"/>
    <x v="289"/>
    <n v="2022"/>
    <n v="5"/>
    <x v="2"/>
    <n v="21"/>
    <n v="96"/>
    <n v="2016"/>
  </r>
  <r>
    <n v="2122"/>
    <x v="9"/>
    <x v="290"/>
    <n v="2022"/>
    <n v="5"/>
    <x v="0"/>
    <n v="16"/>
    <n v="109"/>
    <n v="1744"/>
  </r>
  <r>
    <n v="2123"/>
    <x v="9"/>
    <x v="291"/>
    <n v="2022"/>
    <n v="1"/>
    <x v="1"/>
    <n v="29"/>
    <n v="97"/>
    <n v="2813"/>
  </r>
  <r>
    <n v="2124"/>
    <x v="9"/>
    <x v="292"/>
    <n v="2022"/>
    <n v="2"/>
    <x v="3"/>
    <n v="10"/>
    <n v="102"/>
    <n v="1020"/>
  </r>
  <r>
    <n v="2125"/>
    <x v="8"/>
    <x v="293"/>
    <n v="2020"/>
    <n v="1"/>
    <x v="0"/>
    <n v="4"/>
    <n v="114.99"/>
    <n v="459.96"/>
  </r>
  <r>
    <n v="2126"/>
    <x v="4"/>
    <x v="294"/>
    <n v="2020"/>
    <n v="1"/>
    <x v="0"/>
    <n v="19"/>
    <n v="89.49"/>
    <n v="1700.31"/>
  </r>
  <r>
    <n v="2127"/>
    <x v="5"/>
    <x v="295"/>
    <n v="2020"/>
    <n v="1"/>
    <x v="4"/>
    <n v="18"/>
    <n v="133.99"/>
    <n v="2411.8200000000002"/>
  </r>
  <r>
    <n v="2128"/>
    <x v="10"/>
    <x v="296"/>
    <n v="2020"/>
    <n v="1"/>
    <x v="4"/>
    <n v="23"/>
    <n v="98.49"/>
    <n v="2265.27"/>
  </r>
  <r>
    <n v="2129"/>
    <x v="2"/>
    <x v="295"/>
    <n v="2020"/>
    <n v="1"/>
    <x v="4"/>
    <n v="13"/>
    <n v="109.49"/>
    <n v="1423.37"/>
  </r>
  <r>
    <n v="2130"/>
    <x v="8"/>
    <x v="297"/>
    <n v="2020"/>
    <n v="10"/>
    <x v="3"/>
    <n v="9"/>
    <n v="69.489999999999995"/>
    <n v="625.41"/>
  </r>
  <r>
    <n v="2131"/>
    <x v="8"/>
    <x v="298"/>
    <n v="2020"/>
    <n v="10"/>
    <x v="4"/>
    <n v="11"/>
    <n v="109.99"/>
    <n v="1209.8899999999999"/>
  </r>
  <r>
    <n v="2132"/>
    <x v="8"/>
    <x v="152"/>
    <n v="2020"/>
    <n v="10"/>
    <x v="3"/>
    <n v="16"/>
    <n v="69.489999999999995"/>
    <n v="1111.8399999999999"/>
  </r>
  <r>
    <n v="2133"/>
    <x v="8"/>
    <x v="299"/>
    <n v="2020"/>
    <n v="10"/>
    <x v="1"/>
    <n v="8"/>
    <n v="129.99"/>
    <n v="1039.92"/>
  </r>
  <r>
    <n v="2134"/>
    <x v="8"/>
    <x v="300"/>
    <n v="2020"/>
    <n v="10"/>
    <x v="2"/>
    <n v="18"/>
    <n v="47.99"/>
    <n v="863.82"/>
  </r>
  <r>
    <n v="2135"/>
    <x v="8"/>
    <x v="301"/>
    <n v="2020"/>
    <n v="11"/>
    <x v="2"/>
    <n v="15"/>
    <n v="47.99"/>
    <n v="719.85"/>
  </r>
  <r>
    <n v="2136"/>
    <x v="8"/>
    <x v="302"/>
    <n v="2020"/>
    <n v="11"/>
    <x v="0"/>
    <n v="17"/>
    <n v="145.49"/>
    <n v="2473.33"/>
  </r>
  <r>
    <n v="2137"/>
    <x v="8"/>
    <x v="127"/>
    <n v="2020"/>
    <n v="12"/>
    <x v="0"/>
    <n v="7"/>
    <n v="145.49"/>
    <n v="1018.4300000000001"/>
  </r>
  <r>
    <n v="2138"/>
    <x v="8"/>
    <x v="303"/>
    <n v="2020"/>
    <n v="12"/>
    <x v="1"/>
    <n v="9"/>
    <n v="129.99"/>
    <n v="1169.9100000000001"/>
  </r>
  <r>
    <n v="2139"/>
    <x v="8"/>
    <x v="304"/>
    <n v="2020"/>
    <n v="12"/>
    <x v="4"/>
    <n v="11"/>
    <n v="94.49"/>
    <n v="1039.3899999999999"/>
  </r>
  <r>
    <n v="2140"/>
    <x v="4"/>
    <x v="305"/>
    <n v="2020"/>
    <n v="2"/>
    <x v="3"/>
    <n v="11"/>
    <n v="114.99"/>
    <n v="1264.8899999999999"/>
  </r>
  <r>
    <n v="2141"/>
    <x v="4"/>
    <x v="306"/>
    <n v="2020"/>
    <n v="2"/>
    <x v="3"/>
    <n v="9"/>
    <n v="108.99"/>
    <n v="980.91"/>
  </r>
  <r>
    <n v="2142"/>
    <x v="9"/>
    <x v="307"/>
    <n v="2020"/>
    <n v="1"/>
    <x v="3"/>
    <n v="13"/>
    <n v="114.99"/>
    <n v="1494.87"/>
  </r>
  <r>
    <n v="2143"/>
    <x v="9"/>
    <x v="308"/>
    <n v="2020"/>
    <n v="1"/>
    <x v="3"/>
    <n v="12"/>
    <n v="108.99"/>
    <n v="1307.8799999999999"/>
  </r>
  <r>
    <n v="2144"/>
    <x v="2"/>
    <x v="132"/>
    <n v="2020"/>
    <n v="1"/>
    <x v="1"/>
    <n v="10"/>
    <n v="118.99"/>
    <n v="1189.8999999999999"/>
  </r>
  <r>
    <n v="2145"/>
    <x v="2"/>
    <x v="309"/>
    <n v="2020"/>
    <n v="3"/>
    <x v="1"/>
    <n v="13"/>
    <n v="104.99"/>
    <n v="1364.87"/>
  </r>
  <r>
    <n v="2146"/>
    <x v="4"/>
    <x v="310"/>
    <n v="2020"/>
    <n v="1"/>
    <x v="1"/>
    <n v="10"/>
    <n v="109.89"/>
    <n v="1098.9000000000001"/>
  </r>
  <r>
    <n v="2147"/>
    <x v="4"/>
    <x v="129"/>
    <n v="2020"/>
    <n v="2"/>
    <x v="1"/>
    <n v="18"/>
    <n v="104.99"/>
    <n v="1889.82"/>
  </r>
  <r>
    <n v="2148"/>
    <x v="5"/>
    <x v="105"/>
    <n v="2020"/>
    <n v="1"/>
    <x v="1"/>
    <n v="8"/>
    <n v="118.99"/>
    <n v="951.92"/>
  </r>
  <r>
    <n v="2149"/>
    <x v="5"/>
    <x v="295"/>
    <n v="2020"/>
    <n v="1"/>
    <x v="1"/>
    <n v="11"/>
    <n v="88.99"/>
    <n v="978.89"/>
  </r>
  <r>
    <n v="2150"/>
    <x v="10"/>
    <x v="148"/>
    <n v="2020"/>
    <n v="3"/>
    <x v="1"/>
    <n v="13"/>
    <n v="104.99"/>
    <n v="1364.87"/>
  </r>
  <r>
    <n v="2151"/>
    <x v="10"/>
    <x v="311"/>
    <n v="2020"/>
    <n v="2"/>
    <x v="1"/>
    <n v="9"/>
    <n v="118.99"/>
    <n v="1070.9099999999999"/>
  </r>
  <r>
    <n v="2152"/>
    <x v="2"/>
    <x v="312"/>
    <n v="2020"/>
    <n v="1"/>
    <x v="0"/>
    <n v="12"/>
    <n v="129.49"/>
    <n v="1553.88"/>
  </r>
  <r>
    <n v="2153"/>
    <x v="2"/>
    <x v="313"/>
    <n v="2020"/>
    <n v="3"/>
    <x v="0"/>
    <n v="10"/>
    <n v="145.49"/>
    <n v="1454.9"/>
  </r>
  <r>
    <n v="2154"/>
    <x v="0"/>
    <x v="314"/>
    <n v="2020"/>
    <n v="1"/>
    <x v="0"/>
    <n v="9"/>
    <n v="97.49"/>
    <n v="877.41"/>
  </r>
  <r>
    <n v="2155"/>
    <x v="0"/>
    <x v="315"/>
    <n v="2020"/>
    <n v="1"/>
    <x v="0"/>
    <n v="14"/>
    <n v="129.49"/>
    <n v="1812.8600000000001"/>
  </r>
  <r>
    <n v="2156"/>
    <x v="10"/>
    <x v="295"/>
    <n v="2020"/>
    <n v="1"/>
    <x v="0"/>
    <n v="13"/>
    <n v="109.49"/>
    <n v="1423.37"/>
  </r>
  <r>
    <n v="2157"/>
    <x v="10"/>
    <x v="148"/>
    <n v="2020"/>
    <n v="3"/>
    <x v="0"/>
    <n v="7"/>
    <n v="129.49"/>
    <n v="906.43000000000006"/>
  </r>
  <r>
    <n v="2158"/>
    <x v="8"/>
    <x v="312"/>
    <n v="2020"/>
    <n v="1"/>
    <x v="2"/>
    <n v="13"/>
    <n v="38.99"/>
    <n v="506.87"/>
  </r>
  <r>
    <n v="2159"/>
    <x v="8"/>
    <x v="316"/>
    <n v="2020"/>
    <n v="1"/>
    <x v="2"/>
    <n v="18"/>
    <n v="44.99"/>
    <n v="809.82"/>
  </r>
  <r>
    <n v="2160"/>
    <x v="5"/>
    <x v="317"/>
    <n v="2020"/>
    <n v="1"/>
    <x v="2"/>
    <n v="9"/>
    <n v="39.49"/>
    <n v="355.41"/>
  </r>
  <r>
    <n v="2161"/>
    <x v="5"/>
    <x v="318"/>
    <n v="2020"/>
    <n v="2"/>
    <x v="2"/>
    <n v="14"/>
    <n v="44.99"/>
    <n v="629.86"/>
  </r>
  <r>
    <n v="2162"/>
    <x v="10"/>
    <x v="319"/>
    <n v="2020"/>
    <n v="1"/>
    <x v="2"/>
    <n v="7"/>
    <n v="48.99"/>
    <n v="342.93"/>
  </r>
  <r>
    <n v="2163"/>
    <x v="10"/>
    <x v="320"/>
    <n v="2020"/>
    <n v="3"/>
    <x v="2"/>
    <n v="15"/>
    <n v="68.989999999999995"/>
    <n v="1034.8499999999999"/>
  </r>
  <r>
    <n v="2164"/>
    <x v="9"/>
    <x v="312"/>
    <n v="2020"/>
    <n v="1"/>
    <x v="2"/>
    <n v="11"/>
    <n v="108.99"/>
    <n v="1198.8899999999999"/>
  </r>
  <r>
    <n v="2165"/>
    <x v="9"/>
    <x v="321"/>
    <n v="2020"/>
    <n v="2"/>
    <x v="2"/>
    <n v="16"/>
    <n v="129.99"/>
    <n v="2079.84"/>
  </r>
  <r>
    <n v="2166"/>
    <x v="9"/>
    <x v="322"/>
    <n v="2020"/>
    <n v="3"/>
    <x v="2"/>
    <n v="14"/>
    <n v="109.99"/>
    <n v="1539.86"/>
  </r>
  <r>
    <n v="2167"/>
    <x v="8"/>
    <x v="323"/>
    <n v="2020"/>
    <n v="1"/>
    <x v="4"/>
    <n v="7"/>
    <n v="119.49"/>
    <n v="836.43"/>
  </r>
  <r>
    <n v="2168"/>
    <x v="8"/>
    <x v="295"/>
    <n v="2020"/>
    <n v="1"/>
    <x v="4"/>
    <n v="11"/>
    <n v="129.99"/>
    <n v="1429.89"/>
  </r>
  <r>
    <n v="2169"/>
    <x v="8"/>
    <x v="310"/>
    <n v="2020"/>
    <n v="1"/>
    <x v="4"/>
    <n v="14"/>
    <n v="98.99"/>
    <n v="1385.86"/>
  </r>
  <r>
    <n v="2170"/>
    <x v="8"/>
    <x v="167"/>
    <n v="2020"/>
    <n v="2"/>
    <x v="4"/>
    <n v="8"/>
    <n v="109.49"/>
    <n v="875.92"/>
  </r>
  <r>
    <n v="2171"/>
    <x v="8"/>
    <x v="139"/>
    <n v="2020"/>
    <n v="3"/>
    <x v="4"/>
    <n v="15"/>
    <n v="119.99"/>
    <n v="1799.85"/>
  </r>
  <r>
    <n v="2172"/>
    <x v="9"/>
    <x v="324"/>
    <n v="2020"/>
    <n v="1"/>
    <x v="4"/>
    <n v="14"/>
    <n v="129.99"/>
    <n v="1819.8600000000001"/>
  </r>
  <r>
    <n v="2173"/>
    <x v="9"/>
    <x v="319"/>
    <n v="2020"/>
    <n v="1"/>
    <x v="4"/>
    <n v="8"/>
    <n v="114.99"/>
    <n v="919.92"/>
  </r>
  <r>
    <n v="2174"/>
    <x v="9"/>
    <x v="325"/>
    <n v="2020"/>
    <n v="3"/>
    <x v="4"/>
    <n v="16"/>
    <n v="98.99"/>
    <n v="1583.84"/>
  </r>
  <r>
    <n v="2175"/>
    <x v="9"/>
    <x v="161"/>
    <n v="2020"/>
    <n v="3"/>
    <x v="4"/>
    <n v="12"/>
    <n v="149.49"/>
    <n v="1793.88"/>
  </r>
  <r>
    <n v="2176"/>
    <x v="0"/>
    <x v="326"/>
    <n v="2020"/>
    <n v="4"/>
    <x v="3"/>
    <n v="8"/>
    <n v="69.489999999999995"/>
    <n v="555.91999999999996"/>
  </r>
  <r>
    <n v="2177"/>
    <x v="0"/>
    <x v="327"/>
    <n v="2020"/>
    <n v="5"/>
    <x v="3"/>
    <n v="7"/>
    <n v="89.49"/>
    <n v="626.42999999999995"/>
  </r>
  <r>
    <n v="2178"/>
    <x v="5"/>
    <x v="328"/>
    <n v="2020"/>
    <n v="4"/>
    <x v="3"/>
    <n v="14"/>
    <n v="54.99"/>
    <n v="769.86"/>
  </r>
  <r>
    <n v="2179"/>
    <x v="5"/>
    <x v="112"/>
    <n v="2020"/>
    <n v="4"/>
    <x v="3"/>
    <n v="6"/>
    <n v="89.99"/>
    <n v="539.93999999999994"/>
  </r>
  <r>
    <n v="2180"/>
    <x v="5"/>
    <x v="329"/>
    <n v="2020"/>
    <n v="5"/>
    <x v="3"/>
    <n v="10"/>
    <n v="69.489999999999995"/>
    <n v="694.9"/>
  </r>
  <r>
    <n v="2181"/>
    <x v="5"/>
    <x v="330"/>
    <n v="2020"/>
    <n v="6"/>
    <x v="3"/>
    <n v="11"/>
    <n v="89.99"/>
    <n v="989.89"/>
  </r>
  <r>
    <n v="2182"/>
    <x v="5"/>
    <x v="331"/>
    <n v="2020"/>
    <n v="6"/>
    <x v="3"/>
    <n v="15"/>
    <n v="69.489999999999995"/>
    <n v="1042.3499999999999"/>
  </r>
  <r>
    <n v="2183"/>
    <x v="2"/>
    <x v="142"/>
    <n v="2020"/>
    <n v="4"/>
    <x v="1"/>
    <n v="18"/>
    <n v="119.99"/>
    <n v="2159.8199999999997"/>
  </r>
  <r>
    <n v="2184"/>
    <x v="2"/>
    <x v="332"/>
    <n v="2020"/>
    <n v="5"/>
    <x v="1"/>
    <n v="10"/>
    <n v="98.99"/>
    <n v="989.9"/>
  </r>
  <r>
    <n v="2185"/>
    <x v="4"/>
    <x v="328"/>
    <n v="2020"/>
    <n v="4"/>
    <x v="1"/>
    <n v="16"/>
    <n v="129.99"/>
    <n v="2079.84"/>
  </r>
  <r>
    <n v="2186"/>
    <x v="4"/>
    <x v="128"/>
    <n v="2020"/>
    <n v="6"/>
    <x v="1"/>
    <n v="10"/>
    <n v="119.99"/>
    <n v="1199.8999999999999"/>
  </r>
  <r>
    <n v="2187"/>
    <x v="5"/>
    <x v="328"/>
    <n v="2020"/>
    <n v="4"/>
    <x v="1"/>
    <n v="18"/>
    <n v="119.99"/>
    <n v="2159.8199999999997"/>
  </r>
  <r>
    <n v="2188"/>
    <x v="5"/>
    <x v="333"/>
    <n v="2020"/>
    <n v="4"/>
    <x v="1"/>
    <n v="12"/>
    <n v="89.99"/>
    <n v="1079.8799999999999"/>
  </r>
  <r>
    <n v="2189"/>
    <x v="5"/>
    <x v="334"/>
    <n v="2020"/>
    <n v="5"/>
    <x v="1"/>
    <n v="14"/>
    <n v="119.99"/>
    <n v="1679.86"/>
  </r>
  <r>
    <n v="2190"/>
    <x v="5"/>
    <x v="149"/>
    <n v="2020"/>
    <n v="6"/>
    <x v="1"/>
    <n v="8"/>
    <n v="89.99"/>
    <n v="719.92"/>
  </r>
  <r>
    <n v="2191"/>
    <x v="9"/>
    <x v="335"/>
    <n v="2020"/>
    <n v="4"/>
    <x v="1"/>
    <n v="10"/>
    <n v="119.99"/>
    <n v="1199.8999999999999"/>
  </r>
  <r>
    <n v="2192"/>
    <x v="9"/>
    <x v="326"/>
    <n v="2020"/>
    <n v="4"/>
    <x v="1"/>
    <n v="14"/>
    <n v="129.99"/>
    <n v="1819.8600000000001"/>
  </r>
  <r>
    <n v="2193"/>
    <x v="9"/>
    <x v="112"/>
    <n v="2020"/>
    <n v="4"/>
    <x v="1"/>
    <n v="6"/>
    <n v="149.99"/>
    <n v="899.94"/>
  </r>
  <r>
    <n v="2194"/>
    <x v="9"/>
    <x v="110"/>
    <n v="2020"/>
    <n v="6"/>
    <x v="1"/>
    <n v="8"/>
    <n v="119.99"/>
    <n v="959.92"/>
  </r>
  <r>
    <n v="2195"/>
    <x v="9"/>
    <x v="336"/>
    <n v="2020"/>
    <n v="6"/>
    <x v="1"/>
    <n v="5"/>
    <n v="129.99"/>
    <n v="649.95000000000005"/>
  </r>
  <r>
    <n v="2196"/>
    <x v="9"/>
    <x v="337"/>
    <n v="2020"/>
    <n v="6"/>
    <x v="1"/>
    <n v="6"/>
    <n v="89.45"/>
    <n v="536.70000000000005"/>
  </r>
  <r>
    <n v="2197"/>
    <x v="2"/>
    <x v="338"/>
    <n v="2020"/>
    <n v="4"/>
    <x v="0"/>
    <n v="12"/>
    <n v="39.99"/>
    <n v="479.88"/>
  </r>
  <r>
    <n v="2198"/>
    <x v="2"/>
    <x v="339"/>
    <n v="2020"/>
    <n v="5"/>
    <x v="0"/>
    <n v="8"/>
    <n v="49.45"/>
    <n v="395.6"/>
  </r>
  <r>
    <n v="2199"/>
    <x v="2"/>
    <x v="115"/>
    <n v="2020"/>
    <n v="5"/>
    <x v="0"/>
    <n v="9"/>
    <n v="64.45"/>
    <n v="580.05000000000007"/>
  </r>
  <r>
    <n v="2200"/>
    <x v="0"/>
    <x v="109"/>
    <n v="2020"/>
    <n v="4"/>
    <x v="0"/>
    <n v="4"/>
    <n v="49.45"/>
    <n v="197.8"/>
  </r>
  <r>
    <n v="2201"/>
    <x v="0"/>
    <x v="340"/>
    <n v="2020"/>
    <n v="4"/>
    <x v="0"/>
    <n v="6"/>
    <n v="68.989999999999995"/>
    <n v="413.93999999999994"/>
  </r>
  <r>
    <n v="2202"/>
    <x v="0"/>
    <x v="119"/>
    <n v="2020"/>
    <n v="6"/>
    <x v="0"/>
    <n v="8"/>
    <n v="78.989999999999995"/>
    <n v="631.91999999999996"/>
  </r>
  <r>
    <n v="2203"/>
    <x v="4"/>
    <x v="328"/>
    <n v="2020"/>
    <n v="4"/>
    <x v="0"/>
    <n v="11"/>
    <n v="109.89"/>
    <n v="1208.79"/>
  </r>
  <r>
    <n v="2204"/>
    <x v="4"/>
    <x v="130"/>
    <n v="2020"/>
    <n v="4"/>
    <x v="0"/>
    <n v="14"/>
    <n v="48.99"/>
    <n v="685.86"/>
  </r>
  <r>
    <n v="2205"/>
    <x v="5"/>
    <x v="341"/>
    <n v="2020"/>
    <n v="5"/>
    <x v="0"/>
    <n v="9"/>
    <n v="89.89"/>
    <n v="809.01"/>
  </r>
  <r>
    <n v="2206"/>
    <x v="5"/>
    <x v="342"/>
    <n v="2020"/>
    <n v="5"/>
    <x v="0"/>
    <n v="14"/>
    <n v="38.99"/>
    <n v="545.86"/>
  </r>
  <r>
    <n v="2207"/>
    <x v="5"/>
    <x v="343"/>
    <n v="2020"/>
    <n v="6"/>
    <x v="0"/>
    <n v="10"/>
    <n v="49.39"/>
    <n v="493.9"/>
  </r>
  <r>
    <n v="2208"/>
    <x v="5"/>
    <x v="119"/>
    <n v="2020"/>
    <n v="6"/>
    <x v="0"/>
    <n v="14"/>
    <n v="78.989999999999995"/>
    <n v="1105.8599999999999"/>
  </r>
  <r>
    <n v="2209"/>
    <x v="10"/>
    <x v="110"/>
    <n v="2020"/>
    <n v="6"/>
    <x v="0"/>
    <n v="6"/>
    <n v="39.99"/>
    <n v="239.94"/>
  </r>
  <r>
    <n v="2210"/>
    <x v="10"/>
    <x v="128"/>
    <n v="2020"/>
    <n v="6"/>
    <x v="0"/>
    <n v="8"/>
    <n v="78.989999999999995"/>
    <n v="631.91999999999996"/>
  </r>
  <r>
    <n v="2211"/>
    <x v="10"/>
    <x v="138"/>
    <n v="2020"/>
    <n v="5"/>
    <x v="0"/>
    <n v="14"/>
    <n v="89.45"/>
    <n v="1252.3"/>
  </r>
  <r>
    <n v="2212"/>
    <x v="10"/>
    <x v="344"/>
    <n v="2020"/>
    <n v="5"/>
    <x v="0"/>
    <n v="11"/>
    <n v="38.99"/>
    <n v="428.89000000000004"/>
  </r>
  <r>
    <n v="2213"/>
    <x v="10"/>
    <x v="328"/>
    <n v="2020"/>
    <n v="4"/>
    <x v="0"/>
    <n v="6"/>
    <n v="49.99"/>
    <n v="299.94"/>
  </r>
  <r>
    <n v="2214"/>
    <x v="10"/>
    <x v="345"/>
    <n v="2020"/>
    <n v="4"/>
    <x v="0"/>
    <n v="4"/>
    <n v="79.989999999999995"/>
    <n v="319.95999999999998"/>
  </r>
  <r>
    <n v="2215"/>
    <x v="9"/>
    <x v="326"/>
    <n v="2020"/>
    <n v="4"/>
    <x v="0"/>
    <n v="3"/>
    <n v="49.99"/>
    <n v="149.97"/>
  </r>
  <r>
    <n v="2216"/>
    <x v="9"/>
    <x v="338"/>
    <n v="2020"/>
    <n v="4"/>
    <x v="0"/>
    <n v="5"/>
    <n v="69.989999999999995"/>
    <n v="349.95"/>
  </r>
  <r>
    <n v="2217"/>
    <x v="9"/>
    <x v="346"/>
    <n v="2020"/>
    <n v="4"/>
    <x v="0"/>
    <n v="7"/>
    <n v="78.989999999999995"/>
    <n v="552.92999999999995"/>
  </r>
  <r>
    <n v="2218"/>
    <x v="9"/>
    <x v="347"/>
    <n v="2020"/>
    <n v="6"/>
    <x v="0"/>
    <n v="12"/>
    <n v="34.99"/>
    <n v="419.88"/>
  </r>
  <r>
    <n v="2219"/>
    <x v="9"/>
    <x v="348"/>
    <n v="2020"/>
    <n v="6"/>
    <x v="0"/>
    <n v="8"/>
    <n v="79.989999999999995"/>
    <n v="639.91999999999996"/>
  </r>
  <r>
    <n v="2220"/>
    <x v="9"/>
    <x v="349"/>
    <n v="2020"/>
    <n v="6"/>
    <x v="0"/>
    <n v="14"/>
    <n v="49.45"/>
    <n v="692.30000000000007"/>
  </r>
  <r>
    <n v="2221"/>
    <x v="9"/>
    <x v="106"/>
    <n v="2020"/>
    <n v="4"/>
    <x v="2"/>
    <n v="21"/>
    <n v="49.99"/>
    <n v="1049.79"/>
  </r>
  <r>
    <n v="2222"/>
    <x v="9"/>
    <x v="344"/>
    <n v="2020"/>
    <n v="5"/>
    <x v="2"/>
    <n v="18"/>
    <n v="99.5"/>
    <n v="1791"/>
  </r>
  <r>
    <n v="2223"/>
    <x v="9"/>
    <x v="350"/>
    <n v="2020"/>
    <n v="5"/>
    <x v="2"/>
    <n v="20"/>
    <n v="39.49"/>
    <n v="789.80000000000007"/>
  </r>
  <r>
    <n v="2224"/>
    <x v="9"/>
    <x v="351"/>
    <n v="2020"/>
    <n v="5"/>
    <x v="2"/>
    <n v="15"/>
    <n v="69.489999999999995"/>
    <n v="1042.3499999999999"/>
  </r>
  <r>
    <n v="2225"/>
    <x v="4"/>
    <x v="352"/>
    <n v="2020"/>
    <n v="4"/>
    <x v="4"/>
    <n v="12"/>
    <n v="79.989999999999995"/>
    <n v="959.87999999999988"/>
  </r>
  <r>
    <n v="2226"/>
    <x v="4"/>
    <x v="328"/>
    <n v="2020"/>
    <n v="4"/>
    <x v="4"/>
    <n v="8"/>
    <n v="119.49"/>
    <n v="955.92"/>
  </r>
  <r>
    <n v="2227"/>
    <x v="4"/>
    <x v="344"/>
    <n v="2020"/>
    <n v="5"/>
    <x v="4"/>
    <n v="5"/>
    <n v="139.99"/>
    <n v="699.95"/>
  </r>
  <r>
    <n v="2228"/>
    <x v="4"/>
    <x v="336"/>
    <n v="2020"/>
    <n v="6"/>
    <x v="4"/>
    <n v="6"/>
    <n v="98.99"/>
    <n v="593.93999999999994"/>
  </r>
  <r>
    <n v="2229"/>
    <x v="4"/>
    <x v="330"/>
    <n v="2020"/>
    <n v="6"/>
    <x v="4"/>
    <n v="12"/>
    <n v="123.59"/>
    <n v="1483.08"/>
  </r>
  <r>
    <n v="2230"/>
    <x v="4"/>
    <x v="353"/>
    <n v="2020"/>
    <n v="6"/>
    <x v="4"/>
    <n v="9"/>
    <n v="79.989999999999995"/>
    <n v="719.91"/>
  </r>
  <r>
    <n v="2231"/>
    <x v="10"/>
    <x v="354"/>
    <n v="2020"/>
    <n v="4"/>
    <x v="4"/>
    <n v="4"/>
    <n v="49.99"/>
    <n v="199.96"/>
  </r>
  <r>
    <n v="2232"/>
    <x v="10"/>
    <x v="130"/>
    <n v="2020"/>
    <n v="4"/>
    <x v="4"/>
    <n v="6"/>
    <n v="119.99"/>
    <n v="719.93999999999994"/>
  </r>
  <r>
    <n v="2233"/>
    <x v="10"/>
    <x v="133"/>
    <n v="2020"/>
    <n v="4"/>
    <x v="4"/>
    <n v="10"/>
    <n v="79.989999999999995"/>
    <n v="799.9"/>
  </r>
  <r>
    <n v="2234"/>
    <x v="2"/>
    <x v="355"/>
    <n v="2020"/>
    <n v="7"/>
    <x v="3"/>
    <n v="18"/>
    <n v="104.99"/>
    <n v="1889.82"/>
  </r>
  <r>
    <n v="2235"/>
    <x v="2"/>
    <x v="356"/>
    <n v="2020"/>
    <n v="7"/>
    <x v="3"/>
    <n v="15"/>
    <n v="119.49"/>
    <n v="1792.35"/>
  </r>
  <r>
    <n v="2236"/>
    <x v="2"/>
    <x v="357"/>
    <n v="2020"/>
    <n v="8"/>
    <x v="3"/>
    <n v="18"/>
    <n v="88.99"/>
    <n v="1601.82"/>
  </r>
  <r>
    <n v="2237"/>
    <x v="2"/>
    <x v="358"/>
    <n v="2020"/>
    <n v="8"/>
    <x v="3"/>
    <n v="10"/>
    <n v="119.49"/>
    <n v="1194.8999999999999"/>
  </r>
  <r>
    <n v="2238"/>
    <x v="2"/>
    <x v="153"/>
    <n v="2020"/>
    <n v="9"/>
    <x v="3"/>
    <n v="16"/>
    <n v="99.49"/>
    <n v="1591.84"/>
  </r>
  <r>
    <n v="2239"/>
    <x v="8"/>
    <x v="359"/>
    <n v="2020"/>
    <n v="7"/>
    <x v="3"/>
    <n v="14"/>
    <n v="91.45"/>
    <n v="1280.3"/>
  </r>
  <r>
    <n v="2240"/>
    <x v="8"/>
    <x v="360"/>
    <n v="2020"/>
    <n v="7"/>
    <x v="3"/>
    <n v="19"/>
    <n v="88.99"/>
    <n v="1690.81"/>
  </r>
  <r>
    <n v="2241"/>
    <x v="8"/>
    <x v="361"/>
    <n v="2020"/>
    <n v="9"/>
    <x v="3"/>
    <n v="20"/>
    <n v="99.49"/>
    <n v="1989.8"/>
  </r>
  <r>
    <n v="2242"/>
    <x v="4"/>
    <x v="362"/>
    <n v="2020"/>
    <n v="7"/>
    <x v="3"/>
    <n v="14"/>
    <n v="109.89"/>
    <n v="1538.46"/>
  </r>
  <r>
    <n v="2243"/>
    <x v="4"/>
    <x v="363"/>
    <n v="2020"/>
    <n v="7"/>
    <x v="3"/>
    <n v="9"/>
    <n v="99.49"/>
    <n v="895.41"/>
  </r>
  <r>
    <n v="2244"/>
    <x v="4"/>
    <x v="364"/>
    <n v="2020"/>
    <n v="8"/>
    <x v="3"/>
    <n v="8"/>
    <n v="99.49"/>
    <n v="795.92"/>
  </r>
  <r>
    <n v="2245"/>
    <x v="4"/>
    <x v="365"/>
    <n v="2020"/>
    <n v="8"/>
    <x v="3"/>
    <n v="6"/>
    <n v="109.89"/>
    <n v="659.34"/>
  </r>
  <r>
    <n v="2246"/>
    <x v="5"/>
    <x v="366"/>
    <n v="2020"/>
    <n v="7"/>
    <x v="3"/>
    <n v="14"/>
    <n v="69.989999999999995"/>
    <n v="979.8599999999999"/>
  </r>
  <r>
    <n v="2247"/>
    <x v="5"/>
    <x v="367"/>
    <n v="2020"/>
    <n v="7"/>
    <x v="3"/>
    <n v="8"/>
    <n v="44.99"/>
    <n v="359.92"/>
  </r>
  <r>
    <n v="2248"/>
    <x v="10"/>
    <x v="368"/>
    <n v="2020"/>
    <n v="7"/>
    <x v="3"/>
    <n v="10"/>
    <n v="88.49"/>
    <n v="884.9"/>
  </r>
  <r>
    <n v="2249"/>
    <x v="10"/>
    <x v="369"/>
    <n v="2020"/>
    <n v="7"/>
    <x v="3"/>
    <n v="14"/>
    <n v="119.49"/>
    <n v="1672.86"/>
  </r>
  <r>
    <n v="2250"/>
    <x v="10"/>
    <x v="370"/>
    <n v="2020"/>
    <n v="8"/>
    <x v="3"/>
    <n v="8"/>
    <n v="109.89"/>
    <n v="879.12"/>
  </r>
  <r>
    <n v="2251"/>
    <x v="10"/>
    <x v="120"/>
    <n v="2020"/>
    <n v="8"/>
    <x v="3"/>
    <n v="8"/>
    <n v="69.489999999999995"/>
    <n v="555.91999999999996"/>
  </r>
  <r>
    <n v="2252"/>
    <x v="10"/>
    <x v="371"/>
    <n v="2020"/>
    <n v="9"/>
    <x v="3"/>
    <n v="14"/>
    <n v="64.989999999999995"/>
    <n v="909.8599999999999"/>
  </r>
  <r>
    <n v="2253"/>
    <x v="10"/>
    <x v="372"/>
    <n v="2020"/>
    <n v="9"/>
    <x v="3"/>
    <n v="15"/>
    <n v="88.49"/>
    <n v="1327.35"/>
  </r>
  <r>
    <n v="2254"/>
    <x v="9"/>
    <x v="367"/>
    <n v="2020"/>
    <n v="7"/>
    <x v="3"/>
    <n v="16"/>
    <n v="109.49"/>
    <n v="1751.84"/>
  </r>
  <r>
    <n v="2255"/>
    <x v="9"/>
    <x v="366"/>
    <n v="2020"/>
    <n v="7"/>
    <x v="3"/>
    <n v="6"/>
    <n v="119.49"/>
    <n v="716.93999999999994"/>
  </r>
  <r>
    <n v="2256"/>
    <x v="9"/>
    <x v="373"/>
    <n v="2020"/>
    <n v="7"/>
    <x v="3"/>
    <n v="7"/>
    <n v="109.99"/>
    <n v="769.93"/>
  </r>
  <r>
    <n v="2257"/>
    <x v="9"/>
    <x v="369"/>
    <n v="2020"/>
    <n v="7"/>
    <x v="3"/>
    <n v="4"/>
    <n v="61.99"/>
    <n v="247.96"/>
  </r>
  <r>
    <n v="2258"/>
    <x v="9"/>
    <x v="143"/>
    <n v="2020"/>
    <n v="8"/>
    <x v="3"/>
    <n v="5"/>
    <n v="88.49"/>
    <n v="442.45"/>
  </r>
  <r>
    <n v="2259"/>
    <x v="9"/>
    <x v="374"/>
    <n v="2020"/>
    <n v="9"/>
    <x v="3"/>
    <n v="2"/>
    <n v="109.99"/>
    <n v="219.98"/>
  </r>
  <r>
    <n v="2260"/>
    <x v="9"/>
    <x v="113"/>
    <n v="2020"/>
    <n v="9"/>
    <x v="3"/>
    <n v="13"/>
    <n v="119.49"/>
    <n v="1553.37"/>
  </r>
  <r>
    <n v="2261"/>
    <x v="9"/>
    <x v="375"/>
    <n v="2020"/>
    <n v="9"/>
    <x v="3"/>
    <n v="6"/>
    <n v="68.989999999999995"/>
    <n v="413.93999999999994"/>
  </r>
  <r>
    <n v="2262"/>
    <x v="0"/>
    <x v="360"/>
    <n v="2020"/>
    <n v="7"/>
    <x v="1"/>
    <n v="26"/>
    <n v="12.5"/>
    <n v="325"/>
  </r>
  <r>
    <n v="2263"/>
    <x v="0"/>
    <x v="366"/>
    <n v="2020"/>
    <n v="7"/>
    <x v="1"/>
    <n v="38"/>
    <n v="10.28"/>
    <n v="390.64"/>
  </r>
  <r>
    <n v="2264"/>
    <x v="0"/>
    <x v="376"/>
    <n v="2020"/>
    <n v="8"/>
    <x v="1"/>
    <n v="40"/>
    <n v="11.98"/>
    <n v="479.20000000000005"/>
  </r>
  <r>
    <n v="2265"/>
    <x v="0"/>
    <x v="364"/>
    <n v="2020"/>
    <n v="8"/>
    <x v="1"/>
    <n v="54"/>
    <n v="10.28"/>
    <n v="555.12"/>
  </r>
  <r>
    <n v="2266"/>
    <x v="0"/>
    <x v="113"/>
    <n v="2020"/>
    <n v="9"/>
    <x v="1"/>
    <n v="31"/>
    <n v="11.98"/>
    <n v="371.38"/>
  </r>
  <r>
    <n v="2267"/>
    <x v="8"/>
    <x v="355"/>
    <n v="2020"/>
    <n v="7"/>
    <x v="1"/>
    <n v="40"/>
    <n v="10.28"/>
    <n v="411.2"/>
  </r>
  <r>
    <n v="2268"/>
    <x v="8"/>
    <x v="369"/>
    <n v="2020"/>
    <n v="7"/>
    <x v="1"/>
    <n v="25"/>
    <n v="12.5"/>
    <n v="312.5"/>
  </r>
  <r>
    <n v="2269"/>
    <x v="8"/>
    <x v="120"/>
    <n v="2020"/>
    <n v="8"/>
    <x v="1"/>
    <n v="37"/>
    <n v="11.98"/>
    <n v="443.26"/>
  </r>
  <r>
    <n v="2270"/>
    <x v="8"/>
    <x v="375"/>
    <n v="2020"/>
    <n v="9"/>
    <x v="1"/>
    <n v="37"/>
    <n v="12.5"/>
    <n v="462.5"/>
  </r>
  <r>
    <n v="2271"/>
    <x v="8"/>
    <x v="377"/>
    <n v="2020"/>
    <n v="9"/>
    <x v="1"/>
    <n v="28"/>
    <n v="11.98"/>
    <n v="335.44"/>
  </r>
  <r>
    <n v="2272"/>
    <x v="10"/>
    <x v="369"/>
    <n v="2020"/>
    <n v="7"/>
    <x v="1"/>
    <n v="34"/>
    <n v="12.5"/>
    <n v="425"/>
  </r>
  <r>
    <n v="2273"/>
    <x v="10"/>
    <x v="153"/>
    <n v="2020"/>
    <n v="9"/>
    <x v="1"/>
    <n v="40"/>
    <n v="11.98"/>
    <n v="479.20000000000005"/>
  </r>
  <r>
    <n v="2274"/>
    <x v="9"/>
    <x v="146"/>
    <n v="2020"/>
    <n v="7"/>
    <x v="1"/>
    <n v="62"/>
    <n v="12.5"/>
    <n v="775"/>
  </r>
  <r>
    <n v="2275"/>
    <x v="9"/>
    <x v="368"/>
    <n v="2020"/>
    <n v="7"/>
    <x v="1"/>
    <n v="56"/>
    <n v="11.98"/>
    <n v="670.88"/>
  </r>
  <r>
    <n v="2276"/>
    <x v="9"/>
    <x v="378"/>
    <n v="2020"/>
    <n v="7"/>
    <x v="1"/>
    <n v="42"/>
    <n v="12.5"/>
    <n v="525"/>
  </r>
  <r>
    <n v="2277"/>
    <x v="9"/>
    <x v="379"/>
    <n v="2020"/>
    <n v="7"/>
    <x v="1"/>
    <n v="36"/>
    <n v="11.98"/>
    <n v="431.28000000000003"/>
  </r>
  <r>
    <n v="2278"/>
    <x v="9"/>
    <x v="380"/>
    <n v="2020"/>
    <n v="8"/>
    <x v="1"/>
    <n v="45"/>
    <n v="12.5"/>
    <n v="562.5"/>
  </r>
  <r>
    <n v="2279"/>
    <x v="9"/>
    <x v="381"/>
    <n v="2020"/>
    <n v="9"/>
    <x v="1"/>
    <n v="42"/>
    <n v="11.98"/>
    <n v="503.16"/>
  </r>
  <r>
    <n v="2280"/>
    <x v="4"/>
    <x v="113"/>
    <n v="2020"/>
    <n v="9"/>
    <x v="0"/>
    <n v="24"/>
    <n v="9"/>
    <n v="216"/>
  </r>
  <r>
    <n v="2281"/>
    <x v="4"/>
    <x v="113"/>
    <n v="2020"/>
    <n v="9"/>
    <x v="0"/>
    <n v="38"/>
    <n v="7.99"/>
    <n v="303.62"/>
  </r>
  <r>
    <n v="2282"/>
    <x v="4"/>
    <x v="382"/>
    <n v="2020"/>
    <n v="8"/>
    <x v="0"/>
    <n v="42"/>
    <n v="9"/>
    <n v="378"/>
  </r>
  <r>
    <n v="2283"/>
    <x v="4"/>
    <x v="383"/>
    <n v="2020"/>
    <n v="8"/>
    <x v="0"/>
    <n v="46"/>
    <n v="7.99"/>
    <n v="367.54"/>
  </r>
  <r>
    <n v="2284"/>
    <x v="4"/>
    <x v="384"/>
    <n v="2020"/>
    <n v="8"/>
    <x v="0"/>
    <n v="56"/>
    <n v="7.4"/>
    <n v="414.40000000000003"/>
  </r>
  <r>
    <n v="2285"/>
    <x v="4"/>
    <x v="385"/>
    <n v="2020"/>
    <n v="9"/>
    <x v="0"/>
    <n v="39"/>
    <n v="7.99"/>
    <n v="311.61"/>
  </r>
  <r>
    <n v="2286"/>
    <x v="9"/>
    <x v="368"/>
    <n v="2020"/>
    <n v="7"/>
    <x v="0"/>
    <n v="34"/>
    <n v="7.4"/>
    <n v="251.60000000000002"/>
  </r>
  <r>
    <n v="2287"/>
    <x v="9"/>
    <x v="386"/>
    <n v="2020"/>
    <n v="7"/>
    <x v="0"/>
    <n v="37"/>
    <n v="9"/>
    <n v="333"/>
  </r>
  <r>
    <n v="2288"/>
    <x v="9"/>
    <x v="387"/>
    <n v="2020"/>
    <n v="9"/>
    <x v="0"/>
    <n v="45"/>
    <n v="7.99"/>
    <n v="359.55"/>
  </r>
  <r>
    <n v="2289"/>
    <x v="9"/>
    <x v="388"/>
    <n v="2020"/>
    <n v="9"/>
    <x v="0"/>
    <n v="54"/>
    <n v="7.4"/>
    <n v="399.6"/>
  </r>
  <r>
    <n v="2290"/>
    <x v="2"/>
    <x v="366"/>
    <n v="2020"/>
    <n v="7"/>
    <x v="2"/>
    <n v="34"/>
    <n v="5.64"/>
    <n v="191.76"/>
  </r>
  <r>
    <n v="2291"/>
    <x v="2"/>
    <x v="389"/>
    <n v="2020"/>
    <n v="7"/>
    <x v="2"/>
    <n v="56"/>
    <n v="8.25"/>
    <n v="462"/>
  </r>
  <r>
    <n v="2292"/>
    <x v="2"/>
    <x v="143"/>
    <n v="2020"/>
    <n v="8"/>
    <x v="2"/>
    <n v="46"/>
    <n v="8.98"/>
    <n v="413.08000000000004"/>
  </r>
  <r>
    <n v="2293"/>
    <x v="2"/>
    <x v="390"/>
    <n v="2020"/>
    <n v="8"/>
    <x v="2"/>
    <n v="40"/>
    <n v="5.64"/>
    <n v="225.6"/>
  </r>
  <r>
    <n v="2294"/>
    <x v="2"/>
    <x v="371"/>
    <n v="2020"/>
    <n v="9"/>
    <x v="2"/>
    <n v="34"/>
    <n v="5.64"/>
    <n v="191.76"/>
  </r>
  <r>
    <n v="2295"/>
    <x v="2"/>
    <x v="375"/>
    <n v="2020"/>
    <n v="9"/>
    <x v="2"/>
    <n v="39"/>
    <n v="8.98"/>
    <n v="350.22"/>
  </r>
  <r>
    <n v="2296"/>
    <x v="2"/>
    <x v="391"/>
    <n v="2020"/>
    <n v="9"/>
    <x v="2"/>
    <n v="41"/>
    <n v="8.25"/>
    <n v="338.25"/>
  </r>
  <r>
    <n v="2297"/>
    <x v="4"/>
    <x v="369"/>
    <n v="2020"/>
    <n v="7"/>
    <x v="2"/>
    <n v="30"/>
    <n v="5.64"/>
    <n v="169.2"/>
  </r>
  <r>
    <n v="2298"/>
    <x v="4"/>
    <x v="366"/>
    <n v="2020"/>
    <n v="7"/>
    <x v="2"/>
    <n v="35"/>
    <n v="8.98"/>
    <n v="314.3"/>
  </r>
  <r>
    <n v="2299"/>
    <x v="4"/>
    <x v="153"/>
    <n v="2020"/>
    <n v="9"/>
    <x v="2"/>
    <n v="45"/>
    <n v="8.25"/>
    <n v="371.25"/>
  </r>
  <r>
    <n v="2300"/>
    <x v="4"/>
    <x v="392"/>
    <n v="2020"/>
    <n v="9"/>
    <x v="2"/>
    <n v="52"/>
    <n v="5.64"/>
    <n v="293.27999999999997"/>
  </r>
  <r>
    <n v="2301"/>
    <x v="0"/>
    <x v="393"/>
    <n v="2020"/>
    <n v="8"/>
    <x v="2"/>
    <n v="35"/>
    <n v="8.98"/>
    <n v="314.3"/>
  </r>
  <r>
    <n v="2302"/>
    <x v="0"/>
    <x v="120"/>
    <n v="2020"/>
    <n v="8"/>
    <x v="2"/>
    <n v="36"/>
    <n v="5.64"/>
    <n v="203.04"/>
  </r>
  <r>
    <n v="2303"/>
    <x v="0"/>
    <x v="380"/>
    <n v="2020"/>
    <n v="8"/>
    <x v="2"/>
    <n v="40"/>
    <n v="8.25"/>
    <n v="330"/>
  </r>
  <r>
    <n v="2304"/>
    <x v="2"/>
    <x v="394"/>
    <n v="2020"/>
    <n v="7"/>
    <x v="4"/>
    <n v="46"/>
    <n v="9.98"/>
    <n v="459.08000000000004"/>
  </r>
  <r>
    <n v="2305"/>
    <x v="2"/>
    <x v="395"/>
    <n v="2020"/>
    <n v="9"/>
    <x v="4"/>
    <n v="55"/>
    <n v="9.43"/>
    <n v="518.65"/>
  </r>
  <r>
    <n v="2306"/>
    <x v="2"/>
    <x v="364"/>
    <n v="2020"/>
    <n v="8"/>
    <x v="4"/>
    <n v="46"/>
    <n v="8.5500000000000007"/>
    <n v="393.3"/>
  </r>
  <r>
    <n v="2307"/>
    <x v="2"/>
    <x v="102"/>
    <n v="2020"/>
    <n v="8"/>
    <x v="4"/>
    <n v="36"/>
    <n v="8.98"/>
    <n v="323.28000000000003"/>
  </r>
  <r>
    <n v="2308"/>
    <x v="2"/>
    <x v="396"/>
    <n v="2020"/>
    <n v="7"/>
    <x v="4"/>
    <n v="27"/>
    <n v="9.98"/>
    <n v="269.46000000000004"/>
  </r>
  <r>
    <n v="2309"/>
    <x v="2"/>
    <x v="364"/>
    <n v="2020"/>
    <n v="8"/>
    <x v="4"/>
    <n v="29"/>
    <n v="9.43"/>
    <n v="273.46999999999997"/>
  </r>
  <r>
    <n v="2310"/>
    <x v="2"/>
    <x v="397"/>
    <n v="2020"/>
    <n v="9"/>
    <x v="4"/>
    <n v="26"/>
    <n v="9.98"/>
    <n v="259.48"/>
  </r>
  <r>
    <n v="2311"/>
    <x v="4"/>
    <x v="366"/>
    <n v="2020"/>
    <n v="7"/>
    <x v="4"/>
    <n v="45"/>
    <n v="9.43"/>
    <n v="424.34999999999997"/>
  </r>
  <r>
    <n v="2312"/>
    <x v="4"/>
    <x v="398"/>
    <n v="2020"/>
    <n v="7"/>
    <x v="4"/>
    <n v="56"/>
    <n v="9.98"/>
    <n v="558.88"/>
  </r>
  <r>
    <n v="2313"/>
    <x v="4"/>
    <x v="364"/>
    <n v="2020"/>
    <n v="8"/>
    <x v="4"/>
    <n v="62"/>
    <n v="9.43"/>
    <n v="584.66"/>
  </r>
  <r>
    <n v="2314"/>
    <x v="4"/>
    <x v="390"/>
    <n v="2020"/>
    <n v="8"/>
    <x v="4"/>
    <n v="37"/>
    <n v="9.98"/>
    <n v="369.26"/>
  </r>
  <r>
    <n v="2315"/>
    <x v="4"/>
    <x v="399"/>
    <n v="2020"/>
    <n v="9"/>
    <x v="4"/>
    <n v="45"/>
    <n v="9.43"/>
    <n v="424.34999999999997"/>
  </r>
  <r>
    <n v="2316"/>
    <x v="4"/>
    <x v="385"/>
    <n v="2020"/>
    <n v="9"/>
    <x v="4"/>
    <n v="53"/>
    <n v="9.4499999999999993"/>
    <n v="500.84999999999997"/>
  </r>
  <r>
    <n v="2317"/>
    <x v="5"/>
    <x v="360"/>
    <n v="2020"/>
    <n v="7"/>
    <x v="4"/>
    <n v="45"/>
    <n v="9.43"/>
    <n v="424.34999999999997"/>
  </r>
  <r>
    <n v="2318"/>
    <x v="5"/>
    <x v="379"/>
    <n v="2020"/>
    <n v="7"/>
    <x v="4"/>
    <n v="36"/>
    <n v="9.98"/>
    <n v="359.28000000000003"/>
  </r>
  <r>
    <n v="2319"/>
    <x v="10"/>
    <x v="369"/>
    <n v="2020"/>
    <n v="7"/>
    <x v="4"/>
    <n v="26"/>
    <n v="9.43"/>
    <n v="245.18"/>
  </r>
  <r>
    <n v="2320"/>
    <x v="10"/>
    <x v="366"/>
    <n v="2020"/>
    <n v="7"/>
    <x v="4"/>
    <n v="45"/>
    <n v="9.43"/>
    <n v="424.34999999999997"/>
  </r>
  <r>
    <n v="2321"/>
    <x v="10"/>
    <x v="379"/>
    <n v="2020"/>
    <n v="7"/>
    <x v="4"/>
    <n v="36"/>
    <n v="9.98"/>
    <n v="359.28000000000003"/>
  </r>
  <r>
    <n v="2322"/>
    <x v="10"/>
    <x v="364"/>
    <n v="2020"/>
    <n v="8"/>
    <x v="4"/>
    <n v="34"/>
    <n v="9.43"/>
    <n v="320.62"/>
  </r>
  <r>
    <n v="2323"/>
    <x v="10"/>
    <x v="375"/>
    <n v="2020"/>
    <n v="9"/>
    <x v="4"/>
    <n v="54"/>
    <n v="9.98"/>
    <n v="538.92000000000007"/>
  </r>
  <r>
    <n v="2324"/>
    <x v="10"/>
    <x v="400"/>
    <n v="2020"/>
    <n v="9"/>
    <x v="4"/>
    <n v="34"/>
    <n v="9.68"/>
    <n v="329.12"/>
  </r>
  <r>
    <n v="2325"/>
    <x v="10"/>
    <x v="395"/>
    <n v="2020"/>
    <n v="9"/>
    <x v="4"/>
    <n v="40"/>
    <n v="8.5500000000000007"/>
    <n v="342"/>
  </r>
  <r>
    <n v="2326"/>
    <x v="2"/>
    <x v="135"/>
    <n v="2020"/>
    <n v="10"/>
    <x v="3"/>
    <n v="42"/>
    <n v="8.98"/>
    <n v="377.16"/>
  </r>
  <r>
    <n v="2327"/>
    <x v="2"/>
    <x v="401"/>
    <n v="2020"/>
    <n v="11"/>
    <x v="3"/>
    <n v="54"/>
    <n v="7.98"/>
    <n v="430.92"/>
  </r>
  <r>
    <n v="2328"/>
    <x v="2"/>
    <x v="402"/>
    <n v="2020"/>
    <n v="12"/>
    <x v="3"/>
    <n v="45"/>
    <n v="8.98"/>
    <n v="404.1"/>
  </r>
  <r>
    <n v="2329"/>
    <x v="2"/>
    <x v="403"/>
    <n v="2020"/>
    <n v="12"/>
    <x v="3"/>
    <n v="65"/>
    <n v="8.98"/>
    <n v="583.70000000000005"/>
  </r>
  <r>
    <n v="2330"/>
    <x v="0"/>
    <x v="154"/>
    <n v="2020"/>
    <n v="10"/>
    <x v="3"/>
    <n v="78"/>
    <n v="7.98"/>
    <n v="622.44000000000005"/>
  </r>
  <r>
    <n v="2331"/>
    <x v="0"/>
    <x v="404"/>
    <n v="2020"/>
    <n v="10"/>
    <x v="3"/>
    <n v="54"/>
    <n v="8.98"/>
    <n v="484.92"/>
  </r>
  <r>
    <n v="2332"/>
    <x v="0"/>
    <x v="134"/>
    <n v="2020"/>
    <n v="11"/>
    <x v="3"/>
    <n v="45"/>
    <n v="7.98"/>
    <n v="359.1"/>
  </r>
  <r>
    <n v="2333"/>
    <x v="0"/>
    <x v="405"/>
    <n v="2020"/>
    <n v="12"/>
    <x v="3"/>
    <n v="58"/>
    <n v="8.98"/>
    <n v="520.84"/>
  </r>
  <r>
    <n v="2334"/>
    <x v="0"/>
    <x v="403"/>
    <n v="2020"/>
    <n v="12"/>
    <x v="3"/>
    <n v="83"/>
    <n v="7.98"/>
    <n v="662.34"/>
  </r>
  <r>
    <n v="2335"/>
    <x v="10"/>
    <x v="299"/>
    <n v="2020"/>
    <n v="10"/>
    <x v="3"/>
    <n v="56"/>
    <n v="7.98"/>
    <n v="446.88"/>
  </r>
  <r>
    <n v="2336"/>
    <x v="10"/>
    <x v="298"/>
    <n v="2020"/>
    <n v="10"/>
    <x v="3"/>
    <n v="50"/>
    <n v="8.98"/>
    <n v="449"/>
  </r>
  <r>
    <n v="2337"/>
    <x v="10"/>
    <x v="302"/>
    <n v="2020"/>
    <n v="11"/>
    <x v="3"/>
    <n v="45"/>
    <n v="8.98"/>
    <n v="404.1"/>
  </r>
  <r>
    <n v="2338"/>
    <x v="10"/>
    <x v="406"/>
    <n v="2020"/>
    <n v="11"/>
    <x v="3"/>
    <n v="46"/>
    <n v="7.98"/>
    <n v="367.08000000000004"/>
  </r>
  <r>
    <n v="2339"/>
    <x v="10"/>
    <x v="407"/>
    <n v="2020"/>
    <n v="12"/>
    <x v="3"/>
    <n v="40"/>
    <n v="7.98"/>
    <n v="319.20000000000005"/>
  </r>
  <r>
    <n v="2340"/>
    <x v="4"/>
    <x v="135"/>
    <n v="2020"/>
    <n v="10"/>
    <x v="1"/>
    <n v="45"/>
    <n v="10.89"/>
    <n v="490.05"/>
  </r>
  <r>
    <n v="2341"/>
    <x v="4"/>
    <x v="408"/>
    <n v="2020"/>
    <n v="10"/>
    <x v="1"/>
    <n v="51"/>
    <n v="13.98"/>
    <n v="712.98"/>
  </r>
  <r>
    <n v="2342"/>
    <x v="4"/>
    <x v="126"/>
    <n v="2020"/>
    <n v="11"/>
    <x v="1"/>
    <n v="56"/>
    <n v="10.89"/>
    <n v="609.84"/>
  </r>
  <r>
    <n v="2343"/>
    <x v="4"/>
    <x v="409"/>
    <n v="2020"/>
    <n v="11"/>
    <x v="1"/>
    <n v="39"/>
    <n v="13.98"/>
    <n v="545.22"/>
  </r>
  <r>
    <n v="2344"/>
    <x v="0"/>
    <x v="410"/>
    <n v="2020"/>
    <n v="10"/>
    <x v="0"/>
    <n v="49"/>
    <n v="5.47"/>
    <n v="268.02999999999997"/>
  </r>
  <r>
    <n v="2345"/>
    <x v="5"/>
    <x v="135"/>
    <n v="2020"/>
    <n v="10"/>
    <x v="0"/>
    <n v="40"/>
    <n v="8.4600000000000009"/>
    <n v="338.40000000000003"/>
  </r>
  <r>
    <n v="2346"/>
    <x v="5"/>
    <x v="154"/>
    <n v="2020"/>
    <n v="10"/>
    <x v="0"/>
    <n v="45"/>
    <n v="5.47"/>
    <n v="246.14999999999998"/>
  </r>
  <r>
    <n v="2347"/>
    <x v="5"/>
    <x v="411"/>
    <n v="2020"/>
    <n v="12"/>
    <x v="0"/>
    <n v="55"/>
    <n v="8.4600000000000009"/>
    <n v="465.30000000000007"/>
  </r>
  <r>
    <n v="2348"/>
    <x v="10"/>
    <x v="410"/>
    <n v="2020"/>
    <n v="10"/>
    <x v="0"/>
    <n v="40"/>
    <n v="5.47"/>
    <n v="218.79999999999998"/>
  </r>
  <r>
    <n v="2349"/>
    <x v="10"/>
    <x v="406"/>
    <n v="2020"/>
    <n v="11"/>
    <x v="0"/>
    <n v="39"/>
    <n v="8.4600000000000009"/>
    <n v="329.94000000000005"/>
  </r>
  <r>
    <n v="2350"/>
    <x v="10"/>
    <x v="402"/>
    <n v="2020"/>
    <n v="12"/>
    <x v="0"/>
    <n v="48"/>
    <n v="8.4600000000000009"/>
    <n v="406.08000000000004"/>
  </r>
  <r>
    <n v="2351"/>
    <x v="10"/>
    <x v="412"/>
    <n v="2020"/>
    <n v="12"/>
    <x v="0"/>
    <n v="52"/>
    <n v="8.4600000000000009"/>
    <n v="439.92000000000007"/>
  </r>
  <r>
    <n v="2352"/>
    <x v="2"/>
    <x v="413"/>
    <n v="2020"/>
    <n v="10"/>
    <x v="2"/>
    <n v="30"/>
    <n v="6.99"/>
    <n v="209.70000000000002"/>
  </r>
  <r>
    <n v="2353"/>
    <x v="2"/>
    <x v="414"/>
    <n v="2020"/>
    <n v="10"/>
    <x v="2"/>
    <n v="24"/>
    <n v="8.89"/>
    <n v="213.36"/>
  </r>
  <r>
    <n v="2354"/>
    <x v="2"/>
    <x v="134"/>
    <n v="2020"/>
    <n v="11"/>
    <x v="2"/>
    <n v="32"/>
    <n v="10.97"/>
    <n v="351.04"/>
  </r>
  <r>
    <n v="2355"/>
    <x v="2"/>
    <x v="415"/>
    <n v="2020"/>
    <n v="11"/>
    <x v="2"/>
    <n v="22"/>
    <n v="6.99"/>
    <n v="153.78"/>
  </r>
  <r>
    <n v="2356"/>
    <x v="2"/>
    <x v="127"/>
    <n v="2020"/>
    <n v="12"/>
    <x v="2"/>
    <n v="26"/>
    <n v="10.97"/>
    <n v="285.22000000000003"/>
  </r>
  <r>
    <n v="2357"/>
    <x v="0"/>
    <x v="134"/>
    <n v="2020"/>
    <n v="11"/>
    <x v="2"/>
    <n v="45"/>
    <n v="6.99"/>
    <n v="314.55"/>
  </r>
  <r>
    <n v="2358"/>
    <x v="0"/>
    <x v="416"/>
    <n v="2020"/>
    <n v="11"/>
    <x v="2"/>
    <n v="56"/>
    <n v="10.97"/>
    <n v="614.32000000000005"/>
  </r>
  <r>
    <n v="2359"/>
    <x v="4"/>
    <x v="135"/>
    <n v="2020"/>
    <n v="10"/>
    <x v="2"/>
    <n v="43"/>
    <n v="10.97"/>
    <n v="471.71000000000004"/>
  </r>
  <r>
    <n v="2360"/>
    <x v="4"/>
    <x v="414"/>
    <n v="2020"/>
    <n v="10"/>
    <x v="2"/>
    <n v="65"/>
    <n v="6.99"/>
    <n v="454.35"/>
  </r>
  <r>
    <n v="2361"/>
    <x v="4"/>
    <x v="116"/>
    <n v="2020"/>
    <n v="11"/>
    <x v="2"/>
    <n v="56"/>
    <n v="8.89"/>
    <n v="497.84000000000003"/>
  </r>
  <r>
    <n v="2362"/>
    <x v="4"/>
    <x v="409"/>
    <n v="2020"/>
    <n v="11"/>
    <x v="2"/>
    <n v="46"/>
    <n v="10.97"/>
    <n v="504.62"/>
  </r>
  <r>
    <n v="2363"/>
    <x v="4"/>
    <x v="417"/>
    <n v="2020"/>
    <n v="11"/>
    <x v="2"/>
    <n v="35"/>
    <n v="8.89"/>
    <n v="311.15000000000003"/>
  </r>
  <r>
    <n v="2364"/>
    <x v="4"/>
    <x v="418"/>
    <n v="2020"/>
    <n v="12"/>
    <x v="2"/>
    <n v="50"/>
    <n v="6.99"/>
    <n v="349.5"/>
  </r>
  <r>
    <n v="2365"/>
    <x v="5"/>
    <x v="299"/>
    <n v="2020"/>
    <n v="10"/>
    <x v="2"/>
    <n v="40"/>
    <n v="6.99"/>
    <n v="279.60000000000002"/>
  </r>
  <r>
    <n v="2366"/>
    <x v="5"/>
    <x v="300"/>
    <n v="2020"/>
    <n v="10"/>
    <x v="2"/>
    <n v="62"/>
    <n v="10.97"/>
    <n v="680.14"/>
  </r>
  <r>
    <n v="2367"/>
    <x v="10"/>
    <x v="419"/>
    <n v="2020"/>
    <n v="11"/>
    <x v="2"/>
    <n v="36"/>
    <n v="10.97"/>
    <n v="394.92"/>
  </r>
  <r>
    <n v="2368"/>
    <x v="10"/>
    <x v="123"/>
    <n v="2020"/>
    <n v="11"/>
    <x v="2"/>
    <n v="28"/>
    <n v="6.99"/>
    <n v="195.72"/>
  </r>
  <r>
    <n v="2369"/>
    <x v="2"/>
    <x v="413"/>
    <n v="2020"/>
    <n v="10"/>
    <x v="4"/>
    <n v="35"/>
    <n v="9.43"/>
    <n v="330.05"/>
  </r>
  <r>
    <n v="2370"/>
    <x v="2"/>
    <x v="300"/>
    <n v="2020"/>
    <n v="10"/>
    <x v="4"/>
    <n v="46"/>
    <n v="8.5500000000000007"/>
    <n v="393.3"/>
  </r>
  <r>
    <n v="2371"/>
    <x v="2"/>
    <x v="401"/>
    <n v="2020"/>
    <n v="11"/>
    <x v="4"/>
    <n v="42"/>
    <n v="9.98"/>
    <n v="419.16"/>
  </r>
  <r>
    <n v="2372"/>
    <x v="2"/>
    <x v="304"/>
    <n v="2020"/>
    <n v="12"/>
    <x v="4"/>
    <n v="54"/>
    <n v="9.43"/>
    <n v="509.21999999999997"/>
  </r>
  <r>
    <n v="2373"/>
    <x v="2"/>
    <x v="420"/>
    <n v="2020"/>
    <n v="12"/>
    <x v="4"/>
    <n v="69"/>
    <n v="8.5500000000000007"/>
    <n v="589.95000000000005"/>
  </r>
  <r>
    <n v="2374"/>
    <x v="0"/>
    <x v="401"/>
    <n v="2020"/>
    <n v="11"/>
    <x v="4"/>
    <n v="59"/>
    <n v="8.5500000000000007"/>
    <n v="504.45000000000005"/>
  </r>
  <r>
    <n v="2375"/>
    <x v="0"/>
    <x v="409"/>
    <n v="2020"/>
    <n v="11"/>
    <x v="4"/>
    <n v="60"/>
    <n v="9.98"/>
    <n v="598.80000000000007"/>
  </r>
  <r>
    <n v="2376"/>
    <x v="4"/>
    <x v="414"/>
    <n v="2020"/>
    <n v="10"/>
    <x v="4"/>
    <n v="17"/>
    <n v="8.5500000000000007"/>
    <n v="145.35000000000002"/>
  </r>
  <r>
    <n v="2377"/>
    <x v="4"/>
    <x v="421"/>
    <n v="2020"/>
    <n v="10"/>
    <x v="4"/>
    <n v="28"/>
    <n v="9.43"/>
    <n v="264.03999999999996"/>
  </r>
  <r>
    <n v="2378"/>
    <x v="4"/>
    <x v="422"/>
    <n v="2020"/>
    <n v="11"/>
    <x v="4"/>
    <n v="39"/>
    <n v="9.98"/>
    <n v="389.22"/>
  </r>
  <r>
    <n v="2379"/>
    <x v="4"/>
    <x v="409"/>
    <n v="2020"/>
    <n v="11"/>
    <x v="4"/>
    <n v="49"/>
    <n v="9.98"/>
    <n v="489.02000000000004"/>
  </r>
  <r>
    <n v="2380"/>
    <x v="4"/>
    <x v="423"/>
    <n v="2020"/>
    <n v="12"/>
    <x v="4"/>
    <n v="56"/>
    <n v="9.98"/>
    <n v="558.88"/>
  </r>
  <r>
    <n v="2381"/>
    <x v="5"/>
    <x v="421"/>
    <n v="2020"/>
    <n v="10"/>
    <x v="4"/>
    <n v="24"/>
    <n v="9.43"/>
    <n v="226.32"/>
  </r>
  <r>
    <n v="2382"/>
    <x v="5"/>
    <x v="413"/>
    <n v="2020"/>
    <n v="10"/>
    <x v="4"/>
    <n v="36"/>
    <n v="9.98"/>
    <n v="359.28000000000003"/>
  </r>
  <r>
    <n v="2383"/>
    <x v="5"/>
    <x v="124"/>
    <n v="2020"/>
    <n v="10"/>
    <x v="4"/>
    <n v="28"/>
    <n v="8.5500000000000007"/>
    <n v="239.40000000000003"/>
  </r>
  <r>
    <n v="2384"/>
    <x v="5"/>
    <x v="140"/>
    <n v="2020"/>
    <n v="11"/>
    <x v="4"/>
    <n v="30"/>
    <n v="8.5500000000000007"/>
    <n v="256.5"/>
  </r>
  <r>
    <n v="2385"/>
    <x v="5"/>
    <x v="424"/>
    <n v="2020"/>
    <n v="12"/>
    <x v="4"/>
    <n v="42"/>
    <n v="9.98"/>
    <n v="419.16"/>
  </r>
  <r>
    <n v="2386"/>
    <x v="5"/>
    <x v="425"/>
    <n v="2020"/>
    <n v="12"/>
    <x v="4"/>
    <n v="58"/>
    <n v="9.43"/>
    <n v="546.93999999999994"/>
  </r>
  <r>
    <n v="2387"/>
    <x v="10"/>
    <x v="413"/>
    <n v="2020"/>
    <n v="10"/>
    <x v="4"/>
    <n v="40"/>
    <n v="9.43"/>
    <n v="377.2"/>
  </r>
  <r>
    <n v="2388"/>
    <x v="10"/>
    <x v="426"/>
    <n v="2020"/>
    <n v="10"/>
    <x v="4"/>
    <n v="45"/>
    <n v="9.43"/>
    <n v="424.34999999999997"/>
  </r>
  <r>
    <n v="2389"/>
    <x v="10"/>
    <x v="427"/>
    <n v="2020"/>
    <n v="11"/>
    <x v="4"/>
    <n v="66"/>
    <n v="9.98"/>
    <n v="658.68000000000006"/>
  </r>
  <r>
    <n v="2390"/>
    <x v="10"/>
    <x v="428"/>
    <n v="2020"/>
    <n v="12"/>
    <x v="4"/>
    <n v="76"/>
    <n v="9.98"/>
    <n v="758.48"/>
  </r>
  <r>
    <n v="2391"/>
    <x v="10"/>
    <x v="402"/>
    <n v="2020"/>
    <n v="12"/>
    <x v="4"/>
    <n v="62"/>
    <n v="9.43"/>
    <n v="584.66"/>
  </r>
  <r>
    <n v="2392"/>
    <x v="0"/>
    <x v="429"/>
    <n v="2021"/>
    <n v="1"/>
    <x v="3"/>
    <n v="52"/>
    <n v="8.98"/>
    <n v="466.96000000000004"/>
  </r>
  <r>
    <n v="2393"/>
    <x v="0"/>
    <x v="430"/>
    <n v="2021"/>
    <n v="1"/>
    <x v="3"/>
    <n v="32"/>
    <n v="7.98"/>
    <n v="255.36"/>
  </r>
  <r>
    <n v="2394"/>
    <x v="0"/>
    <x v="431"/>
    <n v="2021"/>
    <n v="2"/>
    <x v="3"/>
    <n v="44"/>
    <n v="7.98"/>
    <n v="351.12"/>
  </r>
  <r>
    <n v="2395"/>
    <x v="0"/>
    <x v="432"/>
    <n v="2021"/>
    <n v="2"/>
    <x v="3"/>
    <n v="34"/>
    <n v="7.98"/>
    <n v="271.32"/>
  </r>
  <r>
    <n v="2396"/>
    <x v="0"/>
    <x v="433"/>
    <n v="2021"/>
    <n v="3"/>
    <x v="3"/>
    <n v="26"/>
    <n v="8.98"/>
    <n v="233.48000000000002"/>
  </r>
  <r>
    <n v="2397"/>
    <x v="10"/>
    <x v="434"/>
    <n v="2021"/>
    <n v="1"/>
    <x v="3"/>
    <n v="25"/>
    <n v="8.98"/>
    <n v="224.5"/>
  </r>
  <r>
    <n v="2398"/>
    <x v="10"/>
    <x v="435"/>
    <n v="2021"/>
    <n v="1"/>
    <x v="3"/>
    <n v="28"/>
    <n v="7.98"/>
    <n v="223.44"/>
  </r>
  <r>
    <n v="2399"/>
    <x v="10"/>
    <x v="436"/>
    <n v="2021"/>
    <n v="2"/>
    <x v="3"/>
    <n v="56"/>
    <n v="7.98"/>
    <n v="446.88"/>
  </r>
  <r>
    <n v="2400"/>
    <x v="10"/>
    <x v="437"/>
    <n v="2021"/>
    <n v="3"/>
    <x v="3"/>
    <n v="64"/>
    <n v="8.98"/>
    <n v="574.72"/>
  </r>
  <r>
    <n v="2401"/>
    <x v="9"/>
    <x v="436"/>
    <n v="2021"/>
    <n v="2"/>
    <x v="3"/>
    <n v="48"/>
    <n v="7.98"/>
    <n v="383.04"/>
  </r>
  <r>
    <n v="2402"/>
    <x v="9"/>
    <x v="438"/>
    <n v="2021"/>
    <n v="3"/>
    <x v="3"/>
    <n v="34"/>
    <n v="8.98"/>
    <n v="305.32"/>
  </r>
  <r>
    <n v="2403"/>
    <x v="9"/>
    <x v="439"/>
    <n v="2021"/>
    <n v="3"/>
    <x v="3"/>
    <n v="48"/>
    <n v="7.98"/>
    <n v="383.04"/>
  </r>
  <r>
    <n v="2404"/>
    <x v="9"/>
    <x v="440"/>
    <n v="2021"/>
    <n v="3"/>
    <x v="3"/>
    <n v="54"/>
    <n v="8.98"/>
    <n v="484.92"/>
  </r>
  <r>
    <n v="2405"/>
    <x v="2"/>
    <x v="441"/>
    <n v="2021"/>
    <n v="1"/>
    <x v="1"/>
    <n v="44"/>
    <n v="13.98"/>
    <n v="615.12"/>
  </r>
  <r>
    <n v="2406"/>
    <x v="2"/>
    <x v="436"/>
    <n v="2021"/>
    <n v="2"/>
    <x v="1"/>
    <n v="34"/>
    <n v="10.89"/>
    <n v="370.26"/>
  </r>
  <r>
    <n v="2407"/>
    <x v="2"/>
    <x v="442"/>
    <n v="2021"/>
    <n v="3"/>
    <x v="1"/>
    <n v="27"/>
    <n v="9.9700000000000006"/>
    <n v="269.19"/>
  </r>
  <r>
    <n v="2408"/>
    <x v="2"/>
    <x v="443"/>
    <n v="2021"/>
    <n v="3"/>
    <x v="1"/>
    <n v="37"/>
    <n v="10.89"/>
    <n v="402.93"/>
  </r>
  <r>
    <n v="2409"/>
    <x v="8"/>
    <x v="444"/>
    <n v="2021"/>
    <n v="2"/>
    <x v="1"/>
    <n v="48"/>
    <n v="9.9700000000000006"/>
    <n v="478.56000000000006"/>
  </r>
  <r>
    <n v="2410"/>
    <x v="8"/>
    <x v="445"/>
    <n v="2021"/>
    <n v="3"/>
    <x v="1"/>
    <n v="36"/>
    <n v="10.89"/>
    <n v="392.04"/>
  </r>
  <r>
    <n v="2411"/>
    <x v="8"/>
    <x v="446"/>
    <n v="2021"/>
    <n v="3"/>
    <x v="1"/>
    <n v="48"/>
    <n v="10.89"/>
    <n v="522.72"/>
  </r>
  <r>
    <n v="2412"/>
    <x v="5"/>
    <x v="434"/>
    <n v="2021"/>
    <n v="1"/>
    <x v="1"/>
    <n v="58"/>
    <n v="10.89"/>
    <n v="631.62"/>
  </r>
  <r>
    <n v="2413"/>
    <x v="5"/>
    <x v="447"/>
    <n v="2021"/>
    <n v="1"/>
    <x v="1"/>
    <n v="42"/>
    <n v="9.9700000000000006"/>
    <n v="418.74"/>
  </r>
  <r>
    <n v="2414"/>
    <x v="10"/>
    <x v="448"/>
    <n v="2021"/>
    <n v="1"/>
    <x v="1"/>
    <n v="21"/>
    <n v="10.89"/>
    <n v="228.69"/>
  </r>
  <r>
    <n v="2415"/>
    <x v="10"/>
    <x v="449"/>
    <n v="2021"/>
    <n v="2"/>
    <x v="1"/>
    <n v="39"/>
    <n v="9.9700000000000006"/>
    <n v="388.83000000000004"/>
  </r>
  <r>
    <n v="2416"/>
    <x v="11"/>
    <x v="450"/>
    <n v="2021"/>
    <n v="1"/>
    <x v="1"/>
    <n v="41"/>
    <n v="9.9700000000000006"/>
    <n v="408.77000000000004"/>
  </r>
  <r>
    <n v="2417"/>
    <x v="11"/>
    <x v="451"/>
    <n v="2021"/>
    <n v="2"/>
    <x v="1"/>
    <n v="44"/>
    <n v="13.98"/>
    <n v="615.12"/>
  </r>
  <r>
    <n v="2418"/>
    <x v="11"/>
    <x v="443"/>
    <n v="2021"/>
    <n v="3"/>
    <x v="1"/>
    <n v="48"/>
    <n v="10.89"/>
    <n v="522.72"/>
  </r>
  <r>
    <n v="2419"/>
    <x v="11"/>
    <x v="452"/>
    <n v="2021"/>
    <n v="3"/>
    <x v="1"/>
    <n v="37"/>
    <n v="13.98"/>
    <n v="517.26"/>
  </r>
  <r>
    <n v="2420"/>
    <x v="2"/>
    <x v="434"/>
    <n v="2021"/>
    <n v="1"/>
    <x v="0"/>
    <n v="45"/>
    <n v="8.4600000000000009"/>
    <n v="380.70000000000005"/>
  </r>
  <r>
    <n v="2421"/>
    <x v="2"/>
    <x v="453"/>
    <n v="2021"/>
    <n v="2"/>
    <x v="0"/>
    <n v="34"/>
    <n v="5.47"/>
    <n v="185.98"/>
  </r>
  <r>
    <n v="2422"/>
    <x v="2"/>
    <x v="188"/>
    <n v="2021"/>
    <n v="1"/>
    <x v="0"/>
    <n v="45"/>
    <n v="8.4600000000000009"/>
    <n v="380.70000000000005"/>
  </r>
  <r>
    <n v="2423"/>
    <x v="2"/>
    <x v="445"/>
    <n v="2021"/>
    <n v="3"/>
    <x v="0"/>
    <n v="56"/>
    <n v="8.4600000000000009"/>
    <n v="473.76000000000005"/>
  </r>
  <r>
    <n v="2424"/>
    <x v="2"/>
    <x v="446"/>
    <n v="2021"/>
    <n v="3"/>
    <x v="0"/>
    <n v="58"/>
    <n v="8.4600000000000009"/>
    <n v="490.68000000000006"/>
  </r>
  <r>
    <n v="2425"/>
    <x v="4"/>
    <x v="434"/>
    <n v="2021"/>
    <n v="1"/>
    <x v="0"/>
    <n v="48"/>
    <n v="5.47"/>
    <n v="262.56"/>
  </r>
  <r>
    <n v="2426"/>
    <x v="4"/>
    <x v="449"/>
    <n v="2021"/>
    <n v="2"/>
    <x v="0"/>
    <n v="78"/>
    <n v="5.47"/>
    <n v="426.65999999999997"/>
  </r>
  <r>
    <n v="2427"/>
    <x v="4"/>
    <x v="454"/>
    <n v="2021"/>
    <n v="2"/>
    <x v="0"/>
    <n v="66"/>
    <n v="5.47"/>
    <n v="361.02"/>
  </r>
  <r>
    <n v="2428"/>
    <x v="5"/>
    <x v="455"/>
    <n v="2021"/>
    <n v="2"/>
    <x v="0"/>
    <n v="53"/>
    <n v="8.4600000000000009"/>
    <n v="448.38000000000005"/>
  </r>
  <r>
    <n v="2429"/>
    <x v="10"/>
    <x v="456"/>
    <n v="2021"/>
    <n v="3"/>
    <x v="0"/>
    <n v="63"/>
    <n v="8.4600000000000009"/>
    <n v="532.98"/>
  </r>
  <r>
    <n v="2430"/>
    <x v="11"/>
    <x v="222"/>
    <n v="2021"/>
    <n v="1"/>
    <x v="0"/>
    <n v="45"/>
    <n v="8.4600000000000009"/>
    <n v="380.70000000000005"/>
  </r>
  <r>
    <n v="2431"/>
    <x v="11"/>
    <x v="176"/>
    <n v="2021"/>
    <n v="1"/>
    <x v="0"/>
    <n v="60"/>
    <n v="8.4600000000000009"/>
    <n v="507.6"/>
  </r>
  <r>
    <n v="2432"/>
    <x v="11"/>
    <x v="449"/>
    <n v="2021"/>
    <n v="2"/>
    <x v="0"/>
    <n v="28"/>
    <n v="5.47"/>
    <n v="153.16"/>
  </r>
  <r>
    <n v="2433"/>
    <x v="11"/>
    <x v="453"/>
    <n v="2021"/>
    <n v="2"/>
    <x v="0"/>
    <n v="30"/>
    <n v="8.4600000000000009"/>
    <n v="253.8"/>
  </r>
  <r>
    <n v="2434"/>
    <x v="11"/>
    <x v="457"/>
    <n v="2021"/>
    <n v="3"/>
    <x v="0"/>
    <n v="26"/>
    <n v="8.4600000000000009"/>
    <n v="219.96000000000004"/>
  </r>
  <r>
    <n v="2435"/>
    <x v="2"/>
    <x v="441"/>
    <n v="2021"/>
    <n v="1"/>
    <x v="2"/>
    <n v="76"/>
    <n v="10.97"/>
    <n v="833.72"/>
  </r>
  <r>
    <n v="2436"/>
    <x v="2"/>
    <x v="458"/>
    <n v="2021"/>
    <n v="2"/>
    <x v="2"/>
    <n v="67"/>
    <n v="6.99"/>
    <n v="468.33000000000004"/>
  </r>
  <r>
    <n v="2437"/>
    <x v="2"/>
    <x v="440"/>
    <n v="2021"/>
    <n v="3"/>
    <x v="2"/>
    <n v="54"/>
    <n v="8.89"/>
    <n v="480.06000000000006"/>
  </r>
  <r>
    <n v="2438"/>
    <x v="2"/>
    <x v="457"/>
    <n v="2021"/>
    <n v="3"/>
    <x v="2"/>
    <n v="46"/>
    <n v="6.99"/>
    <n v="321.54000000000002"/>
  </r>
  <r>
    <n v="2439"/>
    <x v="5"/>
    <x v="188"/>
    <n v="2021"/>
    <n v="1"/>
    <x v="2"/>
    <n v="56"/>
    <n v="6.99"/>
    <n v="391.44"/>
  </r>
  <r>
    <n v="2440"/>
    <x v="5"/>
    <x v="431"/>
    <n v="2021"/>
    <n v="2"/>
    <x v="2"/>
    <n v="49"/>
    <n v="8.89"/>
    <n v="435.61"/>
  </r>
  <r>
    <n v="2441"/>
    <x v="8"/>
    <x v="188"/>
    <n v="2021"/>
    <n v="1"/>
    <x v="2"/>
    <n v="45"/>
    <n v="10.97"/>
    <n v="493.65000000000003"/>
  </r>
  <r>
    <n v="2442"/>
    <x v="8"/>
    <x v="447"/>
    <n v="2021"/>
    <n v="1"/>
    <x v="2"/>
    <n v="34"/>
    <n v="6.99"/>
    <n v="237.66"/>
  </r>
  <r>
    <n v="2443"/>
    <x v="8"/>
    <x v="453"/>
    <n v="2021"/>
    <n v="2"/>
    <x v="2"/>
    <n v="40"/>
    <n v="6.99"/>
    <n v="279.60000000000002"/>
  </r>
  <r>
    <n v="2444"/>
    <x v="8"/>
    <x v="227"/>
    <n v="2021"/>
    <n v="2"/>
    <x v="2"/>
    <n v="23"/>
    <n v="8.89"/>
    <n v="204.47000000000003"/>
  </r>
  <r>
    <n v="2445"/>
    <x v="8"/>
    <x v="440"/>
    <n v="2021"/>
    <n v="3"/>
    <x v="2"/>
    <n v="45"/>
    <n v="10.97"/>
    <n v="493.65000000000003"/>
  </r>
  <r>
    <n v="2446"/>
    <x v="2"/>
    <x v="434"/>
    <n v="2021"/>
    <n v="1"/>
    <x v="4"/>
    <n v="68"/>
    <n v="9.43"/>
    <n v="641.24"/>
  </r>
  <r>
    <n v="2447"/>
    <x v="2"/>
    <x v="451"/>
    <n v="2021"/>
    <n v="2"/>
    <x v="4"/>
    <n v="45"/>
    <n v="9.98"/>
    <n v="449.1"/>
  </r>
  <r>
    <n v="2448"/>
    <x v="2"/>
    <x v="456"/>
    <n v="2021"/>
    <n v="3"/>
    <x v="4"/>
    <n v="46"/>
    <n v="9.98"/>
    <n v="459.08000000000004"/>
  </r>
  <r>
    <n v="2449"/>
    <x v="8"/>
    <x v="198"/>
    <n v="2021"/>
    <n v="1"/>
    <x v="4"/>
    <n v="34"/>
    <n v="9.43"/>
    <n v="320.62"/>
  </r>
  <r>
    <n v="2450"/>
    <x v="8"/>
    <x v="459"/>
    <n v="2021"/>
    <n v="2"/>
    <x v="4"/>
    <n v="45"/>
    <n v="9.98"/>
    <n v="449.1"/>
  </r>
  <r>
    <n v="2451"/>
    <x v="8"/>
    <x v="460"/>
    <n v="2021"/>
    <n v="3"/>
    <x v="4"/>
    <n v="54"/>
    <n v="9.98"/>
    <n v="538.92000000000007"/>
  </r>
  <r>
    <n v="2452"/>
    <x v="8"/>
    <x v="461"/>
    <n v="2021"/>
    <n v="3"/>
    <x v="4"/>
    <n v="46"/>
    <n v="8.5500000000000007"/>
    <n v="393.3"/>
  </r>
  <r>
    <n v="2453"/>
    <x v="11"/>
    <x v="228"/>
    <n v="2021"/>
    <n v="1"/>
    <x v="4"/>
    <n v="70"/>
    <n v="8.5500000000000007"/>
    <n v="598.5"/>
  </r>
  <r>
    <n v="2454"/>
    <x v="11"/>
    <x v="457"/>
    <n v="2021"/>
    <n v="3"/>
    <x v="4"/>
    <n v="49"/>
    <n v="9.43"/>
    <n v="462.07"/>
  </r>
  <r>
    <n v="2455"/>
    <x v="11"/>
    <x v="456"/>
    <n v="2021"/>
    <n v="3"/>
    <x v="4"/>
    <n v="68"/>
    <n v="8.5500000000000007"/>
    <n v="581.40000000000009"/>
  </r>
  <r>
    <n v="2456"/>
    <x v="2"/>
    <x v="173"/>
    <n v="2021"/>
    <n v="4"/>
    <x v="3"/>
    <n v="75"/>
    <n v="8.98"/>
    <n v="673.5"/>
  </r>
  <r>
    <n v="2457"/>
    <x v="2"/>
    <x v="236"/>
    <n v="2021"/>
    <n v="5"/>
    <x v="3"/>
    <n v="80"/>
    <n v="7.98"/>
    <n v="638.40000000000009"/>
  </r>
  <r>
    <n v="2458"/>
    <x v="2"/>
    <x v="185"/>
    <n v="2021"/>
    <n v="4"/>
    <x v="3"/>
    <n v="60"/>
    <n v="7.98"/>
    <n v="478.8"/>
  </r>
  <r>
    <n v="2459"/>
    <x v="8"/>
    <x v="462"/>
    <n v="2021"/>
    <n v="5"/>
    <x v="3"/>
    <n v="46"/>
    <n v="7.98"/>
    <n v="367.08000000000004"/>
  </r>
  <r>
    <n v="2460"/>
    <x v="8"/>
    <x v="463"/>
    <n v="2021"/>
    <n v="4"/>
    <x v="3"/>
    <n v="56"/>
    <n v="8.98"/>
    <n v="502.88"/>
  </r>
  <r>
    <n v="2461"/>
    <x v="8"/>
    <x v="464"/>
    <n v="2021"/>
    <n v="5"/>
    <x v="3"/>
    <n v="29"/>
    <n v="9.98"/>
    <n v="289.42"/>
  </r>
  <r>
    <n v="2462"/>
    <x v="8"/>
    <x v="465"/>
    <n v="2021"/>
    <n v="6"/>
    <x v="3"/>
    <n v="34"/>
    <n v="10.98"/>
    <n v="373.32"/>
  </r>
  <r>
    <n v="2463"/>
    <x v="8"/>
    <x v="466"/>
    <n v="2021"/>
    <n v="6"/>
    <x v="3"/>
    <n v="58"/>
    <n v="7.98"/>
    <n v="462.84000000000003"/>
  </r>
  <r>
    <n v="2464"/>
    <x v="8"/>
    <x v="467"/>
    <n v="2021"/>
    <n v="4"/>
    <x v="3"/>
    <n v="66"/>
    <n v="8.98"/>
    <n v="592.68000000000006"/>
  </r>
  <r>
    <n v="2465"/>
    <x v="4"/>
    <x v="468"/>
    <n v="2021"/>
    <n v="4"/>
    <x v="3"/>
    <n v="45"/>
    <n v="8.98"/>
    <n v="404.1"/>
  </r>
  <r>
    <n v="2466"/>
    <x v="5"/>
    <x v="173"/>
    <n v="2021"/>
    <n v="4"/>
    <x v="3"/>
    <n v="76"/>
    <n v="7.98"/>
    <n v="606.48"/>
  </r>
  <r>
    <n v="2467"/>
    <x v="4"/>
    <x v="185"/>
    <n v="2021"/>
    <n v="4"/>
    <x v="3"/>
    <n v="34"/>
    <n v="8.98"/>
    <n v="305.32"/>
  </r>
  <r>
    <n v="2468"/>
    <x v="5"/>
    <x v="202"/>
    <n v="2021"/>
    <n v="5"/>
    <x v="3"/>
    <n v="24"/>
    <n v="7.98"/>
    <n v="191.52"/>
  </r>
  <r>
    <n v="2469"/>
    <x v="11"/>
    <x v="469"/>
    <n v="2021"/>
    <n v="4"/>
    <x v="3"/>
    <n v="28"/>
    <n v="8.98"/>
    <n v="251.44"/>
  </r>
  <r>
    <n v="2470"/>
    <x v="11"/>
    <x v="470"/>
    <n v="2021"/>
    <n v="4"/>
    <x v="3"/>
    <n v="48"/>
    <n v="7.98"/>
    <n v="383.04"/>
  </r>
  <r>
    <n v="2471"/>
    <x v="0"/>
    <x v="471"/>
    <n v="2021"/>
    <n v="4"/>
    <x v="1"/>
    <n v="58"/>
    <n v="10.89"/>
    <n v="631.62"/>
  </r>
  <r>
    <n v="2472"/>
    <x v="0"/>
    <x v="462"/>
    <n v="2021"/>
    <n v="5"/>
    <x v="1"/>
    <n v="48"/>
    <n v="13.98"/>
    <n v="671.04"/>
  </r>
  <r>
    <n v="2473"/>
    <x v="0"/>
    <x v="472"/>
    <n v="2021"/>
    <n v="5"/>
    <x v="1"/>
    <n v="29"/>
    <n v="9.9700000000000006"/>
    <n v="289.13"/>
  </r>
  <r>
    <n v="2474"/>
    <x v="0"/>
    <x v="466"/>
    <n v="2021"/>
    <n v="6"/>
    <x v="1"/>
    <n v="60"/>
    <n v="13.98"/>
    <n v="838.80000000000007"/>
  </r>
  <r>
    <n v="2475"/>
    <x v="4"/>
    <x v="473"/>
    <n v="2021"/>
    <n v="4"/>
    <x v="1"/>
    <n v="45"/>
    <n v="13.98"/>
    <n v="629.1"/>
  </r>
  <r>
    <n v="2476"/>
    <x v="4"/>
    <x v="474"/>
    <n v="2021"/>
    <n v="4"/>
    <x v="1"/>
    <n v="39"/>
    <n v="9.9700000000000006"/>
    <n v="388.83000000000004"/>
  </r>
  <r>
    <n v="2477"/>
    <x v="4"/>
    <x v="475"/>
    <n v="2021"/>
    <n v="5"/>
    <x v="1"/>
    <n v="65"/>
    <n v="10.89"/>
    <n v="707.85"/>
  </r>
  <r>
    <n v="2478"/>
    <x v="4"/>
    <x v="476"/>
    <n v="2021"/>
    <n v="5"/>
    <x v="1"/>
    <n v="69"/>
    <n v="9.9700000000000006"/>
    <n v="687.93000000000006"/>
  </r>
  <r>
    <n v="2479"/>
    <x v="4"/>
    <x v="477"/>
    <n v="2021"/>
    <n v="6"/>
    <x v="1"/>
    <n v="39"/>
    <n v="13.98"/>
    <n v="545.22"/>
  </r>
  <r>
    <n v="2480"/>
    <x v="10"/>
    <x v="478"/>
    <n v="2021"/>
    <n v="4"/>
    <x v="1"/>
    <n v="40"/>
    <n v="10.89"/>
    <n v="435.6"/>
  </r>
  <r>
    <n v="2481"/>
    <x v="10"/>
    <x v="476"/>
    <n v="2021"/>
    <n v="5"/>
    <x v="1"/>
    <n v="56"/>
    <n v="13.98"/>
    <n v="782.88"/>
  </r>
  <r>
    <n v="2482"/>
    <x v="10"/>
    <x v="479"/>
    <n v="2021"/>
    <n v="5"/>
    <x v="1"/>
    <n v="68"/>
    <n v="10.89"/>
    <n v="740.52"/>
  </r>
  <r>
    <n v="2483"/>
    <x v="10"/>
    <x v="194"/>
    <n v="2021"/>
    <n v="6"/>
    <x v="1"/>
    <n v="70"/>
    <n v="10.89"/>
    <n v="762.30000000000007"/>
  </r>
  <r>
    <n v="2484"/>
    <x v="9"/>
    <x v="480"/>
    <n v="2021"/>
    <n v="5"/>
    <x v="1"/>
    <n v="80"/>
    <n v="10.89"/>
    <n v="871.2"/>
  </r>
  <r>
    <n v="2485"/>
    <x v="9"/>
    <x v="481"/>
    <n v="2021"/>
    <n v="5"/>
    <x v="1"/>
    <n v="53"/>
    <n v="10.89"/>
    <n v="577.17000000000007"/>
  </r>
  <r>
    <n v="2486"/>
    <x v="10"/>
    <x v="467"/>
    <n v="2021"/>
    <n v="4"/>
    <x v="0"/>
    <n v="63"/>
    <n v="5.47"/>
    <n v="344.60999999999996"/>
  </r>
  <r>
    <n v="2487"/>
    <x v="10"/>
    <x v="482"/>
    <n v="2021"/>
    <n v="4"/>
    <x v="0"/>
    <n v="76"/>
    <n v="8.4600000000000009"/>
    <n v="642.96"/>
  </r>
  <r>
    <n v="2488"/>
    <x v="10"/>
    <x v="191"/>
    <n v="2021"/>
    <n v="5"/>
    <x v="0"/>
    <n v="36"/>
    <n v="5.47"/>
    <n v="196.92"/>
  </r>
  <r>
    <n v="2489"/>
    <x v="10"/>
    <x v="483"/>
    <n v="2021"/>
    <n v="5"/>
    <x v="0"/>
    <n v="42"/>
    <n v="8.4600000000000009"/>
    <n v="355.32000000000005"/>
  </r>
  <r>
    <n v="2490"/>
    <x v="10"/>
    <x v="484"/>
    <n v="2021"/>
    <n v="6"/>
    <x v="0"/>
    <n v="27"/>
    <n v="8.4600000000000009"/>
    <n v="228.42000000000002"/>
  </r>
  <r>
    <n v="2491"/>
    <x v="9"/>
    <x v="194"/>
    <n v="2021"/>
    <n v="6"/>
    <x v="0"/>
    <n v="30"/>
    <n v="5.47"/>
    <n v="164.1"/>
  </r>
  <r>
    <n v="2492"/>
    <x v="9"/>
    <x v="180"/>
    <n v="2021"/>
    <n v="6"/>
    <x v="0"/>
    <n v="56"/>
    <n v="5.47"/>
    <n v="306.32"/>
  </r>
  <r>
    <n v="2493"/>
    <x v="9"/>
    <x v="485"/>
    <n v="2021"/>
    <n v="6"/>
    <x v="0"/>
    <n v="42"/>
    <n v="8.4600000000000009"/>
    <n v="355.32000000000005"/>
  </r>
  <r>
    <n v="2494"/>
    <x v="2"/>
    <x v="173"/>
    <n v="2021"/>
    <n v="4"/>
    <x v="2"/>
    <n v="40"/>
    <n v="8.89"/>
    <n v="355.6"/>
  </r>
  <r>
    <n v="2495"/>
    <x v="2"/>
    <x v="486"/>
    <n v="2021"/>
    <n v="4"/>
    <x v="2"/>
    <n v="58"/>
    <n v="8.89"/>
    <n v="515.62"/>
  </r>
  <r>
    <n v="2496"/>
    <x v="2"/>
    <x v="462"/>
    <n v="2021"/>
    <n v="5"/>
    <x v="2"/>
    <n v="35"/>
    <n v="6.99"/>
    <n v="244.65"/>
  </r>
  <r>
    <n v="2497"/>
    <x v="2"/>
    <x v="476"/>
    <n v="2021"/>
    <n v="5"/>
    <x v="2"/>
    <n v="40"/>
    <n v="6.99"/>
    <n v="279.60000000000002"/>
  </r>
  <r>
    <n v="2498"/>
    <x v="0"/>
    <x v="482"/>
    <n v="2021"/>
    <n v="4"/>
    <x v="2"/>
    <n v="54"/>
    <n v="10.97"/>
    <n v="592.38"/>
  </r>
  <r>
    <n v="2499"/>
    <x v="0"/>
    <x v="487"/>
    <n v="2021"/>
    <n v="5"/>
    <x v="2"/>
    <n v="56"/>
    <n v="10.97"/>
    <n v="614.32000000000005"/>
  </r>
  <r>
    <n v="2500"/>
    <x v="0"/>
    <x v="191"/>
    <n v="2021"/>
    <n v="5"/>
    <x v="2"/>
    <n v="37"/>
    <n v="6.99"/>
    <n v="258.63"/>
  </r>
  <r>
    <n v="2501"/>
    <x v="0"/>
    <x v="484"/>
    <n v="2021"/>
    <n v="6"/>
    <x v="2"/>
    <n v="49"/>
    <n v="8.89"/>
    <n v="435.61"/>
  </r>
  <r>
    <n v="2502"/>
    <x v="0"/>
    <x v="484"/>
    <n v="2021"/>
    <n v="6"/>
    <x v="2"/>
    <n v="31"/>
    <n v="6.99"/>
    <n v="216.69"/>
  </r>
  <r>
    <n v="2503"/>
    <x v="8"/>
    <x v="478"/>
    <n v="2021"/>
    <n v="4"/>
    <x v="2"/>
    <n v="29"/>
    <n v="6.99"/>
    <n v="202.71"/>
  </r>
  <r>
    <n v="2504"/>
    <x v="4"/>
    <x v="486"/>
    <n v="2021"/>
    <n v="4"/>
    <x v="2"/>
    <n v="48"/>
    <n v="6.99"/>
    <n v="335.52"/>
  </r>
  <r>
    <n v="2505"/>
    <x v="4"/>
    <x v="177"/>
    <n v="2021"/>
    <n v="5"/>
    <x v="2"/>
    <n v="38"/>
    <n v="10.97"/>
    <n v="416.86"/>
  </r>
  <r>
    <n v="2506"/>
    <x v="4"/>
    <x v="488"/>
    <n v="2021"/>
    <n v="5"/>
    <x v="2"/>
    <n v="24"/>
    <n v="6.99"/>
    <n v="167.76"/>
  </r>
  <r>
    <n v="2507"/>
    <x v="5"/>
    <x v="487"/>
    <n v="2021"/>
    <n v="5"/>
    <x v="2"/>
    <n v="59"/>
    <n v="6.99"/>
    <n v="412.41"/>
  </r>
  <r>
    <n v="2508"/>
    <x v="10"/>
    <x v="485"/>
    <n v="2021"/>
    <n v="6"/>
    <x v="2"/>
    <n v="62"/>
    <n v="10.97"/>
    <n v="680.14"/>
  </r>
  <r>
    <n v="2509"/>
    <x v="10"/>
    <x v="230"/>
    <n v="2021"/>
    <n v="6"/>
    <x v="2"/>
    <n v="56"/>
    <n v="8.89"/>
    <n v="497.84000000000003"/>
  </r>
  <r>
    <n v="2510"/>
    <x v="2"/>
    <x v="489"/>
    <n v="2021"/>
    <n v="6"/>
    <x v="4"/>
    <n v="42"/>
    <n v="9.98"/>
    <n v="419.16"/>
  </r>
  <r>
    <n v="2511"/>
    <x v="2"/>
    <x v="485"/>
    <n v="2021"/>
    <n v="6"/>
    <x v="4"/>
    <n v="36"/>
    <n v="9.43"/>
    <n v="339.48"/>
  </r>
  <r>
    <n v="2512"/>
    <x v="8"/>
    <x v="471"/>
    <n v="2021"/>
    <n v="4"/>
    <x v="4"/>
    <n v="42"/>
    <n v="9.98"/>
    <n v="419.16"/>
  </r>
  <r>
    <n v="2513"/>
    <x v="8"/>
    <x v="490"/>
    <n v="2021"/>
    <n v="4"/>
    <x v="4"/>
    <n v="34"/>
    <n v="9.43"/>
    <n v="320.62"/>
  </r>
  <r>
    <n v="2514"/>
    <x v="8"/>
    <x v="479"/>
    <n v="2021"/>
    <n v="5"/>
    <x v="4"/>
    <n v="35"/>
    <n v="8.5500000000000007"/>
    <n v="299.25"/>
  </r>
  <r>
    <n v="2515"/>
    <x v="8"/>
    <x v="464"/>
    <n v="2021"/>
    <n v="5"/>
    <x v="4"/>
    <n v="27"/>
    <n v="9.43"/>
    <n v="254.60999999999999"/>
  </r>
  <r>
    <n v="2516"/>
    <x v="4"/>
    <x v="474"/>
    <n v="2021"/>
    <n v="4"/>
    <x v="4"/>
    <n v="20"/>
    <n v="9.43"/>
    <n v="188.6"/>
  </r>
  <r>
    <n v="2517"/>
    <x v="4"/>
    <x v="491"/>
    <n v="2021"/>
    <n v="6"/>
    <x v="4"/>
    <n v="34"/>
    <n v="9.98"/>
    <n v="339.32"/>
  </r>
  <r>
    <n v="2518"/>
    <x v="5"/>
    <x v="478"/>
    <n v="2021"/>
    <n v="4"/>
    <x v="4"/>
    <n v="30"/>
    <n v="8.5500000000000007"/>
    <n v="256.5"/>
  </r>
  <r>
    <n v="2519"/>
    <x v="5"/>
    <x v="173"/>
    <n v="2021"/>
    <n v="4"/>
    <x v="4"/>
    <n v="27"/>
    <n v="9.98"/>
    <n v="269.46000000000004"/>
  </r>
  <r>
    <n v="2520"/>
    <x v="9"/>
    <x v="492"/>
    <n v="2021"/>
    <n v="4"/>
    <x v="4"/>
    <n v="35"/>
    <n v="9.43"/>
    <n v="330.05"/>
  </r>
  <r>
    <n v="2521"/>
    <x v="9"/>
    <x v="493"/>
    <n v="2021"/>
    <n v="4"/>
    <x v="4"/>
    <n v="29"/>
    <n v="9.98"/>
    <n v="289.42"/>
  </r>
  <r>
    <n v="2522"/>
    <x v="11"/>
    <x v="173"/>
    <n v="2021"/>
    <n v="4"/>
    <x v="4"/>
    <n v="31"/>
    <n v="9.98"/>
    <n v="309.38"/>
  </r>
  <r>
    <n v="2523"/>
    <x v="11"/>
    <x v="494"/>
    <n v="2021"/>
    <n v="5"/>
    <x v="4"/>
    <n v="18"/>
    <n v="9.43"/>
    <n v="169.74"/>
  </r>
  <r>
    <n v="2524"/>
    <x v="11"/>
    <x v="466"/>
    <n v="2021"/>
    <n v="6"/>
    <x v="4"/>
    <n v="26"/>
    <n v="9.43"/>
    <n v="245.18"/>
  </r>
  <r>
    <n v="2525"/>
    <x v="11"/>
    <x v="190"/>
    <n v="2021"/>
    <n v="6"/>
    <x v="4"/>
    <n v="48"/>
    <n v="9.43"/>
    <n v="452.64"/>
  </r>
  <r>
    <n v="2526"/>
    <x v="0"/>
    <x v="220"/>
    <n v="2021"/>
    <n v="7"/>
    <x v="3"/>
    <n v="25"/>
    <n v="7.98"/>
    <n v="199.5"/>
  </r>
  <r>
    <n v="2527"/>
    <x v="9"/>
    <x v="195"/>
    <n v="2021"/>
    <n v="8"/>
    <x v="3"/>
    <n v="20"/>
    <n v="8.98"/>
    <n v="179.60000000000002"/>
  </r>
  <r>
    <n v="2528"/>
    <x v="9"/>
    <x v="495"/>
    <n v="2021"/>
    <n v="7"/>
    <x v="3"/>
    <n v="33"/>
    <n v="7.98"/>
    <n v="263.34000000000003"/>
  </r>
  <r>
    <n v="2529"/>
    <x v="9"/>
    <x v="232"/>
    <n v="2021"/>
    <n v="9"/>
    <x v="3"/>
    <n v="64"/>
    <n v="7.98"/>
    <n v="510.72"/>
  </r>
  <r>
    <n v="2530"/>
    <x v="4"/>
    <x v="496"/>
    <n v="2021"/>
    <n v="7"/>
    <x v="3"/>
    <n v="56"/>
    <n v="8.98"/>
    <n v="502.88"/>
  </r>
  <r>
    <n v="2531"/>
    <x v="8"/>
    <x v="183"/>
    <n v="2021"/>
    <n v="7"/>
    <x v="1"/>
    <n v="36"/>
    <n v="13.98"/>
    <n v="503.28000000000003"/>
  </r>
  <r>
    <n v="2532"/>
    <x v="8"/>
    <x v="497"/>
    <n v="2021"/>
    <n v="7"/>
    <x v="1"/>
    <n v="48"/>
    <n v="9.9700000000000006"/>
    <n v="478.56000000000006"/>
  </r>
  <r>
    <n v="2533"/>
    <x v="4"/>
    <x v="231"/>
    <n v="2021"/>
    <n v="7"/>
    <x v="1"/>
    <n v="34"/>
    <n v="10.89"/>
    <n v="370.26"/>
  </r>
  <r>
    <n v="2534"/>
    <x v="4"/>
    <x v="498"/>
    <n v="2021"/>
    <n v="8"/>
    <x v="1"/>
    <n v="27"/>
    <n v="10.89"/>
    <n v="294.03000000000003"/>
  </r>
  <r>
    <n v="2535"/>
    <x v="4"/>
    <x v="499"/>
    <n v="2021"/>
    <n v="8"/>
    <x v="1"/>
    <n v="59"/>
    <n v="13.98"/>
    <n v="824.82"/>
  </r>
  <r>
    <n v="2536"/>
    <x v="4"/>
    <x v="500"/>
    <n v="2021"/>
    <n v="9"/>
    <x v="1"/>
    <n v="63"/>
    <n v="13.98"/>
    <n v="880.74"/>
  </r>
  <r>
    <n v="2537"/>
    <x v="4"/>
    <x v="501"/>
    <n v="2021"/>
    <n v="9"/>
    <x v="1"/>
    <n v="48"/>
    <n v="10.89"/>
    <n v="522.72"/>
  </r>
  <r>
    <n v="2538"/>
    <x v="2"/>
    <x v="502"/>
    <n v="2021"/>
    <n v="7"/>
    <x v="0"/>
    <n v="28"/>
    <n v="5.47"/>
    <n v="153.16"/>
  </r>
  <r>
    <n v="2539"/>
    <x v="2"/>
    <x v="503"/>
    <n v="2021"/>
    <n v="7"/>
    <x v="0"/>
    <n v="24"/>
    <n v="8.4600000000000009"/>
    <n v="203.04000000000002"/>
  </r>
  <r>
    <n v="2540"/>
    <x v="2"/>
    <x v="225"/>
    <n v="2021"/>
    <n v="7"/>
    <x v="0"/>
    <n v="36"/>
    <n v="8.4600000000000009"/>
    <n v="304.56000000000006"/>
  </r>
  <r>
    <n v="2541"/>
    <x v="2"/>
    <x v="504"/>
    <n v="2021"/>
    <n v="8"/>
    <x v="0"/>
    <n v="47"/>
    <n v="5.47"/>
    <n v="257.08999999999997"/>
  </r>
  <r>
    <n v="2542"/>
    <x v="2"/>
    <x v="209"/>
    <n v="2021"/>
    <n v="9"/>
    <x v="0"/>
    <n v="52"/>
    <n v="5.47"/>
    <n v="284.44"/>
  </r>
  <r>
    <n v="2543"/>
    <x v="0"/>
    <x v="505"/>
    <n v="2021"/>
    <n v="7"/>
    <x v="0"/>
    <n v="56"/>
    <n v="5.47"/>
    <n v="306.32"/>
  </r>
  <r>
    <n v="2544"/>
    <x v="0"/>
    <x v="506"/>
    <n v="2021"/>
    <n v="8"/>
    <x v="0"/>
    <n v="34"/>
    <n v="8.4600000000000009"/>
    <n v="287.64000000000004"/>
  </r>
  <r>
    <n v="2545"/>
    <x v="0"/>
    <x v="195"/>
    <n v="2021"/>
    <n v="8"/>
    <x v="0"/>
    <n v="28"/>
    <n v="8.4600000000000009"/>
    <n v="236.88000000000002"/>
  </r>
  <r>
    <n v="2546"/>
    <x v="0"/>
    <x v="200"/>
    <n v="2021"/>
    <n v="9"/>
    <x v="0"/>
    <n v="39"/>
    <n v="8.4600000000000009"/>
    <n v="329.94000000000005"/>
  </r>
  <r>
    <n v="2547"/>
    <x v="8"/>
    <x v="495"/>
    <n v="2021"/>
    <n v="7"/>
    <x v="0"/>
    <n v="32"/>
    <n v="5.47"/>
    <n v="175.04"/>
  </r>
  <r>
    <n v="2548"/>
    <x v="8"/>
    <x v="220"/>
    <n v="2021"/>
    <n v="7"/>
    <x v="0"/>
    <n v="36"/>
    <n v="8.4600000000000009"/>
    <n v="304.56000000000006"/>
  </r>
  <r>
    <n v="2549"/>
    <x v="8"/>
    <x v="507"/>
    <n v="2021"/>
    <n v="8"/>
    <x v="0"/>
    <n v="48"/>
    <n v="5.47"/>
    <n v="262.56"/>
  </r>
  <r>
    <n v="2550"/>
    <x v="8"/>
    <x v="195"/>
    <n v="2021"/>
    <n v="8"/>
    <x v="0"/>
    <n v="24"/>
    <n v="8.4600000000000009"/>
    <n v="203.04000000000002"/>
  </r>
  <r>
    <n v="2551"/>
    <x v="8"/>
    <x v="182"/>
    <n v="2021"/>
    <n v="9"/>
    <x v="0"/>
    <n v="28"/>
    <n v="5.47"/>
    <n v="153.16"/>
  </r>
  <r>
    <n v="2552"/>
    <x v="8"/>
    <x v="200"/>
    <n v="2021"/>
    <n v="9"/>
    <x v="0"/>
    <n v="38"/>
    <n v="5.47"/>
    <n v="207.85999999999999"/>
  </r>
  <r>
    <n v="2553"/>
    <x v="8"/>
    <x v="508"/>
    <n v="2021"/>
    <n v="9"/>
    <x v="0"/>
    <n v="56"/>
    <n v="5.47"/>
    <n v="306.32"/>
  </r>
  <r>
    <n v="2554"/>
    <x v="5"/>
    <x v="497"/>
    <n v="2021"/>
    <n v="7"/>
    <x v="0"/>
    <n v="62"/>
    <n v="5.47"/>
    <n v="339.14"/>
  </r>
  <r>
    <n v="2555"/>
    <x v="5"/>
    <x v="509"/>
    <n v="2021"/>
    <n v="7"/>
    <x v="0"/>
    <n v="34"/>
    <n v="8.4600000000000009"/>
    <n v="287.64000000000004"/>
  </r>
  <r>
    <n v="2556"/>
    <x v="5"/>
    <x v="510"/>
    <n v="2021"/>
    <n v="8"/>
    <x v="0"/>
    <n v="67"/>
    <n v="5.47"/>
    <n v="366.49"/>
  </r>
  <r>
    <n v="2557"/>
    <x v="5"/>
    <x v="169"/>
    <n v="2021"/>
    <n v="9"/>
    <x v="0"/>
    <n v="27"/>
    <n v="8.4600000000000009"/>
    <n v="228.42000000000002"/>
  </r>
  <r>
    <n v="2558"/>
    <x v="11"/>
    <x v="511"/>
    <n v="2021"/>
    <n v="7"/>
    <x v="0"/>
    <n v="38"/>
    <n v="8.4600000000000009"/>
    <n v="321.48"/>
  </r>
  <r>
    <n v="2559"/>
    <x v="11"/>
    <x v="512"/>
    <n v="2021"/>
    <n v="8"/>
    <x v="0"/>
    <n v="28"/>
    <n v="5.47"/>
    <n v="153.16"/>
  </r>
  <r>
    <n v="2560"/>
    <x v="11"/>
    <x v="513"/>
    <n v="2021"/>
    <n v="9"/>
    <x v="0"/>
    <n v="30"/>
    <n v="5.47"/>
    <n v="164.1"/>
  </r>
  <r>
    <n v="2561"/>
    <x v="0"/>
    <x v="496"/>
    <n v="2021"/>
    <n v="7"/>
    <x v="2"/>
    <n v="40"/>
    <n v="6.99"/>
    <n v="279.60000000000002"/>
  </r>
  <r>
    <n v="2562"/>
    <x v="0"/>
    <x v="237"/>
    <n v="2021"/>
    <n v="7"/>
    <x v="2"/>
    <n v="34"/>
    <n v="10.97"/>
    <n v="372.98"/>
  </r>
  <r>
    <n v="2563"/>
    <x v="0"/>
    <x v="510"/>
    <n v="2021"/>
    <n v="8"/>
    <x v="2"/>
    <n v="27"/>
    <n v="6.99"/>
    <n v="188.73000000000002"/>
  </r>
  <r>
    <n v="2564"/>
    <x v="0"/>
    <x v="195"/>
    <n v="2021"/>
    <n v="8"/>
    <x v="2"/>
    <n v="67"/>
    <n v="6.99"/>
    <n v="468.33000000000004"/>
  </r>
  <r>
    <n v="2565"/>
    <x v="0"/>
    <x v="178"/>
    <n v="2021"/>
    <n v="9"/>
    <x v="2"/>
    <n v="56"/>
    <n v="6.99"/>
    <n v="391.44"/>
  </r>
  <r>
    <n v="2566"/>
    <x v="0"/>
    <x v="234"/>
    <n v="2021"/>
    <n v="9"/>
    <x v="2"/>
    <n v="36"/>
    <n v="6.99"/>
    <n v="251.64000000000001"/>
  </r>
  <r>
    <n v="2567"/>
    <x v="4"/>
    <x v="514"/>
    <n v="2021"/>
    <n v="8"/>
    <x v="2"/>
    <n v="49"/>
    <n v="6.99"/>
    <n v="342.51"/>
  </r>
  <r>
    <n v="2568"/>
    <x v="4"/>
    <x v="515"/>
    <n v="2021"/>
    <n v="9"/>
    <x v="2"/>
    <n v="56"/>
    <n v="8.89"/>
    <n v="497.84000000000003"/>
  </r>
  <r>
    <n v="2569"/>
    <x v="9"/>
    <x v="195"/>
    <n v="2021"/>
    <n v="8"/>
    <x v="2"/>
    <n v="65"/>
    <n v="8.89"/>
    <n v="577.85"/>
  </r>
  <r>
    <n v="2570"/>
    <x v="11"/>
    <x v="220"/>
    <n v="2021"/>
    <n v="7"/>
    <x v="2"/>
    <n v="76"/>
    <n v="8.89"/>
    <n v="675.6400000000001"/>
  </r>
  <r>
    <n v="2571"/>
    <x v="11"/>
    <x v="195"/>
    <n v="2021"/>
    <n v="8"/>
    <x v="2"/>
    <n v="38"/>
    <n v="8.89"/>
    <n v="337.82000000000005"/>
  </r>
  <r>
    <n v="2572"/>
    <x v="0"/>
    <x v="511"/>
    <n v="2021"/>
    <n v="7"/>
    <x v="4"/>
    <n v="28"/>
    <n v="9.98"/>
    <n v="279.44"/>
  </r>
  <r>
    <n v="2573"/>
    <x v="0"/>
    <x v="516"/>
    <n v="2021"/>
    <n v="8"/>
    <x v="4"/>
    <n v="29"/>
    <n v="9.98"/>
    <n v="289.42"/>
  </r>
  <r>
    <n v="2574"/>
    <x v="0"/>
    <x v="220"/>
    <n v="2021"/>
    <n v="7"/>
    <x v="4"/>
    <n v="58"/>
    <n v="9.43"/>
    <n v="546.93999999999994"/>
  </r>
  <r>
    <n v="2575"/>
    <x v="0"/>
    <x v="501"/>
    <n v="2021"/>
    <n v="9"/>
    <x v="4"/>
    <n v="49"/>
    <n v="8.5500000000000007"/>
    <n v="418.95000000000005"/>
  </r>
  <r>
    <n v="2576"/>
    <x v="0"/>
    <x v="500"/>
    <n v="2021"/>
    <n v="9"/>
    <x v="4"/>
    <n v="38"/>
    <n v="8.5500000000000007"/>
    <n v="324.90000000000003"/>
  </r>
  <r>
    <n v="2577"/>
    <x v="0"/>
    <x v="517"/>
    <n v="2021"/>
    <n v="9"/>
    <x v="4"/>
    <n v="57"/>
    <n v="9.43"/>
    <n v="537.51"/>
  </r>
  <r>
    <n v="2578"/>
    <x v="5"/>
    <x v="497"/>
    <n v="2021"/>
    <n v="7"/>
    <x v="4"/>
    <n v="28"/>
    <n v="9.98"/>
    <n v="279.44"/>
  </r>
  <r>
    <n v="2579"/>
    <x v="5"/>
    <x v="504"/>
    <n v="2021"/>
    <n v="8"/>
    <x v="4"/>
    <n v="29"/>
    <n v="9.43"/>
    <n v="273.46999999999997"/>
  </r>
  <r>
    <n v="2580"/>
    <x v="5"/>
    <x v="178"/>
    <n v="2021"/>
    <n v="9"/>
    <x v="4"/>
    <n v="32"/>
    <n v="9.98"/>
    <n v="319.36"/>
  </r>
  <r>
    <n v="2581"/>
    <x v="10"/>
    <x v="496"/>
    <n v="2021"/>
    <n v="7"/>
    <x v="4"/>
    <n v="45"/>
    <n v="9.98"/>
    <n v="449.1"/>
  </r>
  <r>
    <n v="2582"/>
    <x v="9"/>
    <x v="509"/>
    <n v="2021"/>
    <n v="7"/>
    <x v="4"/>
    <n v="17"/>
    <n v="9.98"/>
    <n v="169.66"/>
  </r>
  <r>
    <n v="2583"/>
    <x v="9"/>
    <x v="518"/>
    <n v="2021"/>
    <n v="9"/>
    <x v="4"/>
    <n v="19"/>
    <n v="9.98"/>
    <n v="189.62"/>
  </r>
  <r>
    <n v="2584"/>
    <x v="9"/>
    <x v="519"/>
    <n v="2021"/>
    <n v="8"/>
    <x v="4"/>
    <n v="32"/>
    <n v="9.98"/>
    <n v="319.36"/>
  </r>
  <r>
    <n v="2585"/>
    <x v="10"/>
    <x v="500"/>
    <n v="2021"/>
    <n v="9"/>
    <x v="4"/>
    <n v="48"/>
    <n v="8.5500000000000007"/>
    <n v="410.40000000000003"/>
  </r>
  <r>
    <n v="2586"/>
    <x v="2"/>
    <x v="520"/>
    <n v="2021"/>
    <n v="10"/>
    <x v="3"/>
    <n v="28"/>
    <n v="7.98"/>
    <n v="223.44"/>
  </r>
  <r>
    <n v="2587"/>
    <x v="2"/>
    <x v="521"/>
    <n v="2021"/>
    <n v="10"/>
    <x v="3"/>
    <n v="30"/>
    <n v="8.98"/>
    <n v="269.40000000000003"/>
  </r>
  <r>
    <n v="2588"/>
    <x v="2"/>
    <x v="522"/>
    <n v="2021"/>
    <n v="11"/>
    <x v="3"/>
    <n v="49"/>
    <n v="8.98"/>
    <n v="440.02000000000004"/>
  </r>
  <r>
    <n v="2589"/>
    <x v="2"/>
    <x v="207"/>
    <n v="2021"/>
    <n v="11"/>
    <x v="3"/>
    <n v="52"/>
    <n v="8.98"/>
    <n v="466.96000000000004"/>
  </r>
  <r>
    <n v="2590"/>
    <x v="2"/>
    <x v="523"/>
    <n v="2021"/>
    <n v="12"/>
    <x v="3"/>
    <n v="47"/>
    <n v="8.98"/>
    <n v="422.06"/>
  </r>
  <r>
    <n v="2591"/>
    <x v="8"/>
    <x v="524"/>
    <n v="2021"/>
    <n v="10"/>
    <x v="3"/>
    <n v="45"/>
    <n v="7.98"/>
    <n v="359.1"/>
  </r>
  <r>
    <n v="2592"/>
    <x v="8"/>
    <x v="197"/>
    <n v="2021"/>
    <n v="10"/>
    <x v="3"/>
    <n v="38"/>
    <n v="7.98"/>
    <n v="303.24"/>
  </r>
  <r>
    <n v="2593"/>
    <x v="8"/>
    <x v="525"/>
    <n v="2021"/>
    <n v="10"/>
    <x v="3"/>
    <n v="26"/>
    <n v="8.98"/>
    <n v="233.48000000000002"/>
  </r>
  <r>
    <n v="2594"/>
    <x v="4"/>
    <x v="216"/>
    <n v="2021"/>
    <n v="11"/>
    <x v="3"/>
    <n v="42"/>
    <n v="8.98"/>
    <n v="377.16"/>
  </r>
  <r>
    <n v="2595"/>
    <x v="4"/>
    <x v="526"/>
    <n v="2021"/>
    <n v="11"/>
    <x v="3"/>
    <n v="48"/>
    <n v="8.98"/>
    <n v="431.04"/>
  </r>
  <r>
    <n v="2596"/>
    <x v="5"/>
    <x v="523"/>
    <n v="2021"/>
    <n v="12"/>
    <x v="3"/>
    <n v="54"/>
    <n v="7.98"/>
    <n v="430.92"/>
  </r>
  <r>
    <n v="2597"/>
    <x v="5"/>
    <x v="527"/>
    <n v="2021"/>
    <n v="12"/>
    <x v="3"/>
    <n v="65"/>
    <n v="7.98"/>
    <n v="518.70000000000005"/>
  </r>
  <r>
    <n v="2598"/>
    <x v="10"/>
    <x v="527"/>
    <n v="2021"/>
    <n v="12"/>
    <x v="3"/>
    <n v="45"/>
    <n v="7.98"/>
    <n v="359.1"/>
  </r>
  <r>
    <n v="2599"/>
    <x v="10"/>
    <x v="528"/>
    <n v="2021"/>
    <n v="10"/>
    <x v="3"/>
    <n v="65"/>
    <n v="7.98"/>
    <n v="518.70000000000005"/>
  </r>
  <r>
    <n v="2600"/>
    <x v="10"/>
    <x v="529"/>
    <n v="2021"/>
    <n v="10"/>
    <x v="3"/>
    <n v="72"/>
    <n v="7.98"/>
    <n v="574.56000000000006"/>
  </r>
  <r>
    <n v="2601"/>
    <x v="10"/>
    <x v="530"/>
    <n v="2021"/>
    <n v="11"/>
    <x v="3"/>
    <n v="38"/>
    <n v="7.98"/>
    <n v="303.24"/>
  </r>
  <r>
    <n v="2602"/>
    <x v="10"/>
    <x v="531"/>
    <n v="2021"/>
    <n v="11"/>
    <x v="3"/>
    <n v="41"/>
    <n v="8.98"/>
    <n v="368.18"/>
  </r>
  <r>
    <n v="2603"/>
    <x v="10"/>
    <x v="532"/>
    <n v="2021"/>
    <n v="11"/>
    <x v="3"/>
    <n v="52"/>
    <n v="8.98"/>
    <n v="466.96000000000004"/>
  </r>
  <r>
    <n v="2604"/>
    <x v="11"/>
    <x v="533"/>
    <n v="2021"/>
    <n v="10"/>
    <x v="3"/>
    <n v="66"/>
    <n v="7.98"/>
    <n v="526.68000000000006"/>
  </r>
  <r>
    <n v="2605"/>
    <x v="11"/>
    <x v="224"/>
    <n v="2021"/>
    <n v="10"/>
    <x v="3"/>
    <n v="61"/>
    <n v="8.98"/>
    <n v="547.78"/>
  </r>
  <r>
    <n v="2606"/>
    <x v="11"/>
    <x v="525"/>
    <n v="2021"/>
    <n v="10"/>
    <x v="3"/>
    <n v="72"/>
    <n v="7.98"/>
    <n v="574.56000000000006"/>
  </r>
  <r>
    <n v="2607"/>
    <x v="11"/>
    <x v="534"/>
    <n v="2021"/>
    <n v="11"/>
    <x v="3"/>
    <n v="45"/>
    <n v="7.98"/>
    <n v="359.1"/>
  </r>
  <r>
    <n v="2608"/>
    <x v="11"/>
    <x v="535"/>
    <n v="2021"/>
    <n v="12"/>
    <x v="3"/>
    <n v="38"/>
    <n v="7.98"/>
    <n v="303.24"/>
  </r>
  <r>
    <n v="2609"/>
    <x v="11"/>
    <x v="536"/>
    <n v="2021"/>
    <n v="12"/>
    <x v="3"/>
    <n v="36"/>
    <n v="8.98"/>
    <n v="323.28000000000003"/>
  </r>
  <r>
    <n v="2610"/>
    <x v="2"/>
    <x v="521"/>
    <n v="2021"/>
    <n v="10"/>
    <x v="1"/>
    <n v="25"/>
    <n v="10.89"/>
    <n v="272.25"/>
  </r>
  <r>
    <n v="2611"/>
    <x v="2"/>
    <x v="184"/>
    <n v="2021"/>
    <n v="10"/>
    <x v="1"/>
    <n v="39"/>
    <n v="9.9700000000000006"/>
    <n v="388.83000000000004"/>
  </r>
  <r>
    <n v="2612"/>
    <x v="0"/>
    <x v="537"/>
    <n v="2021"/>
    <n v="10"/>
    <x v="1"/>
    <n v="40"/>
    <n v="9.9700000000000006"/>
    <n v="398.8"/>
  </r>
  <r>
    <n v="2613"/>
    <x v="0"/>
    <x v="207"/>
    <n v="2021"/>
    <n v="11"/>
    <x v="1"/>
    <n v="28"/>
    <n v="10.89"/>
    <n v="304.92"/>
  </r>
  <r>
    <n v="2614"/>
    <x v="0"/>
    <x v="216"/>
    <n v="2021"/>
    <n v="11"/>
    <x v="1"/>
    <n v="32"/>
    <n v="10.89"/>
    <n v="348.48"/>
  </r>
  <r>
    <n v="2615"/>
    <x v="5"/>
    <x v="521"/>
    <n v="2021"/>
    <n v="10"/>
    <x v="1"/>
    <n v="24"/>
    <n v="10.89"/>
    <n v="261.36"/>
  </r>
  <r>
    <n v="2616"/>
    <x v="10"/>
    <x v="538"/>
    <n v="2021"/>
    <n v="10"/>
    <x v="1"/>
    <n v="56"/>
    <n v="13.98"/>
    <n v="782.88"/>
  </r>
  <r>
    <n v="2617"/>
    <x v="9"/>
    <x v="528"/>
    <n v="2021"/>
    <n v="10"/>
    <x v="1"/>
    <n v="32"/>
    <n v="10.89"/>
    <n v="348.48"/>
  </r>
  <r>
    <n v="2618"/>
    <x v="9"/>
    <x v="539"/>
    <n v="2021"/>
    <n v="11"/>
    <x v="1"/>
    <n v="48"/>
    <n v="13.98"/>
    <n v="671.04"/>
  </r>
  <r>
    <n v="2619"/>
    <x v="11"/>
    <x v="540"/>
    <n v="2021"/>
    <n v="12"/>
    <x v="1"/>
    <n v="12"/>
    <n v="9.9700000000000006"/>
    <n v="119.64000000000001"/>
  </r>
  <r>
    <n v="2620"/>
    <x v="11"/>
    <x v="189"/>
    <n v="2021"/>
    <n v="12"/>
    <x v="1"/>
    <n v="8"/>
    <n v="13.98"/>
    <n v="111.84"/>
  </r>
  <r>
    <n v="2621"/>
    <x v="11"/>
    <x v="186"/>
    <n v="2021"/>
    <n v="10"/>
    <x v="1"/>
    <n v="19"/>
    <n v="9.9700000000000006"/>
    <n v="189.43"/>
  </r>
  <r>
    <n v="2622"/>
    <x v="11"/>
    <x v="531"/>
    <n v="2021"/>
    <n v="11"/>
    <x v="1"/>
    <n v="27"/>
    <n v="10.89"/>
    <n v="294.03000000000003"/>
  </r>
  <r>
    <n v="2623"/>
    <x v="0"/>
    <x v="541"/>
    <n v="2021"/>
    <n v="10"/>
    <x v="0"/>
    <n v="28"/>
    <n v="5.47"/>
    <n v="153.16"/>
  </r>
  <r>
    <n v="2624"/>
    <x v="0"/>
    <x v="528"/>
    <n v="2021"/>
    <n v="10"/>
    <x v="0"/>
    <n v="34"/>
    <n v="8.4600000000000009"/>
    <n v="287.64000000000004"/>
  </r>
  <r>
    <n v="2625"/>
    <x v="0"/>
    <x v="542"/>
    <n v="2021"/>
    <n v="11"/>
    <x v="0"/>
    <n v="36"/>
    <n v="5.47"/>
    <n v="196.92"/>
  </r>
  <r>
    <n v="2626"/>
    <x v="0"/>
    <x v="543"/>
    <n v="2021"/>
    <n v="11"/>
    <x v="0"/>
    <n v="48"/>
    <n v="8.4600000000000009"/>
    <n v="406.08000000000004"/>
  </r>
  <r>
    <n v="2627"/>
    <x v="0"/>
    <x v="544"/>
    <n v="2021"/>
    <n v="12"/>
    <x v="0"/>
    <n v="69"/>
    <n v="8.4600000000000009"/>
    <n v="583.74"/>
  </r>
  <r>
    <n v="2628"/>
    <x v="8"/>
    <x v="545"/>
    <n v="2021"/>
    <n v="10"/>
    <x v="0"/>
    <n v="54"/>
    <n v="8.4600000000000009"/>
    <n v="456.84000000000003"/>
  </r>
  <r>
    <n v="2629"/>
    <x v="8"/>
    <x v="546"/>
    <n v="2021"/>
    <n v="11"/>
    <x v="0"/>
    <n v="62"/>
    <n v="8.4600000000000009"/>
    <n v="524.5200000000001"/>
  </r>
  <r>
    <n v="2630"/>
    <x v="8"/>
    <x v="543"/>
    <n v="2021"/>
    <n v="11"/>
    <x v="0"/>
    <n v="48"/>
    <n v="5.47"/>
    <n v="262.56"/>
  </r>
  <r>
    <n v="2631"/>
    <x v="8"/>
    <x v="527"/>
    <n v="2021"/>
    <n v="12"/>
    <x v="0"/>
    <n v="26"/>
    <n v="5.57"/>
    <n v="144.82"/>
  </r>
  <r>
    <n v="2632"/>
    <x v="4"/>
    <x v="547"/>
    <n v="2021"/>
    <n v="10"/>
    <x v="0"/>
    <n v="29"/>
    <n v="5.57"/>
    <n v="161.53"/>
  </r>
  <r>
    <n v="2633"/>
    <x v="4"/>
    <x v="526"/>
    <n v="2021"/>
    <n v="11"/>
    <x v="0"/>
    <n v="44"/>
    <n v="8.4600000000000009"/>
    <n v="372.24"/>
  </r>
  <r>
    <n v="2634"/>
    <x v="4"/>
    <x v="548"/>
    <n v="2021"/>
    <n v="12"/>
    <x v="0"/>
    <n v="69"/>
    <n v="8.4600000000000009"/>
    <n v="583.74"/>
  </r>
  <r>
    <n v="2635"/>
    <x v="10"/>
    <x v="541"/>
    <n v="2021"/>
    <n v="10"/>
    <x v="0"/>
    <n v="49"/>
    <n v="8.4600000000000009"/>
    <n v="414.54"/>
  </r>
  <r>
    <n v="2636"/>
    <x v="9"/>
    <x v="549"/>
    <n v="2021"/>
    <n v="11"/>
    <x v="0"/>
    <n v="59"/>
    <n v="8.4600000000000009"/>
    <n v="499.14000000000004"/>
  </r>
  <r>
    <n v="2637"/>
    <x v="9"/>
    <x v="550"/>
    <n v="2021"/>
    <n v="12"/>
    <x v="0"/>
    <n v="69"/>
    <n v="8.4600000000000009"/>
    <n v="583.74"/>
  </r>
  <r>
    <n v="2638"/>
    <x v="2"/>
    <x v="520"/>
    <n v="2021"/>
    <n v="10"/>
    <x v="2"/>
    <n v="48"/>
    <n v="6.99"/>
    <n v="335.52"/>
  </r>
  <r>
    <n v="2639"/>
    <x v="2"/>
    <x v="551"/>
    <n v="2021"/>
    <n v="10"/>
    <x v="2"/>
    <n v="39"/>
    <n v="10.97"/>
    <n v="427.83000000000004"/>
  </r>
  <r>
    <n v="2640"/>
    <x v="2"/>
    <x v="546"/>
    <n v="2021"/>
    <n v="11"/>
    <x v="2"/>
    <n v="56"/>
    <n v="10.97"/>
    <n v="614.32000000000005"/>
  </r>
  <r>
    <n v="2641"/>
    <x v="2"/>
    <x v="216"/>
    <n v="2021"/>
    <n v="11"/>
    <x v="2"/>
    <n v="38"/>
    <n v="8.89"/>
    <n v="337.82000000000005"/>
  </r>
  <r>
    <n v="2642"/>
    <x v="2"/>
    <x v="523"/>
    <n v="2021"/>
    <n v="12"/>
    <x v="2"/>
    <n v="29"/>
    <n v="8.89"/>
    <n v="257.81"/>
  </r>
  <r>
    <n v="2643"/>
    <x v="2"/>
    <x v="525"/>
    <n v="2021"/>
    <n v="10"/>
    <x v="2"/>
    <n v="28"/>
    <n v="10.97"/>
    <n v="307.16000000000003"/>
  </r>
  <r>
    <n v="2644"/>
    <x v="0"/>
    <x v="538"/>
    <n v="2021"/>
    <n v="10"/>
    <x v="2"/>
    <n v="64"/>
    <n v="10.97"/>
    <n v="702.08"/>
  </r>
  <r>
    <n v="2645"/>
    <x v="0"/>
    <x v="534"/>
    <n v="2021"/>
    <n v="11"/>
    <x v="2"/>
    <n v="73"/>
    <n v="10.97"/>
    <n v="800.81000000000006"/>
  </r>
  <r>
    <n v="2646"/>
    <x v="0"/>
    <x v="552"/>
    <n v="2021"/>
    <n v="12"/>
    <x v="2"/>
    <n v="37"/>
    <n v="10.97"/>
    <n v="405.89000000000004"/>
  </r>
  <r>
    <n v="2647"/>
    <x v="0"/>
    <x v="553"/>
    <n v="2021"/>
    <n v="12"/>
    <x v="2"/>
    <n v="52"/>
    <n v="6.99"/>
    <n v="363.48"/>
  </r>
  <r>
    <n v="2648"/>
    <x v="10"/>
    <x v="554"/>
    <n v="2021"/>
    <n v="12"/>
    <x v="2"/>
    <n v="28"/>
    <n v="10.97"/>
    <n v="307.16000000000003"/>
  </r>
  <r>
    <n v="2649"/>
    <x v="10"/>
    <x v="555"/>
    <n v="2021"/>
    <n v="12"/>
    <x v="2"/>
    <n v="52"/>
    <n v="8.89"/>
    <n v="462.28000000000003"/>
  </r>
  <r>
    <n v="2650"/>
    <x v="10"/>
    <x v="528"/>
    <n v="2021"/>
    <n v="10"/>
    <x v="2"/>
    <n v="13"/>
    <n v="10.97"/>
    <n v="142.61000000000001"/>
  </r>
  <r>
    <n v="2651"/>
    <x v="10"/>
    <x v="184"/>
    <n v="2021"/>
    <n v="10"/>
    <x v="2"/>
    <n v="34"/>
    <n v="8.89"/>
    <n v="302.26"/>
  </r>
  <r>
    <n v="2652"/>
    <x v="10"/>
    <x v="556"/>
    <n v="2021"/>
    <n v="11"/>
    <x v="2"/>
    <n v="50"/>
    <n v="10.97"/>
    <n v="548.5"/>
  </r>
  <r>
    <n v="2653"/>
    <x v="9"/>
    <x v="557"/>
    <n v="2021"/>
    <n v="10"/>
    <x v="2"/>
    <n v="62"/>
    <n v="8.89"/>
    <n v="551.18000000000006"/>
  </r>
  <r>
    <n v="2654"/>
    <x v="9"/>
    <x v="203"/>
    <n v="2021"/>
    <n v="11"/>
    <x v="2"/>
    <n v="28"/>
    <n v="10.97"/>
    <n v="307.16000000000003"/>
  </r>
  <r>
    <n v="2655"/>
    <x v="9"/>
    <x v="558"/>
    <n v="2021"/>
    <n v="12"/>
    <x v="2"/>
    <n v="10"/>
    <n v="10.97"/>
    <n v="109.7"/>
  </r>
  <r>
    <n v="2656"/>
    <x v="9"/>
    <x v="527"/>
    <n v="2021"/>
    <n v="12"/>
    <x v="2"/>
    <n v="39"/>
    <n v="10.97"/>
    <n v="427.83000000000004"/>
  </r>
  <r>
    <n v="2657"/>
    <x v="11"/>
    <x v="559"/>
    <n v="2021"/>
    <n v="12"/>
    <x v="2"/>
    <n v="52"/>
    <n v="10.97"/>
    <n v="570.44000000000005"/>
  </r>
  <r>
    <n v="2658"/>
    <x v="0"/>
    <x v="525"/>
    <n v="2021"/>
    <n v="10"/>
    <x v="4"/>
    <n v="28"/>
    <n v="9.98"/>
    <n v="279.44"/>
  </r>
  <r>
    <n v="2659"/>
    <x v="0"/>
    <x v="533"/>
    <n v="2021"/>
    <n v="10"/>
    <x v="4"/>
    <n v="39"/>
    <n v="9.43"/>
    <n v="367.77"/>
  </r>
  <r>
    <n v="2660"/>
    <x v="4"/>
    <x v="560"/>
    <n v="2021"/>
    <n v="10"/>
    <x v="4"/>
    <n v="61"/>
    <n v="9.43"/>
    <n v="575.23"/>
  </r>
  <r>
    <n v="2661"/>
    <x v="4"/>
    <x v="524"/>
    <n v="2021"/>
    <n v="10"/>
    <x v="4"/>
    <n v="18"/>
    <n v="9.43"/>
    <n v="169.74"/>
  </r>
  <r>
    <n v="2662"/>
    <x v="4"/>
    <x v="551"/>
    <n v="2021"/>
    <n v="10"/>
    <x v="4"/>
    <n v="48"/>
    <n v="9.98"/>
    <n v="479.04"/>
  </r>
  <r>
    <n v="2663"/>
    <x v="4"/>
    <x v="531"/>
    <n v="2021"/>
    <n v="11"/>
    <x v="4"/>
    <n v="26"/>
    <n v="9.98"/>
    <n v="259.48"/>
  </r>
  <r>
    <n v="2664"/>
    <x v="4"/>
    <x v="561"/>
    <n v="2021"/>
    <n v="12"/>
    <x v="4"/>
    <n v="52"/>
    <n v="9.43"/>
    <n v="490.36"/>
  </r>
  <r>
    <n v="2665"/>
    <x v="5"/>
    <x v="541"/>
    <n v="2021"/>
    <n v="10"/>
    <x v="4"/>
    <n v="19"/>
    <n v="8.5500000000000007"/>
    <n v="162.45000000000002"/>
  </r>
  <r>
    <n v="2666"/>
    <x v="5"/>
    <x v="528"/>
    <n v="2021"/>
    <n v="10"/>
    <x v="4"/>
    <n v="6"/>
    <n v="8.5500000000000007"/>
    <n v="51.300000000000004"/>
  </r>
  <r>
    <n v="2667"/>
    <x v="5"/>
    <x v="555"/>
    <n v="2021"/>
    <n v="12"/>
    <x v="4"/>
    <n v="39"/>
    <n v="8.5500000000000007"/>
    <n v="333.45000000000005"/>
  </r>
  <r>
    <n v="2668"/>
    <x v="5"/>
    <x v="204"/>
    <n v="2021"/>
    <n v="11"/>
    <x v="4"/>
    <n v="52"/>
    <n v="9.98"/>
    <n v="518.96"/>
  </r>
  <r>
    <n v="2669"/>
    <x v="5"/>
    <x v="562"/>
    <n v="2021"/>
    <n v="11"/>
    <x v="4"/>
    <n v="40"/>
    <n v="9.98"/>
    <n v="399.20000000000005"/>
  </r>
  <r>
    <n v="2670"/>
    <x v="10"/>
    <x v="563"/>
    <n v="2021"/>
    <n v="10"/>
    <x v="4"/>
    <n v="51"/>
    <n v="9.98"/>
    <n v="508.98"/>
  </r>
  <r>
    <n v="2671"/>
    <x v="10"/>
    <x v="564"/>
    <n v="2021"/>
    <n v="10"/>
    <x v="4"/>
    <n v="38"/>
    <n v="9.43"/>
    <n v="358.34"/>
  </r>
  <r>
    <n v="2672"/>
    <x v="10"/>
    <x v="536"/>
    <n v="2021"/>
    <n v="12"/>
    <x v="4"/>
    <n v="28"/>
    <n v="9.43"/>
    <n v="264.03999999999996"/>
  </r>
  <r>
    <n v="2673"/>
    <x v="9"/>
    <x v="538"/>
    <n v="2021"/>
    <n v="10"/>
    <x v="4"/>
    <n v="40"/>
    <n v="9.43"/>
    <n v="377.2"/>
  </r>
  <r>
    <n v="2674"/>
    <x v="9"/>
    <x v="184"/>
    <n v="2021"/>
    <n v="10"/>
    <x v="4"/>
    <n v="10"/>
    <n v="8.5500000000000007"/>
    <n v="85.5"/>
  </r>
  <r>
    <n v="2675"/>
    <x v="9"/>
    <x v="565"/>
    <n v="2021"/>
    <n v="10"/>
    <x v="4"/>
    <n v="16"/>
    <n v="9.43"/>
    <n v="150.88"/>
  </r>
  <r>
    <n v="2676"/>
    <x v="9"/>
    <x v="546"/>
    <n v="2021"/>
    <n v="11"/>
    <x v="4"/>
    <n v="46"/>
    <n v="8.5500000000000007"/>
    <n v="393.3"/>
  </r>
  <r>
    <n v="2677"/>
    <x v="9"/>
    <x v="562"/>
    <n v="2021"/>
    <n v="11"/>
    <x v="4"/>
    <n v="62"/>
    <n v="9.98"/>
    <n v="618.76"/>
  </r>
  <r>
    <n v="2678"/>
    <x v="9"/>
    <x v="566"/>
    <n v="2021"/>
    <n v="12"/>
    <x v="4"/>
    <n v="29"/>
    <n v="9.98"/>
    <n v="289.42"/>
  </r>
  <r>
    <n v="2679"/>
    <x v="11"/>
    <x v="184"/>
    <n v="2021"/>
    <n v="10"/>
    <x v="4"/>
    <n v="39"/>
    <n v="9.43"/>
    <n v="367.77"/>
  </r>
  <r>
    <n v="2680"/>
    <x v="11"/>
    <x v="543"/>
    <n v="2021"/>
    <n v="11"/>
    <x v="4"/>
    <n v="51"/>
    <n v="8.5500000000000007"/>
    <n v="436.05"/>
  </r>
  <r>
    <n v="2681"/>
    <x v="11"/>
    <x v="567"/>
    <n v="2021"/>
    <n v="12"/>
    <x v="4"/>
    <n v="19"/>
    <n v="9.43"/>
    <n v="179.17"/>
  </r>
  <r>
    <n v="2682"/>
    <x v="11"/>
    <x v="540"/>
    <n v="2021"/>
    <n v="12"/>
    <x v="4"/>
    <n v="20"/>
    <n v="9.98"/>
    <n v="199.60000000000002"/>
  </r>
  <r>
    <n v="2683"/>
    <x v="2"/>
    <x v="251"/>
    <n v="2022"/>
    <n v="1"/>
    <x v="3"/>
    <n v="38"/>
    <n v="8.98"/>
    <n v="341.24"/>
  </r>
  <r>
    <n v="2684"/>
    <x v="2"/>
    <x v="286"/>
    <n v="2022"/>
    <n v="2"/>
    <x v="3"/>
    <n v="64"/>
    <n v="7.98"/>
    <n v="510.72"/>
  </r>
  <r>
    <n v="2685"/>
    <x v="2"/>
    <x v="568"/>
    <n v="2022"/>
    <n v="3"/>
    <x v="3"/>
    <n v="76"/>
    <n v="8.98"/>
    <n v="682.48"/>
  </r>
  <r>
    <n v="2686"/>
    <x v="4"/>
    <x v="569"/>
    <n v="2022"/>
    <n v="2"/>
    <x v="3"/>
    <n v="45"/>
    <n v="8.98"/>
    <n v="404.1"/>
  </r>
  <r>
    <n v="2687"/>
    <x v="4"/>
    <x v="570"/>
    <n v="2022"/>
    <n v="3"/>
    <x v="3"/>
    <n v="28"/>
    <n v="8.98"/>
    <n v="251.44"/>
  </r>
  <r>
    <n v="2688"/>
    <x v="4"/>
    <x v="571"/>
    <n v="2022"/>
    <n v="1"/>
    <x v="3"/>
    <n v="39"/>
    <n v="8.98"/>
    <n v="350.22"/>
  </r>
  <r>
    <n v="2689"/>
    <x v="4"/>
    <x v="572"/>
    <n v="2022"/>
    <n v="1"/>
    <x v="3"/>
    <n v="50"/>
    <n v="7.98"/>
    <n v="399"/>
  </r>
  <r>
    <n v="2690"/>
    <x v="4"/>
    <x v="279"/>
    <n v="2022"/>
    <n v="3"/>
    <x v="3"/>
    <n v="26"/>
    <n v="7.98"/>
    <n v="207.48000000000002"/>
  </r>
  <r>
    <n v="2691"/>
    <x v="12"/>
    <x v="573"/>
    <n v="2022"/>
    <n v="1"/>
    <x v="3"/>
    <n v="25"/>
    <n v="8.98"/>
    <n v="224.5"/>
  </r>
  <r>
    <n v="2692"/>
    <x v="12"/>
    <x v="574"/>
    <n v="2022"/>
    <n v="2"/>
    <x v="3"/>
    <n v="36"/>
    <n v="8.98"/>
    <n v="323.28000000000003"/>
  </r>
  <r>
    <n v="2693"/>
    <x v="12"/>
    <x v="575"/>
    <n v="2022"/>
    <n v="3"/>
    <x v="3"/>
    <n v="10"/>
    <n v="8.98"/>
    <n v="89.800000000000011"/>
  </r>
  <r>
    <n v="2694"/>
    <x v="12"/>
    <x v="576"/>
    <n v="2022"/>
    <n v="3"/>
    <x v="3"/>
    <n v="6"/>
    <n v="7.98"/>
    <n v="47.88"/>
  </r>
  <r>
    <n v="2695"/>
    <x v="0"/>
    <x v="577"/>
    <n v="2022"/>
    <n v="1"/>
    <x v="3"/>
    <n v="26"/>
    <n v="7.98"/>
    <n v="207.48000000000002"/>
  </r>
  <r>
    <n v="2696"/>
    <x v="0"/>
    <x v="578"/>
    <n v="2022"/>
    <n v="2"/>
    <x v="3"/>
    <n v="56"/>
    <n v="8.98"/>
    <n v="502.88"/>
  </r>
  <r>
    <n v="2697"/>
    <x v="2"/>
    <x v="269"/>
    <n v="2022"/>
    <n v="1"/>
    <x v="1"/>
    <n v="28"/>
    <n v="9.9700000000000006"/>
    <n v="279.16000000000003"/>
  </r>
  <r>
    <n v="2698"/>
    <x v="2"/>
    <x v="286"/>
    <n v="2022"/>
    <n v="2"/>
    <x v="1"/>
    <n v="48"/>
    <n v="9.9700000000000006"/>
    <n v="478.56000000000006"/>
  </r>
  <r>
    <n v="2699"/>
    <x v="2"/>
    <x v="575"/>
    <n v="2022"/>
    <n v="3"/>
    <x v="1"/>
    <n v="42"/>
    <n v="10.89"/>
    <n v="457.38"/>
  </r>
  <r>
    <n v="2700"/>
    <x v="4"/>
    <x v="258"/>
    <n v="2022"/>
    <n v="1"/>
    <x v="1"/>
    <n v="31"/>
    <n v="10.89"/>
    <n v="337.59000000000003"/>
  </r>
  <r>
    <n v="2701"/>
    <x v="4"/>
    <x v="579"/>
    <n v="2022"/>
    <n v="2"/>
    <x v="1"/>
    <n v="17"/>
    <n v="13.98"/>
    <n v="237.66"/>
  </r>
  <r>
    <n v="2702"/>
    <x v="4"/>
    <x v="570"/>
    <n v="2022"/>
    <n v="3"/>
    <x v="1"/>
    <n v="19"/>
    <n v="9.9700000000000006"/>
    <n v="189.43"/>
  </r>
  <r>
    <n v="2703"/>
    <x v="4"/>
    <x v="580"/>
    <n v="2022"/>
    <n v="3"/>
    <x v="1"/>
    <n v="28"/>
    <n v="9.9700000000000006"/>
    <n v="279.16000000000003"/>
  </r>
  <r>
    <n v="2704"/>
    <x v="0"/>
    <x v="577"/>
    <n v="2022"/>
    <n v="1"/>
    <x v="0"/>
    <n v="25"/>
    <n v="8.4600000000000009"/>
    <n v="211.50000000000003"/>
  </r>
  <r>
    <n v="2705"/>
    <x v="0"/>
    <x v="581"/>
    <n v="2022"/>
    <n v="2"/>
    <x v="0"/>
    <n v="38"/>
    <n v="5.47"/>
    <n v="207.85999999999999"/>
  </r>
  <r>
    <n v="2706"/>
    <x v="0"/>
    <x v="582"/>
    <n v="2022"/>
    <n v="3"/>
    <x v="0"/>
    <n v="40"/>
    <n v="5.47"/>
    <n v="218.79999999999998"/>
  </r>
  <r>
    <n v="2707"/>
    <x v="0"/>
    <x v="249"/>
    <n v="2022"/>
    <n v="3"/>
    <x v="0"/>
    <n v="22"/>
    <n v="8.4600000000000009"/>
    <n v="186.12"/>
  </r>
  <r>
    <n v="2708"/>
    <x v="4"/>
    <x v="583"/>
    <n v="2022"/>
    <n v="1"/>
    <x v="2"/>
    <n v="24"/>
    <n v="10.97"/>
    <n v="263.28000000000003"/>
  </r>
  <r>
    <n v="2709"/>
    <x v="4"/>
    <x v="579"/>
    <n v="2022"/>
    <n v="2"/>
    <x v="2"/>
    <n v="37"/>
    <n v="6.99"/>
    <n v="258.63"/>
  </r>
  <r>
    <n v="2710"/>
    <x v="4"/>
    <x v="568"/>
    <n v="2022"/>
    <n v="3"/>
    <x v="2"/>
    <n v="8"/>
    <n v="8.89"/>
    <n v="71.12"/>
  </r>
  <r>
    <n v="2711"/>
    <x v="9"/>
    <x v="583"/>
    <n v="2022"/>
    <n v="1"/>
    <x v="2"/>
    <n v="16"/>
    <n v="8.89"/>
    <n v="142.24"/>
  </r>
  <r>
    <n v="2712"/>
    <x v="9"/>
    <x v="579"/>
    <n v="2022"/>
    <n v="2"/>
    <x v="2"/>
    <n v="26"/>
    <n v="8.89"/>
    <n v="231.14000000000001"/>
  </r>
  <r>
    <n v="2713"/>
    <x v="9"/>
    <x v="584"/>
    <n v="2022"/>
    <n v="2"/>
    <x v="2"/>
    <n v="34"/>
    <n v="6.99"/>
    <n v="237.66"/>
  </r>
  <r>
    <n v="2714"/>
    <x v="9"/>
    <x v="279"/>
    <n v="2022"/>
    <n v="3"/>
    <x v="2"/>
    <n v="3"/>
    <n v="10.97"/>
    <n v="32.910000000000004"/>
  </r>
  <r>
    <n v="2715"/>
    <x v="2"/>
    <x v="285"/>
    <n v="2022"/>
    <n v="1"/>
    <x v="4"/>
    <n v="21"/>
    <n v="9.98"/>
    <n v="209.58"/>
  </r>
  <r>
    <n v="2716"/>
    <x v="2"/>
    <x v="571"/>
    <n v="2022"/>
    <n v="1"/>
    <x v="4"/>
    <n v="27"/>
    <n v="9.43"/>
    <n v="254.60999999999999"/>
  </r>
  <r>
    <n v="2717"/>
    <x v="0"/>
    <x v="571"/>
    <n v="2022"/>
    <n v="1"/>
    <x v="4"/>
    <n v="42"/>
    <n v="9.98"/>
    <n v="419.16"/>
  </r>
  <r>
    <n v="2718"/>
    <x v="0"/>
    <x v="585"/>
    <n v="2022"/>
    <n v="2"/>
    <x v="4"/>
    <n v="17"/>
    <n v="9.43"/>
    <n v="160.31"/>
  </r>
  <r>
    <n v="2719"/>
    <x v="0"/>
    <x v="586"/>
    <n v="2022"/>
    <n v="3"/>
    <x v="4"/>
    <n v="29"/>
    <n v="8.5500000000000007"/>
    <n v="247.95000000000002"/>
  </r>
  <r>
    <n v="2720"/>
    <x v="9"/>
    <x v="587"/>
    <n v="2022"/>
    <n v="1"/>
    <x v="4"/>
    <n v="31"/>
    <n v="8.5500000000000007"/>
    <n v="265.05"/>
  </r>
  <r>
    <n v="2721"/>
    <x v="9"/>
    <x v="588"/>
    <n v="2022"/>
    <n v="2"/>
    <x v="4"/>
    <n v="32"/>
    <n v="8.5500000000000007"/>
    <n v="273.60000000000002"/>
  </r>
  <r>
    <n v="2722"/>
    <x v="2"/>
    <x v="589"/>
    <n v="2022"/>
    <n v="4"/>
    <x v="3"/>
    <n v="26"/>
    <n v="8.98"/>
    <n v="233.48000000000002"/>
  </r>
  <r>
    <n v="2723"/>
    <x v="2"/>
    <x v="278"/>
    <n v="2022"/>
    <n v="4"/>
    <x v="3"/>
    <n v="28"/>
    <n v="8.98"/>
    <n v="251.44"/>
  </r>
  <r>
    <n v="2724"/>
    <x v="2"/>
    <x v="590"/>
    <n v="2022"/>
    <n v="5"/>
    <x v="3"/>
    <n v="40"/>
    <n v="8.98"/>
    <n v="359.20000000000005"/>
  </r>
  <r>
    <n v="2725"/>
    <x v="0"/>
    <x v="591"/>
    <n v="2022"/>
    <n v="4"/>
    <x v="3"/>
    <n v="8"/>
    <n v="8.98"/>
    <n v="71.84"/>
  </r>
  <r>
    <n v="2726"/>
    <x v="0"/>
    <x v="592"/>
    <n v="2022"/>
    <n v="4"/>
    <x v="3"/>
    <n v="15"/>
    <n v="8.98"/>
    <n v="134.70000000000002"/>
  </r>
  <r>
    <n v="2727"/>
    <x v="0"/>
    <x v="593"/>
    <n v="2022"/>
    <n v="5"/>
    <x v="3"/>
    <n v="36"/>
    <n v="8.98"/>
    <n v="323.28000000000003"/>
  </r>
  <r>
    <n v="2728"/>
    <x v="8"/>
    <x v="594"/>
    <n v="2022"/>
    <n v="4"/>
    <x v="3"/>
    <n v="52"/>
    <n v="8.98"/>
    <n v="466.96000000000004"/>
  </r>
  <r>
    <n v="2729"/>
    <x v="8"/>
    <x v="595"/>
    <n v="2022"/>
    <n v="4"/>
    <x v="3"/>
    <n v="27"/>
    <n v="8.98"/>
    <n v="242.46"/>
  </r>
  <r>
    <n v="2730"/>
    <x v="8"/>
    <x v="243"/>
    <n v="2022"/>
    <n v="4"/>
    <x v="3"/>
    <n v="38"/>
    <n v="8.98"/>
    <n v="341.24"/>
  </r>
  <r>
    <n v="2731"/>
    <x v="8"/>
    <x v="596"/>
    <n v="2022"/>
    <n v="4"/>
    <x v="3"/>
    <n v="41"/>
    <n v="8.98"/>
    <n v="368.18"/>
  </r>
  <r>
    <n v="2732"/>
    <x v="4"/>
    <x v="243"/>
    <n v="2022"/>
    <n v="4"/>
    <x v="3"/>
    <n v="36"/>
    <n v="7.98"/>
    <n v="287.28000000000003"/>
  </r>
  <r>
    <n v="2733"/>
    <x v="4"/>
    <x v="278"/>
    <n v="2022"/>
    <n v="4"/>
    <x v="3"/>
    <n v="42"/>
    <n v="7.98"/>
    <n v="335.16"/>
  </r>
  <r>
    <n v="2734"/>
    <x v="9"/>
    <x v="597"/>
    <n v="2022"/>
    <n v="4"/>
    <x v="3"/>
    <n v="28"/>
    <n v="7.98"/>
    <n v="223.44"/>
  </r>
  <r>
    <n v="2735"/>
    <x v="9"/>
    <x v="593"/>
    <n v="2022"/>
    <n v="5"/>
    <x v="3"/>
    <n v="39"/>
    <n v="7.98"/>
    <n v="311.22000000000003"/>
  </r>
  <r>
    <n v="2736"/>
    <x v="9"/>
    <x v="277"/>
    <n v="2022"/>
    <n v="5"/>
    <x v="3"/>
    <n v="40"/>
    <n v="7.98"/>
    <n v="319.20000000000005"/>
  </r>
  <r>
    <n v="2737"/>
    <x v="12"/>
    <x v="278"/>
    <n v="2022"/>
    <n v="4"/>
    <x v="3"/>
    <n v="20"/>
    <n v="7.98"/>
    <n v="159.60000000000002"/>
  </r>
  <r>
    <n v="2738"/>
    <x v="12"/>
    <x v="590"/>
    <n v="2022"/>
    <n v="5"/>
    <x v="3"/>
    <n v="10"/>
    <n v="7.98"/>
    <n v="79.800000000000011"/>
  </r>
  <r>
    <n v="2739"/>
    <x v="12"/>
    <x v="598"/>
    <n v="2022"/>
    <n v="6"/>
    <x v="3"/>
    <n v="28"/>
    <n v="7.98"/>
    <n v="223.44"/>
  </r>
  <r>
    <n v="2740"/>
    <x v="0"/>
    <x v="594"/>
    <n v="2022"/>
    <n v="4"/>
    <x v="1"/>
    <n v="22"/>
    <n v="9.9700000000000006"/>
    <n v="219.34"/>
  </r>
  <r>
    <n v="2741"/>
    <x v="0"/>
    <x v="599"/>
    <n v="2022"/>
    <n v="5"/>
    <x v="1"/>
    <n v="26"/>
    <n v="13.98"/>
    <n v="363.48"/>
  </r>
  <r>
    <n v="2742"/>
    <x v="0"/>
    <x v="600"/>
    <n v="2022"/>
    <n v="6"/>
    <x v="1"/>
    <n v="36"/>
    <n v="9.9700000000000006"/>
    <n v="358.92"/>
  </r>
  <r>
    <n v="2743"/>
    <x v="0"/>
    <x v="598"/>
    <n v="2022"/>
    <n v="6"/>
    <x v="1"/>
    <n v="40"/>
    <n v="9.9700000000000006"/>
    <n v="398.8"/>
  </r>
  <r>
    <n v="2744"/>
    <x v="4"/>
    <x v="601"/>
    <n v="2022"/>
    <n v="4"/>
    <x v="1"/>
    <n v="46"/>
    <n v="9.9700000000000006"/>
    <n v="458.62"/>
  </r>
  <r>
    <n v="2745"/>
    <x v="4"/>
    <x v="602"/>
    <n v="2022"/>
    <n v="4"/>
    <x v="1"/>
    <n v="37"/>
    <n v="13.98"/>
    <n v="517.26"/>
  </r>
  <r>
    <n v="2746"/>
    <x v="4"/>
    <x v="590"/>
    <n v="2022"/>
    <n v="5"/>
    <x v="1"/>
    <n v="26"/>
    <n v="9.9700000000000006"/>
    <n v="259.22000000000003"/>
  </r>
  <r>
    <n v="2747"/>
    <x v="4"/>
    <x v="603"/>
    <n v="2022"/>
    <n v="6"/>
    <x v="1"/>
    <n v="49"/>
    <n v="9.9700000000000006"/>
    <n v="488.53000000000003"/>
  </r>
  <r>
    <n v="2748"/>
    <x v="9"/>
    <x v="601"/>
    <n v="2022"/>
    <n v="4"/>
    <x v="1"/>
    <n v="49"/>
    <n v="9.9700000000000006"/>
    <n v="488.53000000000003"/>
  </r>
  <r>
    <n v="2749"/>
    <x v="9"/>
    <x v="604"/>
    <n v="2022"/>
    <n v="5"/>
    <x v="1"/>
    <n v="54"/>
    <n v="9.9700000000000006"/>
    <n v="538.38"/>
  </r>
  <r>
    <n v="2750"/>
    <x v="9"/>
    <x v="605"/>
    <n v="2022"/>
    <n v="6"/>
    <x v="1"/>
    <n v="62"/>
    <n v="9.9700000000000006"/>
    <n v="618.14"/>
  </r>
  <r>
    <n v="2751"/>
    <x v="12"/>
    <x v="606"/>
    <n v="2022"/>
    <n v="4"/>
    <x v="1"/>
    <n v="45"/>
    <n v="10.89"/>
    <n v="490.05"/>
  </r>
  <r>
    <n v="2752"/>
    <x v="12"/>
    <x v="607"/>
    <n v="2022"/>
    <n v="5"/>
    <x v="1"/>
    <n v="56"/>
    <n v="10.89"/>
    <n v="609.84"/>
  </r>
  <r>
    <n v="2753"/>
    <x v="12"/>
    <x v="608"/>
    <n v="2022"/>
    <n v="6"/>
    <x v="1"/>
    <n v="68"/>
    <n v="9.9700000000000006"/>
    <n v="677.96"/>
  </r>
  <r>
    <n v="2754"/>
    <x v="12"/>
    <x v="280"/>
    <n v="2022"/>
    <n v="6"/>
    <x v="1"/>
    <n v="36"/>
    <n v="9.9700000000000006"/>
    <n v="358.92"/>
  </r>
  <r>
    <n v="2755"/>
    <x v="2"/>
    <x v="609"/>
    <n v="2022"/>
    <n v="4"/>
    <x v="0"/>
    <n v="46"/>
    <n v="5.47"/>
    <n v="251.61999999999998"/>
  </r>
  <r>
    <n v="2756"/>
    <x v="2"/>
    <x v="590"/>
    <n v="2022"/>
    <n v="5"/>
    <x v="0"/>
    <n v="56"/>
    <n v="5.47"/>
    <n v="306.32"/>
  </r>
  <r>
    <n v="2757"/>
    <x v="2"/>
    <x v="610"/>
    <n v="2022"/>
    <n v="6"/>
    <x v="0"/>
    <n v="66"/>
    <n v="5.47"/>
    <n v="361.02"/>
  </r>
  <r>
    <n v="2758"/>
    <x v="0"/>
    <x v="599"/>
    <n v="2022"/>
    <n v="5"/>
    <x v="0"/>
    <n v="32"/>
    <n v="5.47"/>
    <n v="175.04"/>
  </r>
  <r>
    <n v="2759"/>
    <x v="0"/>
    <x v="611"/>
    <n v="2022"/>
    <n v="5"/>
    <x v="0"/>
    <n v="52"/>
    <n v="8.4600000000000009"/>
    <n v="439.92000000000007"/>
  </r>
  <r>
    <n v="2760"/>
    <x v="0"/>
    <x v="280"/>
    <n v="2022"/>
    <n v="6"/>
    <x v="0"/>
    <n v="27"/>
    <n v="8.4600000000000009"/>
    <n v="228.42000000000002"/>
  </r>
  <r>
    <n v="2761"/>
    <x v="12"/>
    <x v="612"/>
    <n v="2022"/>
    <n v="4"/>
    <x v="0"/>
    <n v="14"/>
    <n v="8.4600000000000009"/>
    <n v="118.44000000000001"/>
  </r>
  <r>
    <n v="2762"/>
    <x v="12"/>
    <x v="607"/>
    <n v="2022"/>
    <n v="5"/>
    <x v="0"/>
    <n v="26"/>
    <n v="8.4600000000000009"/>
    <n v="219.96000000000004"/>
  </r>
  <r>
    <n v="2763"/>
    <x v="12"/>
    <x v="600"/>
    <n v="2022"/>
    <n v="6"/>
    <x v="0"/>
    <n v="12"/>
    <n v="5.47"/>
    <n v="65.64"/>
  </r>
  <r>
    <n v="2764"/>
    <x v="2"/>
    <x v="613"/>
    <n v="2022"/>
    <n v="4"/>
    <x v="2"/>
    <n v="14"/>
    <n v="6.99"/>
    <n v="97.86"/>
  </r>
  <r>
    <n v="2765"/>
    <x v="2"/>
    <x v="278"/>
    <n v="2022"/>
    <n v="4"/>
    <x v="2"/>
    <n v="25"/>
    <n v="10.97"/>
    <n v="274.25"/>
  </r>
  <r>
    <n v="2766"/>
    <x v="2"/>
    <x v="281"/>
    <n v="2022"/>
    <n v="5"/>
    <x v="2"/>
    <n v="36"/>
    <n v="10.97"/>
    <n v="394.92"/>
  </r>
  <r>
    <n v="2767"/>
    <x v="0"/>
    <x v="613"/>
    <n v="2022"/>
    <n v="4"/>
    <x v="2"/>
    <n v="17"/>
    <n v="8.89"/>
    <n v="151.13"/>
  </r>
  <r>
    <n v="2768"/>
    <x v="0"/>
    <x v="607"/>
    <n v="2022"/>
    <n v="5"/>
    <x v="2"/>
    <n v="15"/>
    <n v="8.89"/>
    <n v="133.35000000000002"/>
  </r>
  <r>
    <n v="2769"/>
    <x v="0"/>
    <x v="605"/>
    <n v="2022"/>
    <n v="6"/>
    <x v="2"/>
    <n v="36"/>
    <n v="10.97"/>
    <n v="394.92"/>
  </r>
  <r>
    <n v="2770"/>
    <x v="12"/>
    <x v="609"/>
    <n v="2022"/>
    <n v="4"/>
    <x v="2"/>
    <n v="30"/>
    <n v="10.97"/>
    <n v="329.1"/>
  </r>
  <r>
    <n v="2771"/>
    <x v="12"/>
    <x v="590"/>
    <n v="2022"/>
    <n v="5"/>
    <x v="2"/>
    <n v="46"/>
    <n v="6.99"/>
    <n v="321.54000000000002"/>
  </r>
  <r>
    <n v="2772"/>
    <x v="12"/>
    <x v="598"/>
    <n v="2022"/>
    <n v="6"/>
    <x v="2"/>
    <n v="38"/>
    <n v="6.99"/>
    <n v="265.62"/>
  </r>
  <r>
    <n v="2773"/>
    <x v="2"/>
    <x v="614"/>
    <n v="2022"/>
    <n v="7"/>
    <x v="0"/>
    <n v="44"/>
    <n v="5.47"/>
    <n v="240.67999999999998"/>
  </r>
  <r>
    <n v="2774"/>
    <x v="2"/>
    <x v="615"/>
    <n v="2022"/>
    <n v="8"/>
    <x v="0"/>
    <n v="41"/>
    <n v="8.4600000000000009"/>
    <n v="346.86"/>
  </r>
  <r>
    <n v="2775"/>
    <x v="2"/>
    <x v="616"/>
    <n v="2022"/>
    <n v="9"/>
    <x v="0"/>
    <n v="38"/>
    <n v="5.47"/>
    <n v="207.85999999999999"/>
  </r>
  <r>
    <n v="2776"/>
    <x v="0"/>
    <x v="617"/>
    <n v="2022"/>
    <n v="9"/>
    <x v="0"/>
    <n v="12"/>
    <n v="5.47"/>
    <n v="65.64"/>
  </r>
  <r>
    <n v="2777"/>
    <x v="8"/>
    <x v="618"/>
    <n v="2022"/>
    <n v="7"/>
    <x v="0"/>
    <n v="24"/>
    <n v="8.4600000000000009"/>
    <n v="203.04000000000002"/>
  </r>
  <r>
    <n v="2778"/>
    <x v="8"/>
    <x v="619"/>
    <n v="2022"/>
    <n v="7"/>
    <x v="0"/>
    <n v="12"/>
    <n v="5.47"/>
    <n v="65.64"/>
  </r>
  <r>
    <n v="2779"/>
    <x v="8"/>
    <x v="620"/>
    <n v="2022"/>
    <n v="7"/>
    <x v="0"/>
    <n v="45"/>
    <n v="8.4600000000000009"/>
    <n v="380.70000000000005"/>
  </r>
  <r>
    <n v="2780"/>
    <x v="8"/>
    <x v="621"/>
    <n v="2022"/>
    <n v="8"/>
    <x v="0"/>
    <n v="37"/>
    <n v="5.47"/>
    <n v="202.39"/>
  </r>
  <r>
    <n v="2781"/>
    <x v="4"/>
    <x v="622"/>
    <n v="2022"/>
    <n v="7"/>
    <x v="0"/>
    <n v="28"/>
    <n v="8.4600000000000009"/>
    <n v="236.88000000000002"/>
  </r>
  <r>
    <n v="2782"/>
    <x v="4"/>
    <x v="621"/>
    <n v="2022"/>
    <n v="8"/>
    <x v="0"/>
    <n v="41"/>
    <n v="5.47"/>
    <n v="224.26999999999998"/>
  </r>
  <r>
    <n v="2783"/>
    <x v="4"/>
    <x v="262"/>
    <n v="2022"/>
    <n v="9"/>
    <x v="0"/>
    <n v="16"/>
    <n v="5.47"/>
    <n v="87.52"/>
  </r>
  <r>
    <n v="2784"/>
    <x v="4"/>
    <x v="623"/>
    <n v="2022"/>
    <n v="7"/>
    <x v="0"/>
    <n v="4"/>
    <n v="5.47"/>
    <n v="21.88"/>
  </r>
  <r>
    <n v="2785"/>
    <x v="4"/>
    <x v="624"/>
    <n v="2022"/>
    <n v="8"/>
    <x v="0"/>
    <n v="29"/>
    <n v="5.47"/>
    <n v="158.63"/>
  </r>
  <r>
    <n v="2786"/>
    <x v="9"/>
    <x v="620"/>
    <n v="2022"/>
    <n v="7"/>
    <x v="0"/>
    <n v="32"/>
    <n v="5.47"/>
    <n v="175.04"/>
  </r>
  <r>
    <n v="2787"/>
    <x v="9"/>
    <x v="624"/>
    <n v="2022"/>
    <n v="8"/>
    <x v="0"/>
    <n v="42"/>
    <n v="5.47"/>
    <n v="229.73999999999998"/>
  </r>
  <r>
    <n v="2788"/>
    <x v="12"/>
    <x v="625"/>
    <n v="2022"/>
    <n v="9"/>
    <x v="0"/>
    <n v="46"/>
    <n v="5.47"/>
    <n v="251.61999999999998"/>
  </r>
  <r>
    <n v="2789"/>
    <x v="12"/>
    <x v="620"/>
    <n v="2022"/>
    <n v="7"/>
    <x v="0"/>
    <n v="18"/>
    <n v="5.47"/>
    <n v="98.46"/>
  </r>
  <r>
    <n v="2790"/>
    <x v="12"/>
    <x v="626"/>
    <n v="2022"/>
    <n v="8"/>
    <x v="0"/>
    <n v="9"/>
    <n v="5.47"/>
    <n v="49.23"/>
  </r>
  <r>
    <n v="2791"/>
    <x v="12"/>
    <x v="621"/>
    <n v="2022"/>
    <n v="8"/>
    <x v="0"/>
    <n v="15"/>
    <n v="5.47"/>
    <n v="82.05"/>
  </r>
  <r>
    <n v="2792"/>
    <x v="4"/>
    <x v="627"/>
    <n v="2022"/>
    <n v="8"/>
    <x v="3"/>
    <n v="14"/>
    <n v="8.98"/>
    <n v="125.72"/>
  </r>
  <r>
    <n v="2793"/>
    <x v="4"/>
    <x v="247"/>
    <n v="2022"/>
    <n v="8"/>
    <x v="3"/>
    <n v="20"/>
    <n v="7.98"/>
    <n v="159.60000000000002"/>
  </r>
  <r>
    <n v="2794"/>
    <x v="12"/>
    <x v="618"/>
    <n v="2022"/>
    <n v="7"/>
    <x v="3"/>
    <n v="35"/>
    <n v="8.98"/>
    <n v="314.3"/>
  </r>
  <r>
    <n v="2795"/>
    <x v="12"/>
    <x v="628"/>
    <n v="2022"/>
    <n v="9"/>
    <x v="3"/>
    <n v="50"/>
    <n v="7.98"/>
    <n v="399"/>
  </r>
  <r>
    <n v="2796"/>
    <x v="0"/>
    <x v="623"/>
    <n v="2022"/>
    <n v="7"/>
    <x v="1"/>
    <n v="30"/>
    <n v="13.98"/>
    <n v="419.40000000000003"/>
  </r>
  <r>
    <n v="2797"/>
    <x v="8"/>
    <x v="629"/>
    <n v="2022"/>
    <n v="7"/>
    <x v="1"/>
    <n v="32"/>
    <n v="13.98"/>
    <n v="447.36"/>
  </r>
  <r>
    <n v="2798"/>
    <x v="8"/>
    <x v="627"/>
    <n v="2022"/>
    <n v="8"/>
    <x v="1"/>
    <n v="21"/>
    <n v="9.9700000000000006"/>
    <n v="209.37"/>
  </r>
  <r>
    <n v="2799"/>
    <x v="8"/>
    <x v="630"/>
    <n v="2022"/>
    <n v="9"/>
    <x v="1"/>
    <n v="7"/>
    <n v="9.9700000000000006"/>
    <n v="69.790000000000006"/>
  </r>
  <r>
    <n v="2800"/>
    <x v="9"/>
    <x v="621"/>
    <n v="2022"/>
    <n v="8"/>
    <x v="1"/>
    <n v="8"/>
    <n v="9.9700000000000006"/>
    <n v="79.760000000000005"/>
  </r>
  <r>
    <n v="2801"/>
    <x v="12"/>
    <x v="252"/>
    <n v="2022"/>
    <n v="9"/>
    <x v="1"/>
    <n v="19"/>
    <n v="10.97"/>
    <n v="208.43"/>
  </r>
  <r>
    <n v="2802"/>
    <x v="12"/>
    <x v="631"/>
    <n v="2022"/>
    <n v="9"/>
    <x v="1"/>
    <n v="5"/>
    <n v="9.9700000000000006"/>
    <n v="49.85"/>
  </r>
  <r>
    <n v="2803"/>
    <x v="0"/>
    <x v="632"/>
    <n v="2022"/>
    <n v="9"/>
    <x v="2"/>
    <n v="65"/>
    <n v="8.89"/>
    <n v="577.85"/>
  </r>
  <r>
    <n v="2804"/>
    <x v="8"/>
    <x v="625"/>
    <n v="2022"/>
    <n v="9"/>
    <x v="2"/>
    <n v="66"/>
    <n v="8.89"/>
    <n v="586.74"/>
  </r>
  <r>
    <n v="2805"/>
    <x v="9"/>
    <x v="633"/>
    <n v="2022"/>
    <n v="9"/>
    <x v="2"/>
    <n v="58"/>
    <n v="6.99"/>
    <n v="405.42"/>
  </r>
  <r>
    <n v="2806"/>
    <x v="9"/>
    <x v="622"/>
    <n v="2022"/>
    <n v="7"/>
    <x v="2"/>
    <n v="48"/>
    <n v="6.99"/>
    <n v="335.52"/>
  </r>
  <r>
    <n v="2807"/>
    <x v="9"/>
    <x v="634"/>
    <n v="2022"/>
    <n v="8"/>
    <x v="2"/>
    <n v="88"/>
    <n v="6.99"/>
    <n v="615.12"/>
  </r>
  <r>
    <n v="2808"/>
    <x v="12"/>
    <x v="635"/>
    <n v="2022"/>
    <n v="8"/>
    <x v="2"/>
    <n v="54"/>
    <n v="10.97"/>
    <n v="592.38"/>
  </r>
  <r>
    <n v="2809"/>
    <x v="12"/>
    <x v="636"/>
    <n v="2022"/>
    <n v="8"/>
    <x v="2"/>
    <n v="48"/>
    <n v="6.99"/>
    <n v="335.52"/>
  </r>
  <r>
    <n v="2810"/>
    <x v="12"/>
    <x v="625"/>
    <n v="2022"/>
    <n v="9"/>
    <x v="2"/>
    <n v="39"/>
    <n v="10.97"/>
    <n v="427.83000000000004"/>
  </r>
  <r>
    <n v="2811"/>
    <x v="2"/>
    <x v="620"/>
    <n v="2022"/>
    <n v="7"/>
    <x v="4"/>
    <n v="46"/>
    <n v="8.43"/>
    <n v="387.78"/>
  </r>
  <r>
    <n v="2812"/>
    <x v="2"/>
    <x v="637"/>
    <n v="2022"/>
    <n v="8"/>
    <x v="4"/>
    <n v="48"/>
    <n v="8.5500000000000007"/>
    <n v="410.40000000000003"/>
  </r>
  <r>
    <n v="2813"/>
    <x v="0"/>
    <x v="625"/>
    <n v="2022"/>
    <n v="9"/>
    <x v="4"/>
    <n v="29"/>
    <n v="8.5500000000000007"/>
    <n v="247.95000000000002"/>
  </r>
  <r>
    <n v="2814"/>
    <x v="0"/>
    <x v="638"/>
    <n v="2022"/>
    <n v="7"/>
    <x v="4"/>
    <n v="14"/>
    <n v="8.5500000000000007"/>
    <n v="119.70000000000002"/>
  </r>
  <r>
    <n v="2815"/>
    <x v="0"/>
    <x v="639"/>
    <n v="2022"/>
    <n v="7"/>
    <x v="4"/>
    <n v="16"/>
    <n v="8.5500000000000007"/>
    <n v="136.80000000000001"/>
  </r>
  <r>
    <n v="2816"/>
    <x v="8"/>
    <x v="640"/>
    <n v="2022"/>
    <n v="8"/>
    <x v="4"/>
    <n v="13"/>
    <n v="8.5500000000000007"/>
    <n v="111.15"/>
  </r>
  <r>
    <n v="2817"/>
    <x v="8"/>
    <x v="641"/>
    <n v="2022"/>
    <n v="8"/>
    <x v="4"/>
    <n v="14"/>
    <n v="8.5500000000000007"/>
    <n v="119.70000000000002"/>
  </r>
  <r>
    <n v="2818"/>
    <x v="4"/>
    <x v="642"/>
    <n v="2022"/>
    <n v="9"/>
    <x v="4"/>
    <n v="20"/>
    <n v="8.43"/>
    <n v="168.6"/>
  </r>
  <r>
    <n v="2819"/>
    <x v="4"/>
    <x v="242"/>
    <n v="2022"/>
    <n v="8"/>
    <x v="4"/>
    <n v="24"/>
    <n v="8.43"/>
    <n v="202.32"/>
  </r>
  <r>
    <n v="2820"/>
    <x v="12"/>
    <x v="252"/>
    <n v="2022"/>
    <n v="9"/>
    <x v="4"/>
    <n v="27"/>
    <n v="8.43"/>
    <n v="227.60999999999999"/>
  </r>
  <r>
    <n v="2821"/>
    <x v="12"/>
    <x v="643"/>
    <n v="2022"/>
    <n v="8"/>
    <x v="4"/>
    <n v="39"/>
    <n v="8.43"/>
    <n v="328.77"/>
  </r>
  <r>
    <n v="2822"/>
    <x v="8"/>
    <x v="644"/>
    <n v="2022"/>
    <n v="7"/>
    <x v="3"/>
    <n v="35"/>
    <n v="7.98"/>
    <n v="279.3"/>
  </r>
  <r>
    <n v="2823"/>
    <x v="8"/>
    <x v="645"/>
    <n v="2022"/>
    <n v="7"/>
    <x v="3"/>
    <n v="45"/>
    <n v="8.98"/>
    <n v="404.1"/>
  </r>
  <r>
    <n v="2824"/>
    <x v="9"/>
    <x v="632"/>
    <n v="2022"/>
    <n v="9"/>
    <x v="3"/>
    <n v="23"/>
    <n v="7.98"/>
    <n v="183.54000000000002"/>
  </r>
  <r>
    <n v="2825"/>
    <x v="9"/>
    <x v="630"/>
    <n v="2022"/>
    <n v="9"/>
    <x v="3"/>
    <n v="10"/>
    <n v="8.98"/>
    <n v="89.800000000000011"/>
  </r>
  <r>
    <n v="2826"/>
    <x v="9"/>
    <x v="646"/>
    <n v="2022"/>
    <n v="10"/>
    <x v="3"/>
    <n v="12"/>
    <n v="8.98"/>
    <n v="107.76"/>
  </r>
  <r>
    <n v="2827"/>
    <x v="9"/>
    <x v="647"/>
    <n v="2022"/>
    <n v="11"/>
    <x v="3"/>
    <n v="24"/>
    <n v="7.98"/>
    <n v="191.52"/>
  </r>
  <r>
    <n v="2828"/>
    <x v="8"/>
    <x v="648"/>
    <n v="2022"/>
    <n v="10"/>
    <x v="3"/>
    <n v="57"/>
    <n v="8.98"/>
    <n v="511.86"/>
  </r>
  <r>
    <n v="2829"/>
    <x v="8"/>
    <x v="649"/>
    <n v="2022"/>
    <n v="11"/>
    <x v="3"/>
    <n v="48"/>
    <n v="7.98"/>
    <n v="383.04"/>
  </r>
  <r>
    <n v="2830"/>
    <x v="4"/>
    <x v="275"/>
    <n v="2022"/>
    <n v="10"/>
    <x v="1"/>
    <n v="65"/>
    <n v="10.89"/>
    <n v="707.85"/>
  </r>
  <r>
    <n v="2831"/>
    <x v="12"/>
    <x v="649"/>
    <n v="2022"/>
    <n v="11"/>
    <x v="1"/>
    <n v="28"/>
    <n v="9.9700000000000006"/>
    <n v="279.16000000000003"/>
  </r>
  <r>
    <n v="2832"/>
    <x v="0"/>
    <x v="650"/>
    <n v="2022"/>
    <n v="12"/>
    <x v="1"/>
    <n v="48"/>
    <n v="10.89"/>
    <n v="522.72"/>
  </r>
  <r>
    <n v="2833"/>
    <x v="0"/>
    <x v="651"/>
    <n v="2022"/>
    <n v="12"/>
    <x v="1"/>
    <n v="26"/>
    <n v="10.89"/>
    <n v="283.14"/>
  </r>
  <r>
    <n v="2834"/>
    <x v="2"/>
    <x v="652"/>
    <n v="2022"/>
    <n v="12"/>
    <x v="1"/>
    <n v="40"/>
    <n v="13.98"/>
    <n v="559.20000000000005"/>
  </r>
  <r>
    <n v="2835"/>
    <x v="2"/>
    <x v="260"/>
    <n v="2022"/>
    <n v="12"/>
    <x v="1"/>
    <n v="29"/>
    <n v="9.9700000000000006"/>
    <n v="289.13"/>
  </r>
  <r>
    <n v="2836"/>
    <x v="8"/>
    <x v="653"/>
    <n v="2022"/>
    <n v="10"/>
    <x v="1"/>
    <n v="30"/>
    <n v="10.89"/>
    <n v="326.70000000000005"/>
  </r>
  <r>
    <n v="2837"/>
    <x v="8"/>
    <x v="654"/>
    <n v="2022"/>
    <n v="12"/>
    <x v="1"/>
    <n v="9"/>
    <n v="9.9700000000000006"/>
    <n v="89.73"/>
  </r>
  <r>
    <n v="2838"/>
    <x v="8"/>
    <x v="655"/>
    <n v="2022"/>
    <n v="10"/>
    <x v="1"/>
    <n v="43"/>
    <n v="13.98"/>
    <n v="601.14"/>
  </r>
  <r>
    <n v="2839"/>
    <x v="9"/>
    <x v="656"/>
    <n v="2022"/>
    <n v="11"/>
    <x v="1"/>
    <n v="9"/>
    <n v="10.89"/>
    <n v="98.01"/>
  </r>
  <r>
    <n v="2840"/>
    <x v="9"/>
    <x v="657"/>
    <n v="2022"/>
    <n v="11"/>
    <x v="1"/>
    <n v="26"/>
    <n v="13.98"/>
    <n v="363.48"/>
  </r>
  <r>
    <n v="2841"/>
    <x v="9"/>
    <x v="658"/>
    <n v="2022"/>
    <n v="10"/>
    <x v="1"/>
    <n v="36"/>
    <n v="9.9700000000000006"/>
    <n v="358.92"/>
  </r>
  <r>
    <n v="2842"/>
    <x v="2"/>
    <x v="659"/>
    <n v="2022"/>
    <n v="10"/>
    <x v="0"/>
    <n v="60"/>
    <n v="5.47"/>
    <n v="328.2"/>
  </r>
  <r>
    <n v="2843"/>
    <x v="8"/>
    <x v="660"/>
    <n v="2022"/>
    <n v="11"/>
    <x v="0"/>
    <n v="49"/>
    <n v="8.4600000000000009"/>
    <n v="414.54"/>
  </r>
  <r>
    <n v="2844"/>
    <x v="8"/>
    <x v="661"/>
    <n v="2022"/>
    <n v="10"/>
    <x v="0"/>
    <n v="31"/>
    <n v="5.47"/>
    <n v="169.57"/>
  </r>
  <r>
    <n v="2845"/>
    <x v="4"/>
    <x v="662"/>
    <n v="2022"/>
    <n v="10"/>
    <x v="0"/>
    <n v="12"/>
    <n v="5.47"/>
    <n v="65.64"/>
  </r>
  <r>
    <n v="2846"/>
    <x v="4"/>
    <x v="663"/>
    <n v="2022"/>
    <n v="12"/>
    <x v="0"/>
    <n v="12"/>
    <n v="5.47"/>
    <n v="65.64"/>
  </r>
  <r>
    <n v="2847"/>
    <x v="4"/>
    <x v="276"/>
    <n v="2022"/>
    <n v="11"/>
    <x v="0"/>
    <n v="11"/>
    <n v="5.47"/>
    <n v="60.169999999999995"/>
  </r>
  <r>
    <n v="2848"/>
    <x v="9"/>
    <x v="664"/>
    <n v="2022"/>
    <n v="11"/>
    <x v="0"/>
    <n v="7"/>
    <n v="5.47"/>
    <n v="38.29"/>
  </r>
  <r>
    <n v="2849"/>
    <x v="9"/>
    <x v="665"/>
    <n v="2022"/>
    <n v="11"/>
    <x v="0"/>
    <n v="14"/>
    <n v="5.47"/>
    <n v="76.58"/>
  </r>
  <r>
    <n v="2850"/>
    <x v="9"/>
    <x v="275"/>
    <n v="2022"/>
    <n v="10"/>
    <x v="0"/>
    <n v="11"/>
    <n v="8.4600000000000009"/>
    <n v="93.06"/>
  </r>
  <r>
    <n v="2851"/>
    <x v="9"/>
    <x v="666"/>
    <n v="2022"/>
    <n v="12"/>
    <x v="0"/>
    <n v="28"/>
    <n v="8.4600000000000009"/>
    <n v="236.88000000000002"/>
  </r>
  <r>
    <n v="2852"/>
    <x v="2"/>
    <x v="667"/>
    <n v="2022"/>
    <n v="11"/>
    <x v="2"/>
    <n v="16"/>
    <n v="10.97"/>
    <n v="175.52"/>
  </r>
  <r>
    <n v="2853"/>
    <x v="8"/>
    <x v="663"/>
    <n v="2022"/>
    <n v="12"/>
    <x v="2"/>
    <n v="17"/>
    <n v="8.89"/>
    <n v="151.13"/>
  </r>
  <r>
    <n v="2854"/>
    <x v="4"/>
    <x v="668"/>
    <n v="2022"/>
    <n v="11"/>
    <x v="2"/>
    <n v="57"/>
    <n v="6.99"/>
    <n v="398.43"/>
  </r>
  <r>
    <n v="2855"/>
    <x v="2"/>
    <x v="664"/>
    <n v="2022"/>
    <n v="11"/>
    <x v="2"/>
    <n v="45"/>
    <n v="6.89"/>
    <n v="310.05"/>
  </r>
  <r>
    <n v="2856"/>
    <x v="8"/>
    <x v="662"/>
    <n v="2022"/>
    <n v="10"/>
    <x v="2"/>
    <n v="24"/>
    <n v="8.89"/>
    <n v="213.36"/>
  </r>
  <r>
    <n v="2857"/>
    <x v="9"/>
    <x v="669"/>
    <n v="2022"/>
    <n v="11"/>
    <x v="2"/>
    <n v="51"/>
    <n v="8.89"/>
    <n v="453.39000000000004"/>
  </r>
  <r>
    <n v="2858"/>
    <x v="9"/>
    <x v="282"/>
    <n v="2022"/>
    <n v="10"/>
    <x v="2"/>
    <n v="29"/>
    <n v="10.97"/>
    <n v="318.13"/>
  </r>
  <r>
    <n v="2859"/>
    <x v="2"/>
    <x v="670"/>
    <n v="2022"/>
    <n v="10"/>
    <x v="4"/>
    <n v="51"/>
    <n v="9.98"/>
    <n v="508.98"/>
  </r>
  <r>
    <n v="2860"/>
    <x v="2"/>
    <x v="671"/>
    <n v="2022"/>
    <n v="10"/>
    <x v="4"/>
    <n v="45"/>
    <n v="9.43"/>
    <n v="424.34999999999997"/>
  </r>
  <r>
    <n v="2861"/>
    <x v="8"/>
    <x v="245"/>
    <n v="2022"/>
    <n v="12"/>
    <x v="4"/>
    <n v="33"/>
    <n v="9.43"/>
    <n v="311.19"/>
  </r>
  <r>
    <n v="2862"/>
    <x v="8"/>
    <x v="672"/>
    <n v="2022"/>
    <n v="12"/>
    <x v="4"/>
    <n v="15"/>
    <n v="9.43"/>
    <n v="141.44999999999999"/>
  </r>
  <r>
    <n v="2863"/>
    <x v="8"/>
    <x v="673"/>
    <n v="2022"/>
    <n v="11"/>
    <x v="4"/>
    <n v="57"/>
    <n v="9.43"/>
    <n v="537.51"/>
  </r>
  <r>
    <n v="2864"/>
    <x v="4"/>
    <x v="674"/>
    <n v="2022"/>
    <n v="11"/>
    <x v="4"/>
    <n v="16"/>
    <n v="8.5500000000000007"/>
    <n v="136.80000000000001"/>
  </r>
  <r>
    <n v="2865"/>
    <x v="4"/>
    <x v="675"/>
    <n v="2022"/>
    <n v="10"/>
    <x v="4"/>
    <n v="38"/>
    <n v="8.5500000000000007"/>
    <n v="324.90000000000003"/>
  </r>
  <r>
    <n v="2866"/>
    <x v="4"/>
    <x v="255"/>
    <n v="2022"/>
    <n v="12"/>
    <x v="4"/>
    <n v="37"/>
    <n v="8.5500000000000007"/>
    <n v="316.35000000000002"/>
  </r>
  <r>
    <n v="2867"/>
    <x v="9"/>
    <x v="255"/>
    <n v="2022"/>
    <n v="12"/>
    <x v="4"/>
    <n v="49"/>
    <n v="8.5500000000000007"/>
    <n v="418.95000000000005"/>
  </r>
  <r>
    <n v="2868"/>
    <x v="12"/>
    <x v="284"/>
    <n v="2022"/>
    <n v="10"/>
    <x v="4"/>
    <n v="37"/>
    <n v="9.98"/>
    <n v="369.26"/>
  </r>
  <r>
    <n v="2869"/>
    <x v="12"/>
    <x v="657"/>
    <n v="2022"/>
    <n v="11"/>
    <x v="4"/>
    <n v="52"/>
    <n v="9.98"/>
    <n v="518.96"/>
  </r>
  <r>
    <n v="2870"/>
    <x v="7"/>
    <x v="676"/>
    <n v="2004"/>
    <n v="2"/>
    <x v="3"/>
    <n v="26"/>
    <n v="8.98"/>
    <n v="233.48000000000002"/>
  </r>
  <r>
    <n v="2871"/>
    <x v="7"/>
    <x v="677"/>
    <n v="2004"/>
    <n v="3"/>
    <x v="3"/>
    <n v="49"/>
    <n v="7.98"/>
    <n v="391.02000000000004"/>
  </r>
  <r>
    <n v="2872"/>
    <x v="7"/>
    <x v="678"/>
    <n v="2004"/>
    <n v="1"/>
    <x v="3"/>
    <n v="47"/>
    <n v="8.98"/>
    <n v="422.06"/>
  </r>
  <r>
    <n v="2873"/>
    <x v="7"/>
    <x v="679"/>
    <n v="2004"/>
    <n v="2"/>
    <x v="3"/>
    <n v="31"/>
    <n v="7.98"/>
    <n v="247.38000000000002"/>
  </r>
  <r>
    <n v="2874"/>
    <x v="6"/>
    <x v="680"/>
    <n v="2004"/>
    <n v="1"/>
    <x v="2"/>
    <n v="35"/>
    <n v="6.99"/>
    <n v="244.65"/>
  </r>
  <r>
    <n v="2875"/>
    <x v="6"/>
    <x v="681"/>
    <n v="2004"/>
    <n v="9"/>
    <x v="2"/>
    <n v="50"/>
    <n v="10.97"/>
    <n v="548.5"/>
  </r>
  <r>
    <n v="2876"/>
    <x v="6"/>
    <x v="682"/>
    <n v="2004"/>
    <n v="1"/>
    <x v="4"/>
    <n v="25"/>
    <n v="9.98"/>
    <n v="249.5"/>
  </r>
  <r>
    <n v="2877"/>
    <x v="6"/>
    <x v="36"/>
    <n v="2004"/>
    <n v="2"/>
    <x v="4"/>
    <n v="28"/>
    <n v="9.43"/>
    <n v="264.03999999999996"/>
  </r>
  <r>
    <n v="2878"/>
    <x v="6"/>
    <x v="683"/>
    <n v="2004"/>
    <n v="3"/>
    <x v="4"/>
    <n v="43"/>
    <n v="8.5500000000000007"/>
    <n v="367.65000000000003"/>
  </r>
  <r>
    <n v="2879"/>
    <x v="2"/>
    <x v="684"/>
    <n v="2004"/>
    <n v="5"/>
    <x v="2"/>
    <n v="58"/>
    <n v="10.97"/>
    <n v="636.26"/>
  </r>
  <r>
    <n v="2880"/>
    <x v="2"/>
    <x v="685"/>
    <n v="2004"/>
    <n v="6"/>
    <x v="2"/>
    <n v="48"/>
    <n v="6.99"/>
    <n v="335.52"/>
  </r>
  <r>
    <n v="2881"/>
    <x v="2"/>
    <x v="686"/>
    <n v="2004"/>
    <n v="6"/>
    <x v="2"/>
    <n v="38"/>
    <n v="6.99"/>
    <n v="265.62"/>
  </r>
  <r>
    <n v="2882"/>
    <x v="2"/>
    <x v="77"/>
    <n v="2004"/>
    <n v="7"/>
    <x v="3"/>
    <n v="38"/>
    <n v="8.98"/>
    <n v="341.24"/>
  </r>
  <r>
    <n v="2883"/>
    <x v="2"/>
    <x v="687"/>
    <n v="2004"/>
    <n v="8"/>
    <x v="3"/>
    <n v="42"/>
    <n v="7.98"/>
    <n v="335.16"/>
  </r>
  <r>
    <n v="2884"/>
    <x v="2"/>
    <x v="688"/>
    <n v="2004"/>
    <n v="9"/>
    <x v="3"/>
    <n v="54"/>
    <n v="8.98"/>
    <n v="484.92"/>
  </r>
  <r>
    <n v="2885"/>
    <x v="7"/>
    <x v="689"/>
    <n v="2004"/>
    <n v="7"/>
    <x v="0"/>
    <n v="36"/>
    <n v="5.47"/>
    <n v="196.92"/>
  </r>
  <r>
    <n v="2886"/>
    <x v="7"/>
    <x v="690"/>
    <n v="2004"/>
    <n v="8"/>
    <x v="0"/>
    <n v="56"/>
    <n v="8.4600000000000009"/>
    <n v="473.76000000000005"/>
  </r>
  <r>
    <n v="2887"/>
    <x v="7"/>
    <x v="691"/>
    <n v="2004"/>
    <n v="9"/>
    <x v="0"/>
    <n v="38"/>
    <n v="5.47"/>
    <n v="207.85999999999999"/>
  </r>
  <r>
    <n v="2888"/>
    <x v="6"/>
    <x v="81"/>
    <n v="2004"/>
    <n v="10"/>
    <x v="2"/>
    <n v="28"/>
    <n v="6.99"/>
    <n v="195.72"/>
  </r>
  <r>
    <n v="2889"/>
    <x v="6"/>
    <x v="11"/>
    <n v="2004"/>
    <n v="11"/>
    <x v="2"/>
    <n v="38"/>
    <n v="10.97"/>
    <n v="416.86"/>
  </r>
  <r>
    <n v="2890"/>
    <x v="2"/>
    <x v="94"/>
    <n v="2005"/>
    <n v="1"/>
    <x v="3"/>
    <n v="30"/>
    <n v="8.98"/>
    <n v="269.40000000000003"/>
  </r>
  <r>
    <n v="2891"/>
    <x v="2"/>
    <x v="692"/>
    <n v="2005"/>
    <n v="2"/>
    <x v="3"/>
    <n v="42"/>
    <n v="7.98"/>
    <n v="335.16"/>
  </r>
  <r>
    <n v="2892"/>
    <x v="2"/>
    <x v="693"/>
    <n v="2005"/>
    <n v="3"/>
    <x v="3"/>
    <n v="11"/>
    <n v="7.98"/>
    <n v="87.78"/>
  </r>
  <r>
    <n v="2893"/>
    <x v="7"/>
    <x v="694"/>
    <n v="2005"/>
    <n v="1"/>
    <x v="0"/>
    <n v="36"/>
    <n v="8.4600000000000009"/>
    <n v="304.56000000000006"/>
  </r>
  <r>
    <n v="2894"/>
    <x v="7"/>
    <x v="695"/>
    <n v="2005"/>
    <n v="1"/>
    <x v="0"/>
    <n v="24"/>
    <n v="8.4600000000000009"/>
    <n v="203.04000000000002"/>
  </r>
  <r>
    <n v="2895"/>
    <x v="7"/>
    <x v="696"/>
    <n v="2005"/>
    <n v="2"/>
    <x v="0"/>
    <n v="32"/>
    <n v="5.47"/>
    <n v="175.04"/>
  </r>
  <r>
    <n v="2896"/>
    <x v="1"/>
    <x v="697"/>
    <n v="2005"/>
    <n v="4"/>
    <x v="2"/>
    <n v="37"/>
    <n v="6.99"/>
    <n v="258.63"/>
  </r>
  <r>
    <n v="2897"/>
    <x v="1"/>
    <x v="698"/>
    <n v="2005"/>
    <n v="5"/>
    <x v="2"/>
    <n v="50"/>
    <n v="10.97"/>
    <n v="548.5"/>
  </r>
  <r>
    <n v="2898"/>
    <x v="1"/>
    <x v="699"/>
    <n v="2005"/>
    <n v="5"/>
    <x v="2"/>
    <n v="28"/>
    <n v="6.99"/>
    <n v="195.72"/>
  </r>
  <r>
    <n v="2899"/>
    <x v="1"/>
    <x v="700"/>
    <n v="2005"/>
    <n v="5"/>
    <x v="2"/>
    <n v="60"/>
    <n v="6.99"/>
    <n v="419.40000000000003"/>
  </r>
  <r>
    <n v="2900"/>
    <x v="7"/>
    <x v="699"/>
    <n v="2005"/>
    <n v="5"/>
    <x v="2"/>
    <n v="26"/>
    <n v="10.97"/>
    <n v="285.22000000000003"/>
  </r>
  <r>
    <n v="2901"/>
    <x v="7"/>
    <x v="701"/>
    <n v="2005"/>
    <n v="6"/>
    <x v="2"/>
    <n v="40"/>
    <n v="6.99"/>
    <n v="279.60000000000002"/>
  </r>
  <r>
    <n v="2902"/>
    <x v="7"/>
    <x v="702"/>
    <n v="2005"/>
    <n v="6"/>
    <x v="2"/>
    <n v="54"/>
    <n v="10.97"/>
    <n v="592.38"/>
  </r>
  <r>
    <n v="2903"/>
    <x v="7"/>
    <x v="703"/>
    <n v="2005"/>
    <n v="6"/>
    <x v="2"/>
    <n v="27"/>
    <n v="8.89"/>
    <n v="240.03000000000003"/>
  </r>
  <r>
    <n v="2904"/>
    <x v="4"/>
    <x v="95"/>
    <n v="2005"/>
    <n v="7"/>
    <x v="2"/>
    <n v="25"/>
    <n v="6.99"/>
    <n v="174.75"/>
  </r>
  <r>
    <n v="2905"/>
    <x v="4"/>
    <x v="704"/>
    <n v="2005"/>
    <n v="8"/>
    <x v="2"/>
    <n v="26"/>
    <n v="10.97"/>
    <n v="285.22000000000003"/>
  </r>
  <r>
    <n v="2906"/>
    <x v="4"/>
    <x v="705"/>
    <n v="2005"/>
    <n v="7"/>
    <x v="2"/>
    <n v="20"/>
    <n v="8.89"/>
    <n v="177.8"/>
  </r>
  <r>
    <n v="2907"/>
    <x v="4"/>
    <x v="706"/>
    <n v="2005"/>
    <n v="8"/>
    <x v="2"/>
    <n v="23"/>
    <n v="10.97"/>
    <n v="252.31"/>
  </r>
  <r>
    <n v="2908"/>
    <x v="5"/>
    <x v="707"/>
    <n v="2005"/>
    <n v="7"/>
    <x v="2"/>
    <n v="25"/>
    <n v="8.89"/>
    <n v="222.25"/>
  </r>
  <r>
    <n v="2909"/>
    <x v="5"/>
    <x v="708"/>
    <n v="2005"/>
    <n v="8"/>
    <x v="2"/>
    <n v="24"/>
    <n v="10.97"/>
    <n v="263.28000000000003"/>
  </r>
  <r>
    <n v="2910"/>
    <x v="5"/>
    <x v="709"/>
    <n v="2005"/>
    <n v="8"/>
    <x v="2"/>
    <n v="49"/>
    <n v="8.89"/>
    <n v="435.61"/>
  </r>
  <r>
    <n v="2911"/>
    <x v="5"/>
    <x v="710"/>
    <n v="2005"/>
    <n v="9"/>
    <x v="2"/>
    <n v="39"/>
    <n v="10.97"/>
    <n v="427.83000000000004"/>
  </r>
  <r>
    <n v="2912"/>
    <x v="2"/>
    <x v="711"/>
    <n v="2005"/>
    <n v="10"/>
    <x v="1"/>
    <n v="29"/>
    <n v="10.89"/>
    <n v="315.81"/>
  </r>
  <r>
    <n v="2913"/>
    <x v="2"/>
    <x v="712"/>
    <n v="2005"/>
    <n v="11"/>
    <x v="1"/>
    <n v="30"/>
    <n v="13.98"/>
    <n v="419.40000000000003"/>
  </r>
  <r>
    <n v="2914"/>
    <x v="2"/>
    <x v="713"/>
    <n v="2005"/>
    <n v="12"/>
    <x v="1"/>
    <n v="40"/>
    <n v="9.9700000000000006"/>
    <n v="398.8"/>
  </r>
  <r>
    <n v="2915"/>
    <x v="8"/>
    <x v="714"/>
    <n v="2005"/>
    <n v="11"/>
    <x v="2"/>
    <n v="50"/>
    <n v="6.99"/>
    <n v="349.5"/>
  </r>
  <r>
    <n v="2916"/>
    <x v="5"/>
    <x v="68"/>
    <n v="2005"/>
    <n v="10"/>
    <x v="2"/>
    <n v="45"/>
    <n v="10.97"/>
    <n v="493.65000000000003"/>
  </r>
  <r>
    <n v="2917"/>
    <x v="3"/>
    <x v="715"/>
    <n v="2005"/>
    <n v="10"/>
    <x v="2"/>
    <n v="39"/>
    <n v="8.89"/>
    <n v="346.71000000000004"/>
  </r>
  <r>
    <n v="2918"/>
    <x v="8"/>
    <x v="716"/>
    <n v="2005"/>
    <n v="12"/>
    <x v="2"/>
    <n v="27"/>
    <n v="8.89"/>
    <n v="240.03000000000003"/>
  </r>
  <r>
    <n v="2919"/>
    <x v="5"/>
    <x v="717"/>
    <n v="2005"/>
    <n v="11"/>
    <x v="2"/>
    <n v="25"/>
    <n v="8.89"/>
    <n v="222.25"/>
  </r>
  <r>
    <n v="2920"/>
    <x v="3"/>
    <x v="85"/>
    <n v="2005"/>
    <n v="10"/>
    <x v="2"/>
    <n v="28"/>
    <n v="8.89"/>
    <n v="248.92000000000002"/>
  </r>
  <r>
    <n v="2921"/>
    <x v="0"/>
    <x v="718"/>
    <n v="2005"/>
    <n v="10"/>
    <x v="4"/>
    <n v="20"/>
    <n v="6.99"/>
    <n v="139.80000000000001"/>
  </r>
  <r>
    <n v="2922"/>
    <x v="0"/>
    <x v="719"/>
    <n v="2005"/>
    <n v="11"/>
    <x v="4"/>
    <n v="28"/>
    <n v="10.97"/>
    <n v="307.16000000000003"/>
  </r>
  <r>
    <n v="2923"/>
    <x v="0"/>
    <x v="94"/>
    <n v="2005"/>
    <n v="1"/>
    <x v="4"/>
    <n v="30"/>
    <n v="8.89"/>
    <n v="266.70000000000005"/>
  </r>
  <r>
    <n v="2924"/>
    <x v="0"/>
    <x v="720"/>
    <n v="2005"/>
    <n v="2"/>
    <x v="4"/>
    <n v="28"/>
    <n v="10.97"/>
    <n v="307.16000000000003"/>
  </r>
  <r>
    <n v="2925"/>
    <x v="4"/>
    <x v="721"/>
    <n v="2006"/>
    <n v="1"/>
    <x v="3"/>
    <n v="22"/>
    <n v="8.98"/>
    <n v="197.56"/>
  </r>
  <r>
    <n v="2926"/>
    <x v="4"/>
    <x v="722"/>
    <n v="2006"/>
    <n v="1"/>
    <x v="3"/>
    <n v="34"/>
    <n v="7.98"/>
    <n v="271.32"/>
  </r>
  <r>
    <n v="2927"/>
    <x v="4"/>
    <x v="723"/>
    <n v="2006"/>
    <n v="2"/>
    <x v="3"/>
    <n v="10"/>
    <n v="7.98"/>
    <n v="79.800000000000011"/>
  </r>
  <r>
    <n v="2928"/>
    <x v="4"/>
    <x v="52"/>
    <n v="2006"/>
    <n v="3"/>
    <x v="3"/>
    <n v="30"/>
    <n v="8.98"/>
    <n v="269.40000000000003"/>
  </r>
  <r>
    <n v="2929"/>
    <x v="2"/>
    <x v="724"/>
    <n v="2006"/>
    <n v="1"/>
    <x v="0"/>
    <n v="26"/>
    <n v="5.47"/>
    <n v="142.22"/>
  </r>
  <r>
    <n v="2930"/>
    <x v="2"/>
    <x v="725"/>
    <n v="2006"/>
    <n v="2"/>
    <x v="0"/>
    <n v="30"/>
    <n v="8.4600000000000009"/>
    <n v="253.8"/>
  </r>
  <r>
    <n v="2931"/>
    <x v="2"/>
    <x v="726"/>
    <n v="2006"/>
    <n v="3"/>
    <x v="0"/>
    <n v="40"/>
    <n v="5.47"/>
    <n v="218.79999999999998"/>
  </r>
  <r>
    <n v="2932"/>
    <x v="8"/>
    <x v="727"/>
    <n v="2006"/>
    <n v="1"/>
    <x v="2"/>
    <n v="20"/>
    <n v="6.99"/>
    <n v="139.80000000000001"/>
  </r>
  <r>
    <n v="2933"/>
    <x v="8"/>
    <x v="725"/>
    <n v="2006"/>
    <n v="2"/>
    <x v="2"/>
    <n v="28"/>
    <n v="10.97"/>
    <n v="307.16000000000003"/>
  </r>
  <r>
    <n v="2934"/>
    <x v="8"/>
    <x v="728"/>
    <n v="2006"/>
    <n v="3"/>
    <x v="2"/>
    <n v="40"/>
    <n v="8.89"/>
    <n v="355.6"/>
  </r>
  <r>
    <n v="2935"/>
    <x v="0"/>
    <x v="729"/>
    <n v="2006"/>
    <n v="6"/>
    <x v="2"/>
    <n v="26"/>
    <n v="6.99"/>
    <n v="181.74"/>
  </r>
  <r>
    <n v="2936"/>
    <x v="0"/>
    <x v="730"/>
    <n v="2006"/>
    <n v="5"/>
    <x v="2"/>
    <n v="18"/>
    <n v="10.97"/>
    <n v="197.46"/>
  </r>
  <r>
    <n v="2937"/>
    <x v="0"/>
    <x v="731"/>
    <n v="2006"/>
    <n v="5"/>
    <x v="2"/>
    <n v="19"/>
    <n v="10.97"/>
    <n v="208.43"/>
  </r>
  <r>
    <n v="2938"/>
    <x v="1"/>
    <x v="732"/>
    <n v="2006"/>
    <n v="4"/>
    <x v="2"/>
    <n v="25"/>
    <n v="8.89"/>
    <n v="222.25"/>
  </r>
  <r>
    <n v="2939"/>
    <x v="1"/>
    <x v="733"/>
    <n v="2006"/>
    <n v="5"/>
    <x v="2"/>
    <n v="35"/>
    <n v="10.97"/>
    <n v="383.95000000000005"/>
  </r>
  <r>
    <n v="2940"/>
    <x v="1"/>
    <x v="734"/>
    <n v="2006"/>
    <n v="6"/>
    <x v="2"/>
    <n v="45"/>
    <n v="8.89"/>
    <n v="400.05"/>
  </r>
  <r>
    <n v="2941"/>
    <x v="5"/>
    <x v="735"/>
    <n v="2006"/>
    <n v="7"/>
    <x v="3"/>
    <n v="35"/>
    <n v="8.98"/>
    <n v="314.3"/>
  </r>
  <r>
    <n v="2942"/>
    <x v="5"/>
    <x v="736"/>
    <n v="2006"/>
    <n v="8"/>
    <x v="3"/>
    <n v="39"/>
    <n v="7.98"/>
    <n v="311.22000000000003"/>
  </r>
  <r>
    <n v="2943"/>
    <x v="5"/>
    <x v="737"/>
    <n v="2006"/>
    <n v="8"/>
    <x v="3"/>
    <n v="29"/>
    <n v="7.98"/>
    <n v="231.42000000000002"/>
  </r>
  <r>
    <n v="2944"/>
    <x v="5"/>
    <x v="14"/>
    <n v="2006"/>
    <n v="9"/>
    <x v="3"/>
    <n v="21"/>
    <n v="8.98"/>
    <n v="188.58"/>
  </r>
  <r>
    <n v="2945"/>
    <x v="4"/>
    <x v="738"/>
    <n v="2006"/>
    <n v="7"/>
    <x v="2"/>
    <n v="7"/>
    <n v="6.99"/>
    <n v="48.93"/>
  </r>
  <r>
    <n v="2946"/>
    <x v="4"/>
    <x v="739"/>
    <n v="2006"/>
    <n v="9"/>
    <x v="2"/>
    <n v="24"/>
    <n v="10.97"/>
    <n v="263.28000000000003"/>
  </r>
  <r>
    <n v="2947"/>
    <x v="4"/>
    <x v="740"/>
    <n v="2006"/>
    <n v="8"/>
    <x v="2"/>
    <n v="45"/>
    <n v="8.89"/>
    <n v="400.05"/>
  </r>
  <r>
    <n v="2948"/>
    <x v="4"/>
    <x v="741"/>
    <n v="2006"/>
    <n v="8"/>
    <x v="2"/>
    <n v="67"/>
    <n v="10.97"/>
    <n v="734.99"/>
  </r>
  <r>
    <n v="2949"/>
    <x v="6"/>
    <x v="739"/>
    <n v="2006"/>
    <n v="9"/>
    <x v="2"/>
    <n v="87"/>
    <n v="8.89"/>
    <n v="773.43000000000006"/>
  </r>
  <r>
    <n v="2950"/>
    <x v="3"/>
    <x v="742"/>
    <n v="2006"/>
    <n v="8"/>
    <x v="2"/>
    <n v="47"/>
    <n v="10.97"/>
    <n v="515.59"/>
  </r>
  <r>
    <n v="2951"/>
    <x v="3"/>
    <x v="743"/>
    <n v="2006"/>
    <n v="7"/>
    <x v="2"/>
    <n v="52"/>
    <n v="8.89"/>
    <n v="462.28000000000003"/>
  </r>
  <r>
    <n v="2952"/>
    <x v="3"/>
    <x v="741"/>
    <n v="2006"/>
    <n v="8"/>
    <x v="2"/>
    <n v="64"/>
    <n v="10.97"/>
    <n v="702.08"/>
  </r>
  <r>
    <n v="2953"/>
    <x v="4"/>
    <x v="84"/>
    <n v="2006"/>
    <n v="10"/>
    <x v="2"/>
    <n v="60"/>
    <n v="6.99"/>
    <n v="419.40000000000003"/>
  </r>
  <r>
    <n v="2954"/>
    <x v="4"/>
    <x v="744"/>
    <n v="2006"/>
    <n v="9"/>
    <x v="2"/>
    <n v="45"/>
    <n v="10.97"/>
    <n v="493.65000000000003"/>
  </r>
  <r>
    <n v="2955"/>
    <x v="7"/>
    <x v="745"/>
    <n v="2006"/>
    <n v="10"/>
    <x v="2"/>
    <n v="28"/>
    <n v="6.99"/>
    <n v="195.72"/>
  </r>
  <r>
    <n v="2956"/>
    <x v="7"/>
    <x v="746"/>
    <n v="2006"/>
    <n v="11"/>
    <x v="2"/>
    <n v="19"/>
    <n v="10.97"/>
    <n v="208.43"/>
  </r>
  <r>
    <n v="2957"/>
    <x v="2"/>
    <x v="747"/>
    <n v="2023"/>
    <n v="1"/>
    <x v="1"/>
    <n v="45"/>
    <n v="13.98"/>
    <n v="629.1"/>
  </r>
  <r>
    <n v="2958"/>
    <x v="2"/>
    <x v="748"/>
    <n v="2023"/>
    <n v="1"/>
    <x v="0"/>
    <n v="21"/>
    <n v="5.47"/>
    <n v="114.86999999999999"/>
  </r>
  <r>
    <n v="2959"/>
    <x v="2"/>
    <x v="749"/>
    <n v="2023"/>
    <n v="1"/>
    <x v="2"/>
    <n v="30"/>
    <n v="10.97"/>
    <n v="329.1"/>
  </r>
  <r>
    <n v="2960"/>
    <x v="2"/>
    <x v="750"/>
    <n v="2023"/>
    <n v="1"/>
    <x v="4"/>
    <n v="43"/>
    <n v="9.98"/>
    <n v="429.14000000000004"/>
  </r>
  <r>
    <n v="2961"/>
    <x v="0"/>
    <x v="749"/>
    <n v="2023"/>
    <n v="1"/>
    <x v="3"/>
    <n v="39"/>
    <n v="8.98"/>
    <n v="350.22"/>
  </r>
  <r>
    <n v="2962"/>
    <x v="0"/>
    <x v="751"/>
    <n v="2023"/>
    <n v="1"/>
    <x v="0"/>
    <n v="12"/>
    <n v="5.47"/>
    <n v="65.64"/>
  </r>
  <r>
    <n v="2963"/>
    <x v="0"/>
    <x v="752"/>
    <n v="2023"/>
    <n v="1"/>
    <x v="4"/>
    <n v="19"/>
    <n v="9.98"/>
    <n v="189.62"/>
  </r>
  <r>
    <n v="2964"/>
    <x v="8"/>
    <x v="753"/>
    <n v="2023"/>
    <n v="1"/>
    <x v="3"/>
    <n v="45"/>
    <n v="8.98"/>
    <n v="404.1"/>
  </r>
  <r>
    <n v="2965"/>
    <x v="8"/>
    <x v="754"/>
    <n v="2023"/>
    <n v="1"/>
    <x v="1"/>
    <n v="28"/>
    <n v="13.98"/>
    <n v="391.44"/>
  </r>
  <r>
    <n v="2966"/>
    <x v="8"/>
    <x v="755"/>
    <n v="2023"/>
    <n v="1"/>
    <x v="1"/>
    <n v="21"/>
    <n v="13.98"/>
    <n v="293.58"/>
  </r>
  <r>
    <n v="2967"/>
    <x v="8"/>
    <x v="756"/>
    <n v="2023"/>
    <n v="1"/>
    <x v="1"/>
    <n v="32"/>
    <n v="13.98"/>
    <n v="447.36"/>
  </r>
  <r>
    <n v="2968"/>
    <x v="4"/>
    <x v="748"/>
    <n v="2023"/>
    <n v="1"/>
    <x v="1"/>
    <n v="19"/>
    <n v="13.98"/>
    <n v="265.62"/>
  </r>
  <r>
    <n v="2969"/>
    <x v="4"/>
    <x v="753"/>
    <n v="2023"/>
    <n v="1"/>
    <x v="2"/>
    <n v="45"/>
    <n v="10.97"/>
    <n v="493.65000000000003"/>
  </r>
  <r>
    <n v="2970"/>
    <x v="9"/>
    <x v="754"/>
    <n v="2023"/>
    <n v="1"/>
    <x v="0"/>
    <n v="19"/>
    <n v="5.47"/>
    <n v="103.92999999999999"/>
  </r>
  <r>
    <n v="2971"/>
    <x v="9"/>
    <x v="750"/>
    <n v="2023"/>
    <n v="1"/>
    <x v="0"/>
    <n v="37"/>
    <n v="5.47"/>
    <n v="202.39"/>
  </r>
  <r>
    <n v="2972"/>
    <x v="12"/>
    <x v="757"/>
    <n v="2023"/>
    <n v="1"/>
    <x v="4"/>
    <n v="22"/>
    <n v="9.98"/>
    <n v="219.56"/>
  </r>
  <r>
    <n v="2973"/>
    <x v="2"/>
    <x v="758"/>
    <n v="2023"/>
    <n v="2"/>
    <x v="3"/>
    <n v="12"/>
    <n v="8.98"/>
    <n v="107.76"/>
  </r>
  <r>
    <n v="2974"/>
    <x v="2"/>
    <x v="759"/>
    <n v="2023"/>
    <n v="2"/>
    <x v="4"/>
    <n v="10"/>
    <n v="9.98"/>
    <n v="99.800000000000011"/>
  </r>
  <r>
    <n v="2975"/>
    <x v="0"/>
    <x v="760"/>
    <n v="2023"/>
    <n v="2"/>
    <x v="3"/>
    <n v="26"/>
    <n v="8.98"/>
    <n v="233.48000000000002"/>
  </r>
  <r>
    <n v="2976"/>
    <x v="0"/>
    <x v="760"/>
    <n v="2023"/>
    <n v="2"/>
    <x v="1"/>
    <n v="26"/>
    <n v="13.98"/>
    <n v="363.48"/>
  </r>
  <r>
    <n v="2977"/>
    <x v="0"/>
    <x v="761"/>
    <n v="2023"/>
    <n v="2"/>
    <x v="1"/>
    <n v="28"/>
    <n v="13.98"/>
    <n v="391.44"/>
  </r>
  <r>
    <n v="2978"/>
    <x v="0"/>
    <x v="762"/>
    <n v="2023"/>
    <n v="2"/>
    <x v="2"/>
    <n v="12"/>
    <n v="10.97"/>
    <n v="131.64000000000001"/>
  </r>
  <r>
    <n v="2979"/>
    <x v="8"/>
    <x v="763"/>
    <n v="2023"/>
    <n v="2"/>
    <x v="3"/>
    <n v="40"/>
    <n v="8.98"/>
    <n v="359.20000000000005"/>
  </r>
  <r>
    <n v="2980"/>
    <x v="8"/>
    <x v="763"/>
    <n v="2023"/>
    <n v="2"/>
    <x v="2"/>
    <n v="43"/>
    <n v="10.97"/>
    <n v="471.71000000000004"/>
  </r>
  <r>
    <n v="2981"/>
    <x v="8"/>
    <x v="758"/>
    <n v="2023"/>
    <n v="2"/>
    <x v="4"/>
    <n v="38"/>
    <n v="9.98"/>
    <n v="379.24"/>
  </r>
  <r>
    <n v="2982"/>
    <x v="4"/>
    <x v="761"/>
    <n v="2023"/>
    <n v="2"/>
    <x v="3"/>
    <n v="19"/>
    <n v="8.98"/>
    <n v="170.62"/>
  </r>
  <r>
    <n v="2983"/>
    <x v="4"/>
    <x v="764"/>
    <n v="2023"/>
    <n v="2"/>
    <x v="1"/>
    <n v="60"/>
    <n v="13.98"/>
    <n v="838.80000000000007"/>
  </r>
  <r>
    <n v="2984"/>
    <x v="4"/>
    <x v="765"/>
    <n v="2023"/>
    <n v="2"/>
    <x v="0"/>
    <n v="39"/>
    <n v="5.47"/>
    <n v="213.32999999999998"/>
  </r>
  <r>
    <n v="2985"/>
    <x v="4"/>
    <x v="766"/>
    <n v="2023"/>
    <n v="2"/>
    <x v="4"/>
    <n v="60"/>
    <n v="9.98"/>
    <n v="598.80000000000007"/>
  </r>
  <r>
    <n v="2986"/>
    <x v="9"/>
    <x v="767"/>
    <n v="2023"/>
    <n v="2"/>
    <x v="3"/>
    <n v="56"/>
    <n v="8.98"/>
    <n v="502.88"/>
  </r>
  <r>
    <n v="2987"/>
    <x v="9"/>
    <x v="768"/>
    <n v="2023"/>
    <n v="2"/>
    <x v="2"/>
    <n v="23"/>
    <n v="10.97"/>
    <n v="252.31"/>
  </r>
  <r>
    <n v="2988"/>
    <x v="2"/>
    <x v="769"/>
    <n v="2023"/>
    <n v="3"/>
    <x v="1"/>
    <n v="24"/>
    <n v="13.98"/>
    <n v="335.52"/>
  </r>
  <r>
    <n v="2989"/>
    <x v="2"/>
    <x v="770"/>
    <n v="2023"/>
    <n v="3"/>
    <x v="2"/>
    <n v="36"/>
    <n v="10.97"/>
    <n v="394.92"/>
  </r>
  <r>
    <n v="2990"/>
    <x v="2"/>
    <x v="771"/>
    <n v="2023"/>
    <n v="3"/>
    <x v="4"/>
    <n v="31"/>
    <n v="9.98"/>
    <n v="309.38"/>
  </r>
  <r>
    <n v="2991"/>
    <x v="0"/>
    <x v="772"/>
    <n v="2023"/>
    <n v="3"/>
    <x v="3"/>
    <n v="53"/>
    <n v="8.98"/>
    <n v="475.94"/>
  </r>
  <r>
    <n v="2992"/>
    <x v="0"/>
    <x v="773"/>
    <n v="2023"/>
    <n v="3"/>
    <x v="0"/>
    <n v="58"/>
    <n v="5.47"/>
    <n v="317.26"/>
  </r>
  <r>
    <n v="2993"/>
    <x v="0"/>
    <x v="769"/>
    <n v="2023"/>
    <n v="3"/>
    <x v="4"/>
    <n v="12"/>
    <n v="9.98"/>
    <n v="119.76"/>
  </r>
  <r>
    <n v="2994"/>
    <x v="8"/>
    <x v="774"/>
    <n v="2023"/>
    <n v="3"/>
    <x v="3"/>
    <n v="15"/>
    <n v="8.98"/>
    <n v="134.70000000000002"/>
  </r>
  <r>
    <n v="2995"/>
    <x v="8"/>
    <x v="771"/>
    <n v="2023"/>
    <n v="3"/>
    <x v="0"/>
    <n v="46"/>
    <n v="5.47"/>
    <n v="251.61999999999998"/>
  </r>
  <r>
    <n v="2996"/>
    <x v="8"/>
    <x v="775"/>
    <n v="2023"/>
    <n v="3"/>
    <x v="2"/>
    <n v="23"/>
    <n v="10.97"/>
    <n v="252.31"/>
  </r>
  <r>
    <n v="2997"/>
    <x v="4"/>
    <x v="771"/>
    <n v="2023"/>
    <n v="3"/>
    <x v="2"/>
    <n v="46"/>
    <n v="10.97"/>
    <n v="504.62"/>
  </r>
  <r>
    <n v="2998"/>
    <x v="9"/>
    <x v="776"/>
    <n v="2023"/>
    <n v="3"/>
    <x v="1"/>
    <n v="42"/>
    <n v="13.98"/>
    <n v="587.16"/>
  </r>
  <r>
    <n v="2999"/>
    <x v="9"/>
    <x v="771"/>
    <n v="2023"/>
    <n v="3"/>
    <x v="1"/>
    <n v="37"/>
    <n v="13.98"/>
    <n v="517.26"/>
  </r>
  <r>
    <n v="3000"/>
    <x v="9"/>
    <x v="777"/>
    <n v="2023"/>
    <n v="3"/>
    <x v="2"/>
    <n v="29"/>
    <n v="10.97"/>
    <n v="318.13"/>
  </r>
  <r>
    <n v="3001"/>
    <x v="9"/>
    <x v="775"/>
    <n v="2023"/>
    <n v="3"/>
    <x v="4"/>
    <n v="34"/>
    <n v="9.98"/>
    <n v="339.32"/>
  </r>
  <r>
    <n v="3002"/>
    <x v="12"/>
    <x v="772"/>
    <n v="2023"/>
    <n v="3"/>
    <x v="3"/>
    <n v="57"/>
    <n v="8.98"/>
    <n v="511.86"/>
  </r>
  <r>
    <n v="3003"/>
    <x v="12"/>
    <x v="778"/>
    <n v="2023"/>
    <n v="3"/>
    <x v="1"/>
    <n v="48"/>
    <n v="13.98"/>
    <n v="671.04"/>
  </r>
  <r>
    <n v="3004"/>
    <x v="12"/>
    <x v="779"/>
    <n v="2023"/>
    <n v="3"/>
    <x v="0"/>
    <n v="26"/>
    <n v="5.47"/>
    <n v="142.22"/>
  </r>
  <r>
    <n v="3005"/>
    <x v="12"/>
    <x v="780"/>
    <n v="2023"/>
    <n v="3"/>
    <x v="0"/>
    <n v="38"/>
    <n v="5.47"/>
    <n v="207.85999999999999"/>
  </r>
  <r>
    <n v="3006"/>
    <x v="12"/>
    <x v="781"/>
    <n v="2023"/>
    <n v="3"/>
    <x v="0"/>
    <n v="14"/>
    <n v="5.47"/>
    <n v="76.58"/>
  </r>
  <r>
    <n v="3007"/>
    <x v="12"/>
    <x v="782"/>
    <n v="2023"/>
    <n v="3"/>
    <x v="2"/>
    <n v="56"/>
    <n v="10.97"/>
    <n v="614.32000000000005"/>
  </r>
  <r>
    <n v="3008"/>
    <x v="2"/>
    <x v="783"/>
    <n v="2023"/>
    <n v="4"/>
    <x v="0"/>
    <n v="38"/>
    <n v="5.47"/>
    <n v="207.85999999999999"/>
  </r>
  <r>
    <n v="3009"/>
    <x v="2"/>
    <x v="784"/>
    <n v="2023"/>
    <n v="4"/>
    <x v="2"/>
    <n v="54"/>
    <n v="10.97"/>
    <n v="592.38"/>
  </r>
  <r>
    <n v="3010"/>
    <x v="2"/>
    <x v="785"/>
    <n v="2023"/>
    <n v="4"/>
    <x v="4"/>
    <n v="58"/>
    <n v="9.98"/>
    <n v="578.84"/>
  </r>
  <r>
    <n v="3011"/>
    <x v="0"/>
    <x v="786"/>
    <n v="2023"/>
    <n v="4"/>
    <x v="3"/>
    <n v="15"/>
    <n v="8.98"/>
    <n v="134.70000000000002"/>
  </r>
  <r>
    <n v="3012"/>
    <x v="0"/>
    <x v="787"/>
    <n v="2023"/>
    <n v="4"/>
    <x v="1"/>
    <n v="17"/>
    <n v="13.98"/>
    <n v="237.66"/>
  </r>
  <r>
    <n v="3013"/>
    <x v="0"/>
    <x v="788"/>
    <n v="2023"/>
    <n v="4"/>
    <x v="1"/>
    <n v="31"/>
    <n v="13.98"/>
    <n v="433.38"/>
  </r>
  <r>
    <n v="3014"/>
    <x v="0"/>
    <x v="789"/>
    <n v="2023"/>
    <n v="4"/>
    <x v="0"/>
    <n v="28"/>
    <n v="5.47"/>
    <n v="153.16"/>
  </r>
  <r>
    <n v="3015"/>
    <x v="8"/>
    <x v="790"/>
    <n v="2023"/>
    <n v="4"/>
    <x v="3"/>
    <n v="54"/>
    <n v="8.98"/>
    <n v="484.92"/>
  </r>
  <r>
    <n v="3016"/>
    <x v="8"/>
    <x v="791"/>
    <n v="2023"/>
    <n v="4"/>
    <x v="0"/>
    <n v="13"/>
    <n v="5.47"/>
    <n v="71.11"/>
  </r>
  <r>
    <n v="3017"/>
    <x v="8"/>
    <x v="792"/>
    <n v="2023"/>
    <n v="4"/>
    <x v="2"/>
    <n v="12"/>
    <n v="10.97"/>
    <n v="131.64000000000001"/>
  </r>
  <r>
    <n v="3018"/>
    <x v="8"/>
    <x v="791"/>
    <n v="2023"/>
    <n v="4"/>
    <x v="4"/>
    <n v="45"/>
    <n v="9.98"/>
    <n v="449.1"/>
  </r>
  <r>
    <n v="3019"/>
    <x v="4"/>
    <x v="787"/>
    <n v="2023"/>
    <n v="4"/>
    <x v="3"/>
    <n v="59"/>
    <n v="8.98"/>
    <n v="529.82000000000005"/>
  </r>
  <r>
    <n v="3020"/>
    <x v="4"/>
    <x v="785"/>
    <n v="2023"/>
    <n v="4"/>
    <x v="1"/>
    <n v="30"/>
    <n v="13.98"/>
    <n v="419.40000000000003"/>
  </r>
  <r>
    <n v="3021"/>
    <x v="4"/>
    <x v="783"/>
    <n v="2023"/>
    <n v="4"/>
    <x v="2"/>
    <n v="13"/>
    <n v="10.97"/>
    <n v="142.61000000000001"/>
  </r>
  <r>
    <n v="3022"/>
    <x v="4"/>
    <x v="793"/>
    <n v="2023"/>
    <n v="4"/>
    <x v="4"/>
    <n v="39"/>
    <n v="9.98"/>
    <n v="389.22"/>
  </r>
  <r>
    <n v="3023"/>
    <x v="9"/>
    <x v="794"/>
    <n v="2023"/>
    <n v="4"/>
    <x v="0"/>
    <n v="14"/>
    <n v="5.47"/>
    <n v="76.58"/>
  </r>
  <r>
    <n v="3024"/>
    <x v="9"/>
    <x v="795"/>
    <n v="2023"/>
    <n v="4"/>
    <x v="2"/>
    <n v="22"/>
    <n v="10.97"/>
    <n v="241.34"/>
  </r>
  <r>
    <n v="3025"/>
    <x v="9"/>
    <x v="796"/>
    <n v="2023"/>
    <n v="4"/>
    <x v="4"/>
    <n v="42"/>
    <n v="9.98"/>
    <n v="419.16"/>
  </r>
  <r>
    <n v="3026"/>
    <x v="9"/>
    <x v="797"/>
    <n v="2023"/>
    <n v="4"/>
    <x v="4"/>
    <n v="51"/>
    <n v="9.98"/>
    <n v="508.98"/>
  </r>
  <r>
    <n v="3027"/>
    <x v="12"/>
    <x v="794"/>
    <n v="2023"/>
    <n v="4"/>
    <x v="3"/>
    <n v="27"/>
    <n v="8.98"/>
    <n v="242.46"/>
  </r>
  <r>
    <n v="3028"/>
    <x v="12"/>
    <x v="798"/>
    <n v="2023"/>
    <n v="4"/>
    <x v="3"/>
    <n v="60"/>
    <n v="8.98"/>
    <n v="538.80000000000007"/>
  </r>
  <r>
    <n v="3029"/>
    <x v="12"/>
    <x v="799"/>
    <n v="2023"/>
    <n v="4"/>
    <x v="3"/>
    <n v="52"/>
    <n v="8.98"/>
    <n v="466.96000000000004"/>
  </r>
  <r>
    <n v="3030"/>
    <x v="12"/>
    <x v="783"/>
    <n v="2023"/>
    <n v="4"/>
    <x v="1"/>
    <n v="26"/>
    <n v="13.98"/>
    <n v="363.48"/>
  </r>
  <r>
    <n v="3031"/>
    <x v="12"/>
    <x v="800"/>
    <n v="2023"/>
    <n v="4"/>
    <x v="2"/>
    <n v="19"/>
    <n v="10.97"/>
    <n v="208.43"/>
  </r>
  <r>
    <n v="3032"/>
    <x v="12"/>
    <x v="801"/>
    <n v="2023"/>
    <n v="4"/>
    <x v="4"/>
    <n v="59"/>
    <n v="9.98"/>
    <n v="588.82000000000005"/>
  </r>
  <r>
    <n v="3033"/>
    <x v="2"/>
    <x v="802"/>
    <n v="2023"/>
    <n v="5"/>
    <x v="3"/>
    <n v="24"/>
    <n v="8.98"/>
    <n v="215.52"/>
  </r>
  <r>
    <n v="3034"/>
    <x v="2"/>
    <x v="803"/>
    <n v="2023"/>
    <n v="5"/>
    <x v="4"/>
    <n v="46"/>
    <n v="9.98"/>
    <n v="459.08000000000004"/>
  </r>
  <r>
    <n v="3035"/>
    <x v="0"/>
    <x v="804"/>
    <n v="2023"/>
    <n v="5"/>
    <x v="3"/>
    <n v="22"/>
    <n v="8.98"/>
    <n v="197.56"/>
  </r>
  <r>
    <n v="3036"/>
    <x v="0"/>
    <x v="805"/>
    <n v="2023"/>
    <n v="5"/>
    <x v="3"/>
    <n v="12"/>
    <n v="8.98"/>
    <n v="107.76"/>
  </r>
  <r>
    <n v="3037"/>
    <x v="0"/>
    <x v="806"/>
    <n v="2023"/>
    <n v="5"/>
    <x v="1"/>
    <n v="23"/>
    <n v="13.98"/>
    <n v="321.54000000000002"/>
  </r>
  <r>
    <n v="3038"/>
    <x v="0"/>
    <x v="807"/>
    <n v="2023"/>
    <n v="5"/>
    <x v="1"/>
    <n v="16"/>
    <n v="13.98"/>
    <n v="223.68"/>
  </r>
  <r>
    <n v="3039"/>
    <x v="0"/>
    <x v="808"/>
    <n v="2023"/>
    <n v="5"/>
    <x v="0"/>
    <n v="54"/>
    <n v="5.47"/>
    <n v="295.38"/>
  </r>
  <r>
    <n v="3040"/>
    <x v="0"/>
    <x v="809"/>
    <n v="2023"/>
    <n v="5"/>
    <x v="0"/>
    <n v="10"/>
    <n v="5.47"/>
    <n v="54.699999999999996"/>
  </r>
  <r>
    <n v="3041"/>
    <x v="0"/>
    <x v="810"/>
    <n v="2023"/>
    <n v="5"/>
    <x v="2"/>
    <n v="21"/>
    <n v="10.97"/>
    <n v="230.37"/>
  </r>
  <r>
    <n v="3042"/>
    <x v="0"/>
    <x v="802"/>
    <n v="2023"/>
    <n v="5"/>
    <x v="4"/>
    <n v="30"/>
    <n v="9.98"/>
    <n v="299.40000000000003"/>
  </r>
  <r>
    <n v="3043"/>
    <x v="0"/>
    <x v="811"/>
    <n v="2023"/>
    <n v="5"/>
    <x v="4"/>
    <n v="52"/>
    <n v="9.98"/>
    <n v="518.96"/>
  </r>
  <r>
    <n v="3044"/>
    <x v="8"/>
    <x v="809"/>
    <n v="2023"/>
    <n v="5"/>
    <x v="3"/>
    <n v="20"/>
    <n v="8.98"/>
    <n v="179.60000000000002"/>
  </r>
  <r>
    <n v="3045"/>
    <x v="8"/>
    <x v="802"/>
    <n v="2023"/>
    <n v="5"/>
    <x v="3"/>
    <n v="51"/>
    <n v="8.98"/>
    <n v="457.98"/>
  </r>
  <r>
    <n v="3046"/>
    <x v="8"/>
    <x v="811"/>
    <n v="2023"/>
    <n v="5"/>
    <x v="1"/>
    <n v="37"/>
    <n v="13.98"/>
    <n v="517.26"/>
  </r>
  <r>
    <n v="3047"/>
    <x v="8"/>
    <x v="812"/>
    <n v="2023"/>
    <n v="5"/>
    <x v="1"/>
    <n v="22"/>
    <n v="13.98"/>
    <n v="307.56"/>
  </r>
  <r>
    <n v="3048"/>
    <x v="8"/>
    <x v="813"/>
    <n v="2023"/>
    <n v="5"/>
    <x v="1"/>
    <n v="40"/>
    <n v="13.98"/>
    <n v="559.20000000000005"/>
  </r>
  <r>
    <n v="3049"/>
    <x v="8"/>
    <x v="814"/>
    <n v="2023"/>
    <n v="5"/>
    <x v="4"/>
    <n v="17"/>
    <n v="9.98"/>
    <n v="169.66"/>
  </r>
  <r>
    <n v="3050"/>
    <x v="4"/>
    <x v="803"/>
    <n v="2023"/>
    <n v="5"/>
    <x v="1"/>
    <n v="40"/>
    <n v="13.98"/>
    <n v="559.20000000000005"/>
  </r>
  <r>
    <n v="3051"/>
    <x v="4"/>
    <x v="815"/>
    <n v="2023"/>
    <n v="5"/>
    <x v="0"/>
    <n v="10"/>
    <n v="5.47"/>
    <n v="54.699999999999996"/>
  </r>
  <r>
    <n v="3052"/>
    <x v="4"/>
    <x v="816"/>
    <n v="2023"/>
    <n v="5"/>
    <x v="2"/>
    <n v="41"/>
    <n v="10.97"/>
    <n v="449.77000000000004"/>
  </r>
  <r>
    <n v="3053"/>
    <x v="4"/>
    <x v="807"/>
    <n v="2023"/>
    <n v="5"/>
    <x v="4"/>
    <n v="31"/>
    <n v="9.98"/>
    <n v="309.38"/>
  </r>
  <r>
    <n v="3054"/>
    <x v="9"/>
    <x v="805"/>
    <n v="2023"/>
    <n v="5"/>
    <x v="1"/>
    <n v="56"/>
    <n v="13.98"/>
    <n v="782.88"/>
  </r>
  <r>
    <n v="3055"/>
    <x v="9"/>
    <x v="817"/>
    <n v="2023"/>
    <n v="5"/>
    <x v="2"/>
    <n v="39"/>
    <n v="10.97"/>
    <n v="427.83000000000004"/>
  </r>
  <r>
    <n v="3056"/>
    <x v="9"/>
    <x v="813"/>
    <n v="2023"/>
    <n v="5"/>
    <x v="4"/>
    <n v="41"/>
    <n v="9.98"/>
    <n v="409.18"/>
  </r>
  <r>
    <n v="3057"/>
    <x v="12"/>
    <x v="812"/>
    <n v="2023"/>
    <n v="5"/>
    <x v="3"/>
    <n v="39"/>
    <n v="8.98"/>
    <n v="350.22"/>
  </r>
  <r>
    <n v="3058"/>
    <x v="12"/>
    <x v="810"/>
    <n v="2023"/>
    <n v="5"/>
    <x v="0"/>
    <n v="31"/>
    <n v="5.47"/>
    <n v="169.57"/>
  </r>
  <r>
    <n v="3059"/>
    <x v="12"/>
    <x v="815"/>
    <n v="2023"/>
    <n v="5"/>
    <x v="2"/>
    <n v="59"/>
    <n v="10.97"/>
    <n v="647.23"/>
  </r>
  <r>
    <n v="3060"/>
    <x v="12"/>
    <x v="810"/>
    <n v="2023"/>
    <n v="5"/>
    <x v="4"/>
    <n v="28"/>
    <n v="9.98"/>
    <n v="279.44"/>
  </r>
  <r>
    <n v="3061"/>
    <x v="2"/>
    <x v="818"/>
    <n v="2023"/>
    <n v="6"/>
    <x v="3"/>
    <n v="40"/>
    <n v="8.98"/>
    <n v="359.20000000000005"/>
  </r>
  <r>
    <n v="3062"/>
    <x v="2"/>
    <x v="819"/>
    <n v="2023"/>
    <n v="6"/>
    <x v="1"/>
    <n v="30"/>
    <n v="13.98"/>
    <n v="419.40000000000003"/>
  </r>
  <r>
    <n v="3063"/>
    <x v="9"/>
    <x v="820"/>
    <n v="2023"/>
    <n v="6"/>
    <x v="3"/>
    <n v="48"/>
    <n v="8.98"/>
    <n v="431.04"/>
  </r>
  <r>
    <n v="3064"/>
    <x v="9"/>
    <x v="819"/>
    <n v="2023"/>
    <n v="6"/>
    <x v="3"/>
    <n v="28"/>
    <n v="8.98"/>
    <n v="251.44"/>
  </r>
  <r>
    <n v="3065"/>
    <x v="8"/>
    <x v="756"/>
    <n v="2023"/>
    <n v="1"/>
    <x v="1"/>
    <n v="38"/>
    <n v="13.98"/>
    <n v="531.24"/>
  </r>
  <r>
    <n v="3066"/>
    <x v="8"/>
    <x v="758"/>
    <n v="2023"/>
    <n v="2"/>
    <x v="1"/>
    <n v="40"/>
    <n v="13.98"/>
    <n v="559.20000000000005"/>
  </r>
  <r>
    <n v="3067"/>
    <x v="2"/>
    <x v="821"/>
    <n v="2023"/>
    <n v="9"/>
    <x v="0"/>
    <n v="25"/>
    <n v="5.47"/>
    <n v="136.75"/>
  </r>
  <r>
    <n v="3068"/>
    <x v="12"/>
    <x v="822"/>
    <n v="2023"/>
    <n v="9"/>
    <x v="1"/>
    <n v="14"/>
    <n v="13.98"/>
    <n v="195.72"/>
  </r>
  <r>
    <n v="3069"/>
    <x v="2"/>
    <x v="823"/>
    <n v="2023"/>
    <n v="8"/>
    <x v="2"/>
    <n v="15"/>
    <n v="10.97"/>
    <n v="164.55"/>
  </r>
  <r>
    <n v="3070"/>
    <x v="0"/>
    <x v="824"/>
    <n v="2023"/>
    <n v="8"/>
    <x v="0"/>
    <n v="44"/>
    <n v="5.47"/>
    <n v="240.67999999999998"/>
  </r>
  <r>
    <n v="3071"/>
    <x v="0"/>
    <x v="825"/>
    <n v="2023"/>
    <n v="7"/>
    <x v="4"/>
    <n v="57"/>
    <n v="9.98"/>
    <n v="568.86"/>
  </r>
  <r>
    <n v="3072"/>
    <x v="8"/>
    <x v="826"/>
    <n v="2023"/>
    <n v="7"/>
    <x v="2"/>
    <n v="43"/>
    <n v="10.97"/>
    <n v="471.71000000000004"/>
  </r>
  <r>
    <n v="3073"/>
    <x v="2"/>
    <x v="827"/>
    <n v="2023"/>
    <n v="8"/>
    <x v="1"/>
    <n v="59"/>
    <n v="13.98"/>
    <n v="824.82"/>
  </r>
  <r>
    <n v="3074"/>
    <x v="0"/>
    <x v="828"/>
    <n v="2023"/>
    <n v="9"/>
    <x v="1"/>
    <n v="55"/>
    <n v="13.98"/>
    <n v="768.9"/>
  </r>
  <r>
    <n v="3075"/>
    <x v="9"/>
    <x v="829"/>
    <n v="2023"/>
    <n v="9"/>
    <x v="1"/>
    <n v="55"/>
    <n v="13.98"/>
    <n v="768.9"/>
  </r>
  <r>
    <n v="3076"/>
    <x v="0"/>
    <x v="830"/>
    <n v="2023"/>
    <n v="8"/>
    <x v="4"/>
    <n v="60"/>
    <n v="9.98"/>
    <n v="598.80000000000007"/>
  </r>
  <r>
    <n v="3077"/>
    <x v="4"/>
    <x v="831"/>
    <n v="2023"/>
    <n v="8"/>
    <x v="0"/>
    <n v="53"/>
    <n v="5.47"/>
    <n v="289.90999999999997"/>
  </r>
  <r>
    <n v="3078"/>
    <x v="12"/>
    <x v="832"/>
    <n v="2023"/>
    <n v="7"/>
    <x v="2"/>
    <n v="29"/>
    <n v="10.97"/>
    <n v="318.13"/>
  </r>
  <r>
    <n v="3079"/>
    <x v="2"/>
    <x v="833"/>
    <n v="2023"/>
    <n v="7"/>
    <x v="3"/>
    <n v="37"/>
    <n v="8.98"/>
    <n v="332.26"/>
  </r>
  <r>
    <n v="3080"/>
    <x v="0"/>
    <x v="834"/>
    <n v="2023"/>
    <n v="9"/>
    <x v="2"/>
    <n v="23"/>
    <n v="10.97"/>
    <n v="252.31"/>
  </r>
  <r>
    <n v="3081"/>
    <x v="4"/>
    <x v="835"/>
    <n v="2023"/>
    <n v="7"/>
    <x v="3"/>
    <n v="13"/>
    <n v="8.98"/>
    <n v="116.74000000000001"/>
  </r>
  <r>
    <n v="3082"/>
    <x v="2"/>
    <x v="836"/>
    <n v="2023"/>
    <n v="9"/>
    <x v="4"/>
    <n v="32"/>
    <n v="9.98"/>
    <n v="319.36"/>
  </r>
  <r>
    <n v="3083"/>
    <x v="0"/>
    <x v="837"/>
    <n v="2023"/>
    <n v="8"/>
    <x v="0"/>
    <n v="49"/>
    <n v="5.47"/>
    <n v="268.02999999999997"/>
  </r>
  <r>
    <n v="3084"/>
    <x v="12"/>
    <x v="837"/>
    <n v="2023"/>
    <n v="8"/>
    <x v="4"/>
    <n v="29"/>
    <n v="9.98"/>
    <n v="289.42"/>
  </r>
  <r>
    <n v="3085"/>
    <x v="4"/>
    <x v="838"/>
    <n v="2023"/>
    <n v="8"/>
    <x v="4"/>
    <n v="19"/>
    <n v="9.98"/>
    <n v="189.62"/>
  </r>
  <r>
    <n v="3086"/>
    <x v="8"/>
    <x v="835"/>
    <n v="2023"/>
    <n v="7"/>
    <x v="2"/>
    <n v="46"/>
    <n v="10.97"/>
    <n v="504.62"/>
  </r>
  <r>
    <n v="3087"/>
    <x v="9"/>
    <x v="839"/>
    <n v="2023"/>
    <n v="7"/>
    <x v="2"/>
    <n v="41"/>
    <n v="10.97"/>
    <n v="449.77000000000004"/>
  </r>
  <r>
    <n v="3088"/>
    <x v="8"/>
    <x v="840"/>
    <n v="2023"/>
    <n v="7"/>
    <x v="3"/>
    <n v="19"/>
    <n v="8.98"/>
    <n v="170.62"/>
  </r>
  <r>
    <n v="3089"/>
    <x v="4"/>
    <x v="841"/>
    <n v="2023"/>
    <n v="7"/>
    <x v="0"/>
    <n v="38"/>
    <n v="5.47"/>
    <n v="207.85999999999999"/>
  </r>
  <r>
    <n v="3090"/>
    <x v="9"/>
    <x v="835"/>
    <n v="2023"/>
    <n v="7"/>
    <x v="0"/>
    <n v="21"/>
    <n v="5.47"/>
    <n v="114.86999999999999"/>
  </r>
  <r>
    <n v="3091"/>
    <x v="12"/>
    <x v="842"/>
    <n v="2023"/>
    <n v="7"/>
    <x v="1"/>
    <n v="12"/>
    <n v="13.98"/>
    <n v="167.76"/>
  </r>
  <r>
    <n v="3092"/>
    <x v="4"/>
    <x v="843"/>
    <n v="2023"/>
    <n v="7"/>
    <x v="3"/>
    <n v="42"/>
    <n v="8.98"/>
    <n v="377.16"/>
  </r>
  <r>
    <n v="3093"/>
    <x v="12"/>
    <x v="844"/>
    <n v="2023"/>
    <n v="7"/>
    <x v="2"/>
    <n v="13"/>
    <n v="10.97"/>
    <n v="142.61000000000001"/>
  </r>
  <r>
    <n v="3094"/>
    <x v="0"/>
    <x v="845"/>
    <n v="2023"/>
    <n v="9"/>
    <x v="3"/>
    <n v="36"/>
    <n v="8.98"/>
    <n v="323.28000000000003"/>
  </r>
  <r>
    <n v="3095"/>
    <x v="2"/>
    <x v="846"/>
    <n v="2023"/>
    <n v="8"/>
    <x v="3"/>
    <n v="59"/>
    <n v="8.98"/>
    <n v="529.82000000000005"/>
  </r>
  <r>
    <n v="3096"/>
    <x v="9"/>
    <x v="847"/>
    <n v="2023"/>
    <n v="9"/>
    <x v="3"/>
    <n v="26"/>
    <n v="8.98"/>
    <n v="233.48000000000002"/>
  </r>
  <r>
    <n v="3097"/>
    <x v="2"/>
    <x v="848"/>
    <n v="2023"/>
    <n v="8"/>
    <x v="3"/>
    <n v="26"/>
    <n v="8.98"/>
    <n v="233.48000000000002"/>
  </r>
  <r>
    <n v="3098"/>
    <x v="2"/>
    <x v="828"/>
    <n v="2023"/>
    <n v="9"/>
    <x v="0"/>
    <n v="45"/>
    <n v="5.47"/>
    <n v="246.14999999999998"/>
  </r>
  <r>
    <n v="3099"/>
    <x v="2"/>
    <x v="849"/>
    <n v="2023"/>
    <n v="8"/>
    <x v="4"/>
    <n v="33"/>
    <n v="9.98"/>
    <n v="329.34000000000003"/>
  </r>
  <r>
    <n v="3100"/>
    <x v="0"/>
    <x v="822"/>
    <n v="2023"/>
    <n v="9"/>
    <x v="4"/>
    <n v="14"/>
    <n v="9.98"/>
    <n v="139.72"/>
  </r>
  <r>
    <n v="3101"/>
    <x v="8"/>
    <x v="823"/>
    <n v="2023"/>
    <n v="8"/>
    <x v="1"/>
    <n v="52"/>
    <n v="13.98"/>
    <n v="726.96"/>
  </r>
  <r>
    <n v="3102"/>
    <x v="12"/>
    <x v="850"/>
    <n v="2023"/>
    <n v="7"/>
    <x v="3"/>
    <n v="52"/>
    <n v="8.98"/>
    <n v="466.96000000000004"/>
  </r>
  <r>
    <n v="3103"/>
    <x v="4"/>
    <x v="832"/>
    <n v="2023"/>
    <n v="7"/>
    <x v="2"/>
    <n v="28"/>
    <n v="10.97"/>
    <n v="307.16000000000003"/>
  </r>
  <r>
    <n v="3104"/>
    <x v="4"/>
    <x v="851"/>
    <n v="2023"/>
    <n v="7"/>
    <x v="3"/>
    <n v="29"/>
    <n v="8.98"/>
    <n v="260.42"/>
  </r>
  <r>
    <n v="3105"/>
    <x v="8"/>
    <x v="852"/>
    <n v="2023"/>
    <n v="8"/>
    <x v="2"/>
    <n v="35"/>
    <n v="10.97"/>
    <n v="383.95000000000005"/>
  </r>
  <r>
    <n v="3106"/>
    <x v="2"/>
    <x v="846"/>
    <n v="2023"/>
    <n v="8"/>
    <x v="3"/>
    <n v="47"/>
    <n v="8.98"/>
    <n v="422.06"/>
  </r>
  <r>
    <n v="3107"/>
    <x v="8"/>
    <x v="853"/>
    <n v="2023"/>
    <n v="8"/>
    <x v="1"/>
    <n v="49"/>
    <n v="13.98"/>
    <n v="685.02"/>
  </r>
  <r>
    <n v="3108"/>
    <x v="9"/>
    <x v="854"/>
    <n v="2023"/>
    <n v="8"/>
    <x v="1"/>
    <n v="10"/>
    <n v="13.98"/>
    <n v="139.80000000000001"/>
  </r>
  <r>
    <n v="3109"/>
    <x v="9"/>
    <x v="855"/>
    <n v="2023"/>
    <n v="9"/>
    <x v="1"/>
    <n v="30"/>
    <n v="13.98"/>
    <n v="419.40000000000003"/>
  </r>
  <r>
    <n v="3110"/>
    <x v="2"/>
    <x v="856"/>
    <n v="2023"/>
    <n v="9"/>
    <x v="0"/>
    <n v="24"/>
    <n v="5.47"/>
    <n v="131.28"/>
  </r>
  <r>
    <n v="3111"/>
    <x v="12"/>
    <x v="831"/>
    <n v="2023"/>
    <n v="8"/>
    <x v="4"/>
    <n v="48"/>
    <n v="9.98"/>
    <n v="479.04"/>
  </r>
  <r>
    <n v="3112"/>
    <x v="8"/>
    <x v="857"/>
    <n v="2023"/>
    <n v="7"/>
    <x v="0"/>
    <n v="15"/>
    <n v="5.47"/>
    <n v="82.05"/>
  </r>
  <r>
    <n v="3113"/>
    <x v="4"/>
    <x v="858"/>
    <n v="2023"/>
    <n v="9"/>
    <x v="3"/>
    <n v="39"/>
    <n v="8.98"/>
    <n v="350.22"/>
  </r>
  <r>
    <n v="3114"/>
    <x v="12"/>
    <x v="859"/>
    <n v="2023"/>
    <n v="7"/>
    <x v="2"/>
    <n v="53"/>
    <n v="10.97"/>
    <n v="581.41000000000008"/>
  </r>
  <r>
    <n v="3115"/>
    <x v="0"/>
    <x v="860"/>
    <n v="2023"/>
    <n v="8"/>
    <x v="3"/>
    <n v="19"/>
    <n v="8.98"/>
    <n v="170.62"/>
  </r>
  <r>
    <n v="3116"/>
    <x v="8"/>
    <x v="822"/>
    <n v="2023"/>
    <n v="9"/>
    <x v="0"/>
    <n v="49"/>
    <n v="5.47"/>
    <n v="268.02999999999997"/>
  </r>
  <r>
    <n v="3117"/>
    <x v="0"/>
    <x v="861"/>
    <n v="2023"/>
    <n v="8"/>
    <x v="4"/>
    <n v="15"/>
    <n v="9.98"/>
    <n v="149.70000000000002"/>
  </r>
  <r>
    <n v="3118"/>
    <x v="8"/>
    <x v="843"/>
    <n v="2023"/>
    <n v="7"/>
    <x v="4"/>
    <n v="54"/>
    <n v="9.98"/>
    <n v="538.92000000000007"/>
  </r>
  <r>
    <n v="3119"/>
    <x v="8"/>
    <x v="862"/>
    <n v="2023"/>
    <n v="8"/>
    <x v="4"/>
    <n v="31"/>
    <n v="9.98"/>
    <n v="309.38"/>
  </r>
  <r>
    <n v="3120"/>
    <x v="8"/>
    <x v="863"/>
    <n v="2023"/>
    <n v="9"/>
    <x v="4"/>
    <n v="41"/>
    <n v="9.98"/>
    <n v="409.18"/>
  </r>
  <r>
    <n v="3121"/>
    <x v="8"/>
    <x v="839"/>
    <n v="2023"/>
    <n v="7"/>
    <x v="4"/>
    <n v="57"/>
    <n v="9.98"/>
    <n v="568.86"/>
  </r>
  <r>
    <n v="3122"/>
    <x v="4"/>
    <x v="864"/>
    <n v="2023"/>
    <n v="7"/>
    <x v="4"/>
    <n v="42"/>
    <n v="9.98"/>
    <n v="419.16"/>
  </r>
  <r>
    <n v="3123"/>
    <x v="4"/>
    <x v="863"/>
    <n v="2023"/>
    <n v="9"/>
    <x v="4"/>
    <n v="38"/>
    <n v="9.98"/>
    <n v="379.24"/>
  </r>
  <r>
    <n v="3124"/>
    <x v="4"/>
    <x v="865"/>
    <n v="2023"/>
    <n v="7"/>
    <x v="4"/>
    <n v="37"/>
    <n v="9.98"/>
    <n v="369.26"/>
  </r>
  <r>
    <n v="3125"/>
    <x v="4"/>
    <x v="849"/>
    <n v="2023"/>
    <n v="8"/>
    <x v="4"/>
    <n v="22"/>
    <n v="9.98"/>
    <n v="219.56"/>
  </r>
  <r>
    <n v="3126"/>
    <x v="9"/>
    <x v="865"/>
    <n v="2023"/>
    <n v="7"/>
    <x v="4"/>
    <n v="50"/>
    <n v="9.98"/>
    <n v="499"/>
  </r>
  <r>
    <n v="3127"/>
    <x v="9"/>
    <x v="859"/>
    <n v="2023"/>
    <n v="7"/>
    <x v="4"/>
    <n v="29"/>
    <n v="9.98"/>
    <n v="289.42"/>
  </r>
  <r>
    <n v="3128"/>
    <x v="12"/>
    <x v="843"/>
    <n v="2023"/>
    <n v="7"/>
    <x v="4"/>
    <n v="54"/>
    <n v="9.98"/>
    <n v="538.92000000000007"/>
  </r>
  <r>
    <n v="3129"/>
    <x v="12"/>
    <x v="842"/>
    <n v="2023"/>
    <n v="7"/>
    <x v="4"/>
    <n v="33"/>
    <n v="9.98"/>
    <n v="329.34000000000003"/>
  </r>
  <r>
    <n v="3130"/>
    <x v="12"/>
    <x v="842"/>
    <n v="2023"/>
    <n v="7"/>
    <x v="4"/>
    <n v="26"/>
    <n v="9.98"/>
    <n v="259.48"/>
  </r>
  <r>
    <n v="3131"/>
    <x v="12"/>
    <x v="831"/>
    <n v="2023"/>
    <n v="8"/>
    <x v="4"/>
    <n v="29"/>
    <n v="9.98"/>
    <n v="289.42"/>
  </r>
  <r>
    <n v="3132"/>
    <x v="12"/>
    <x v="866"/>
    <n v="2023"/>
    <n v="9"/>
    <x v="4"/>
    <n v="40"/>
    <n v="9.98"/>
    <n v="399.20000000000005"/>
  </r>
  <r>
    <n v="3133"/>
    <x v="12"/>
    <x v="867"/>
    <n v="2023"/>
    <n v="7"/>
    <x v="0"/>
    <n v="20"/>
    <n v="5.47"/>
    <n v="109.39999999999999"/>
  </r>
  <r>
    <n v="3134"/>
    <x v="12"/>
    <x v="862"/>
    <n v="2023"/>
    <n v="8"/>
    <x v="0"/>
    <n v="26"/>
    <n v="5.47"/>
    <n v="142.22"/>
  </r>
  <r>
    <n v="3135"/>
    <x v="12"/>
    <x v="843"/>
    <n v="2023"/>
    <n v="7"/>
    <x v="0"/>
    <n v="68"/>
    <n v="5.47"/>
    <n v="371.96"/>
  </r>
  <r>
    <n v="3136"/>
    <x v="4"/>
    <x v="843"/>
    <n v="2023"/>
    <n v="7"/>
    <x v="1"/>
    <n v="28"/>
    <n v="13.98"/>
    <n v="391.44"/>
  </r>
  <r>
    <n v="3137"/>
    <x v="4"/>
    <x v="831"/>
    <n v="2023"/>
    <n v="8"/>
    <x v="1"/>
    <n v="40"/>
    <n v="13.98"/>
    <n v="559.20000000000005"/>
  </r>
  <r>
    <n v="3138"/>
    <x v="4"/>
    <x v="868"/>
    <n v="2023"/>
    <n v="8"/>
    <x v="1"/>
    <n v="59"/>
    <n v="13.98"/>
    <n v="824.82"/>
  </r>
  <r>
    <n v="3139"/>
    <x v="12"/>
    <x v="869"/>
    <n v="2023"/>
    <n v="11"/>
    <x v="3"/>
    <n v="22"/>
    <n v="8.98"/>
    <n v="197.56"/>
  </r>
  <r>
    <n v="3140"/>
    <x v="0"/>
    <x v="870"/>
    <n v="2023"/>
    <n v="12"/>
    <x v="1"/>
    <n v="41"/>
    <n v="13.98"/>
    <n v="573.18000000000006"/>
  </r>
  <r>
    <n v="3141"/>
    <x v="8"/>
    <x v="871"/>
    <n v="2023"/>
    <n v="10"/>
    <x v="0"/>
    <n v="28"/>
    <n v="5.47"/>
    <n v="153.16"/>
  </r>
  <r>
    <n v="3142"/>
    <x v="2"/>
    <x v="872"/>
    <n v="2023"/>
    <n v="12"/>
    <x v="1"/>
    <n v="45"/>
    <n v="13.98"/>
    <n v="629.1"/>
  </r>
  <r>
    <n v="3143"/>
    <x v="8"/>
    <x v="873"/>
    <n v="2023"/>
    <n v="11"/>
    <x v="1"/>
    <n v="49"/>
    <n v="13.98"/>
    <n v="685.02"/>
  </r>
  <r>
    <n v="3144"/>
    <x v="12"/>
    <x v="874"/>
    <n v="2023"/>
    <n v="12"/>
    <x v="4"/>
    <n v="38"/>
    <n v="9.98"/>
    <n v="379.24"/>
  </r>
  <r>
    <n v="3145"/>
    <x v="4"/>
    <x v="875"/>
    <n v="2023"/>
    <n v="12"/>
    <x v="3"/>
    <n v="47"/>
    <n v="8.98"/>
    <n v="422.06"/>
  </r>
  <r>
    <n v="3146"/>
    <x v="4"/>
    <x v="875"/>
    <n v="2023"/>
    <n v="12"/>
    <x v="1"/>
    <n v="21"/>
    <n v="13.98"/>
    <n v="293.58"/>
  </r>
  <r>
    <n v="3147"/>
    <x v="0"/>
    <x v="876"/>
    <n v="2023"/>
    <n v="12"/>
    <x v="3"/>
    <n v="36"/>
    <n v="8.98"/>
    <n v="323.28000000000003"/>
  </r>
  <r>
    <n v="3148"/>
    <x v="2"/>
    <x v="877"/>
    <n v="2023"/>
    <n v="10"/>
    <x v="3"/>
    <n v="15"/>
    <n v="8.98"/>
    <n v="134.70000000000002"/>
  </r>
  <r>
    <n v="3149"/>
    <x v="9"/>
    <x v="878"/>
    <n v="2023"/>
    <n v="11"/>
    <x v="1"/>
    <n v="10"/>
    <n v="13.98"/>
    <n v="139.80000000000001"/>
  </r>
  <r>
    <n v="3150"/>
    <x v="2"/>
    <x v="879"/>
    <n v="2023"/>
    <n v="11"/>
    <x v="4"/>
    <n v="21"/>
    <n v="9.98"/>
    <n v="209.58"/>
  </r>
  <r>
    <n v="3151"/>
    <x v="12"/>
    <x v="880"/>
    <n v="2023"/>
    <n v="10"/>
    <x v="1"/>
    <n v="55"/>
    <n v="13.98"/>
    <n v="768.9"/>
  </r>
  <r>
    <n v="3152"/>
    <x v="9"/>
    <x v="881"/>
    <n v="2023"/>
    <n v="10"/>
    <x v="1"/>
    <n v="59"/>
    <n v="13.98"/>
    <n v="824.82"/>
  </r>
  <r>
    <n v="3153"/>
    <x v="2"/>
    <x v="882"/>
    <n v="2023"/>
    <n v="11"/>
    <x v="4"/>
    <n v="18"/>
    <n v="9.98"/>
    <n v="179.64000000000001"/>
  </r>
  <r>
    <n v="3154"/>
    <x v="4"/>
    <x v="883"/>
    <n v="2023"/>
    <n v="11"/>
    <x v="2"/>
    <n v="59"/>
    <n v="10.97"/>
    <n v="647.23"/>
  </r>
  <r>
    <n v="3155"/>
    <x v="8"/>
    <x v="884"/>
    <n v="2023"/>
    <n v="11"/>
    <x v="0"/>
    <n v="36"/>
    <n v="5.47"/>
    <n v="196.92"/>
  </r>
  <r>
    <n v="3156"/>
    <x v="8"/>
    <x v="885"/>
    <n v="2023"/>
    <n v="11"/>
    <x v="1"/>
    <n v="14"/>
    <n v="13.98"/>
    <n v="195.72"/>
  </r>
  <r>
    <n v="3157"/>
    <x v="8"/>
    <x v="886"/>
    <n v="2023"/>
    <n v="12"/>
    <x v="0"/>
    <n v="42"/>
    <n v="5.47"/>
    <n v="229.73999999999998"/>
  </r>
  <r>
    <n v="3158"/>
    <x v="2"/>
    <x v="887"/>
    <n v="2023"/>
    <n v="12"/>
    <x v="3"/>
    <n v="35"/>
    <n v="8.98"/>
    <n v="314.3"/>
  </r>
  <r>
    <n v="3159"/>
    <x v="2"/>
    <x v="888"/>
    <n v="2023"/>
    <n v="11"/>
    <x v="3"/>
    <n v="27"/>
    <n v="8.98"/>
    <n v="242.46"/>
  </r>
  <r>
    <n v="3160"/>
    <x v="9"/>
    <x v="889"/>
    <n v="2023"/>
    <n v="12"/>
    <x v="4"/>
    <n v="35"/>
    <n v="9.98"/>
    <n v="349.3"/>
  </r>
  <r>
    <n v="3161"/>
    <x v="9"/>
    <x v="890"/>
    <n v="2023"/>
    <n v="10"/>
    <x v="0"/>
    <n v="38"/>
    <n v="5.47"/>
    <n v="207.85999999999999"/>
  </r>
  <r>
    <n v="3162"/>
    <x v="8"/>
    <x v="891"/>
    <n v="2023"/>
    <n v="12"/>
    <x v="1"/>
    <n v="13"/>
    <n v="13.98"/>
    <n v="181.74"/>
  </r>
  <r>
    <n v="3163"/>
    <x v="9"/>
    <x v="892"/>
    <n v="2023"/>
    <n v="11"/>
    <x v="1"/>
    <n v="50"/>
    <n v="13.98"/>
    <n v="699"/>
  </r>
  <r>
    <n v="3164"/>
    <x v="4"/>
    <x v="870"/>
    <n v="2023"/>
    <n v="12"/>
    <x v="2"/>
    <n v="10"/>
    <n v="10.97"/>
    <n v="109.7"/>
  </r>
  <r>
    <n v="3165"/>
    <x v="4"/>
    <x v="893"/>
    <n v="2023"/>
    <n v="10"/>
    <x v="1"/>
    <n v="54"/>
    <n v="13.98"/>
    <n v="754.92000000000007"/>
  </r>
  <r>
    <n v="3166"/>
    <x v="0"/>
    <x v="894"/>
    <n v="2023"/>
    <n v="10"/>
    <x v="0"/>
    <n v="40"/>
    <n v="5.47"/>
    <n v="218.79999999999998"/>
  </r>
  <r>
    <n v="3167"/>
    <x v="12"/>
    <x v="895"/>
    <n v="2023"/>
    <n v="10"/>
    <x v="1"/>
    <n v="28"/>
    <n v="13.98"/>
    <n v="391.44"/>
  </r>
  <r>
    <n v="3168"/>
    <x v="2"/>
    <x v="891"/>
    <n v="2023"/>
    <n v="12"/>
    <x v="4"/>
    <n v="38"/>
    <n v="9.98"/>
    <n v="379.24"/>
  </r>
  <r>
    <n v="3169"/>
    <x v="2"/>
    <x v="896"/>
    <n v="2023"/>
    <n v="11"/>
    <x v="2"/>
    <n v="40"/>
    <n v="10.97"/>
    <n v="438.8"/>
  </r>
  <r>
    <n v="3170"/>
    <x v="8"/>
    <x v="897"/>
    <n v="2023"/>
    <n v="10"/>
    <x v="4"/>
    <n v="40"/>
    <n v="9.98"/>
    <n v="399.20000000000005"/>
  </r>
  <r>
    <n v="3171"/>
    <x v="4"/>
    <x v="880"/>
    <n v="2023"/>
    <n v="10"/>
    <x v="1"/>
    <n v="10"/>
    <n v="13.98"/>
    <n v="139.80000000000001"/>
  </r>
  <r>
    <n v="3172"/>
    <x v="4"/>
    <x v="883"/>
    <n v="2023"/>
    <n v="11"/>
    <x v="3"/>
    <n v="28"/>
    <n v="8.98"/>
    <n v="251.44"/>
  </r>
  <r>
    <n v="3173"/>
    <x v="0"/>
    <x v="898"/>
    <n v="2023"/>
    <n v="10"/>
    <x v="3"/>
    <n v="30"/>
    <n v="8.98"/>
    <n v="269.40000000000003"/>
  </r>
  <r>
    <n v="3174"/>
    <x v="8"/>
    <x v="899"/>
    <n v="2023"/>
    <n v="10"/>
    <x v="3"/>
    <n v="24"/>
    <n v="8.98"/>
    <n v="215.52"/>
  </r>
  <r>
    <n v="3175"/>
    <x v="8"/>
    <x v="900"/>
    <n v="2023"/>
    <n v="11"/>
    <x v="1"/>
    <n v="53"/>
    <n v="13.98"/>
    <n v="740.94"/>
  </r>
  <r>
    <n v="3176"/>
    <x v="12"/>
    <x v="901"/>
    <n v="2023"/>
    <n v="11"/>
    <x v="3"/>
    <n v="37"/>
    <n v="8.98"/>
    <n v="332.26"/>
  </r>
  <r>
    <n v="3177"/>
    <x v="2"/>
    <x v="902"/>
    <n v="2023"/>
    <n v="12"/>
    <x v="2"/>
    <n v="26"/>
    <n v="10.97"/>
    <n v="285.22000000000003"/>
  </r>
  <r>
    <n v="3178"/>
    <x v="0"/>
    <x v="903"/>
    <n v="2023"/>
    <n v="12"/>
    <x v="1"/>
    <n v="54"/>
    <n v="13.98"/>
    <n v="754.92000000000007"/>
  </r>
  <r>
    <n v="3179"/>
    <x v="8"/>
    <x v="904"/>
    <n v="2023"/>
    <n v="12"/>
    <x v="2"/>
    <n v="28"/>
    <n v="10.97"/>
    <n v="307.16000000000003"/>
  </r>
  <r>
    <n v="3180"/>
    <x v="8"/>
    <x v="905"/>
    <n v="2023"/>
    <n v="11"/>
    <x v="1"/>
    <n v="43"/>
    <n v="13.98"/>
    <n v="601.14"/>
  </r>
  <r>
    <n v="3181"/>
    <x v="0"/>
    <x v="903"/>
    <n v="2023"/>
    <n v="12"/>
    <x v="1"/>
    <n v="29"/>
    <n v="13.98"/>
    <n v="405.42"/>
  </r>
  <r>
    <n v="3182"/>
    <x v="12"/>
    <x v="906"/>
    <n v="2023"/>
    <n v="10"/>
    <x v="3"/>
    <n v="20"/>
    <n v="8.98"/>
    <n v="179.60000000000002"/>
  </r>
  <r>
    <n v="3183"/>
    <x v="2"/>
    <x v="894"/>
    <n v="2023"/>
    <n v="10"/>
    <x v="0"/>
    <n v="20"/>
    <n v="5.47"/>
    <n v="109.39999999999999"/>
  </r>
  <r>
    <n v="3184"/>
    <x v="2"/>
    <x v="907"/>
    <n v="2023"/>
    <n v="11"/>
    <x v="0"/>
    <n v="27"/>
    <n v="5.47"/>
    <n v="147.69"/>
  </r>
  <r>
    <n v="3185"/>
    <x v="2"/>
    <x v="908"/>
    <n v="2023"/>
    <n v="12"/>
    <x v="0"/>
    <n v="39"/>
    <n v="5.47"/>
    <n v="213.32999999999998"/>
  </r>
  <r>
    <n v="3186"/>
    <x v="0"/>
    <x v="880"/>
    <n v="2023"/>
    <n v="10"/>
    <x v="2"/>
    <n v="40"/>
    <n v="10.97"/>
    <n v="438.8"/>
  </r>
  <r>
    <n v="3187"/>
    <x v="0"/>
    <x v="884"/>
    <n v="2023"/>
    <n v="11"/>
    <x v="2"/>
    <n v="26"/>
    <n v="10.97"/>
    <n v="285.22000000000003"/>
  </r>
  <r>
    <n v="3188"/>
    <x v="0"/>
    <x v="888"/>
    <n v="2023"/>
    <n v="11"/>
    <x v="4"/>
    <n v="38"/>
    <n v="9.98"/>
    <n v="379.24"/>
  </r>
  <r>
    <n v="3189"/>
    <x v="0"/>
    <x v="909"/>
    <n v="2023"/>
    <n v="10"/>
    <x v="4"/>
    <n v="50"/>
    <n v="9.98"/>
    <n v="499"/>
  </r>
  <r>
    <n v="3190"/>
    <x v="4"/>
    <x v="910"/>
    <n v="2023"/>
    <n v="10"/>
    <x v="4"/>
    <n v="50"/>
    <n v="9.98"/>
    <n v="499"/>
  </r>
  <r>
    <n v="3191"/>
    <x v="4"/>
    <x v="888"/>
    <n v="2023"/>
    <n v="11"/>
    <x v="4"/>
    <n v="48"/>
    <n v="9.98"/>
    <n v="479.04"/>
  </r>
  <r>
    <n v="3192"/>
    <x v="4"/>
    <x v="911"/>
    <n v="2023"/>
    <n v="10"/>
    <x v="0"/>
    <n v="52"/>
    <n v="5.47"/>
    <n v="284.44"/>
  </r>
  <r>
    <n v="3193"/>
    <x v="12"/>
    <x v="894"/>
    <n v="2023"/>
    <n v="10"/>
    <x v="0"/>
    <n v="46"/>
    <n v="5.47"/>
    <n v="251.61999999999998"/>
  </r>
  <r>
    <n v="3194"/>
    <x v="12"/>
    <x v="912"/>
    <n v="2023"/>
    <n v="11"/>
    <x v="0"/>
    <n v="28"/>
    <n v="5.47"/>
    <n v="153.16"/>
  </r>
  <r>
    <n v="3195"/>
    <x v="12"/>
    <x v="907"/>
    <n v="2023"/>
    <n v="11"/>
    <x v="2"/>
    <n v="30"/>
    <n v="10.97"/>
    <n v="329.1"/>
  </r>
  <r>
    <n v="3196"/>
    <x v="9"/>
    <x v="913"/>
    <n v="2023"/>
    <n v="10"/>
    <x v="3"/>
    <n v="46"/>
    <n v="8.98"/>
    <n v="413.08000000000004"/>
  </r>
  <r>
    <n v="3197"/>
    <x v="9"/>
    <x v="891"/>
    <n v="2023"/>
    <n v="12"/>
    <x v="2"/>
    <n v="28"/>
    <n v="10.97"/>
    <n v="307.16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0E49B-C362-4C7E-A0C1-3D3192DEA758}" name="MY_PIVOT4" cacheId="3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62:C67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5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AC228E-D985-4150-8FD6-EA9F17450DBC}" name="MY_PIVOT3" cacheId="2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B44:C49" firstHeaderRow="1" firstDataRow="1" firstDataCol="1" rowPageCount="1" colPageCount="1"/>
  <pivotFields count="9">
    <pivotField showAll="0"/>
    <pivotField axis="axisPage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Row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1" item="7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E62B26-CDFE-4A7F-9F43-E5EA28A18CB0}" name="MY_PIVOT2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30:D35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x="1"/>
        <item h="1" x="10"/>
        <item x="6"/>
        <item h="1" x="5"/>
        <item h="1" x="4"/>
        <item h="1" x="8"/>
        <item h="1"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5"/>
    </i>
    <i>
      <x v="7"/>
    </i>
  </colItems>
  <pageFields count="1">
    <pageField fld="5" item="2" hier="-1"/>
  </pageFields>
  <dataFields count="1">
    <dataField name="Sum of Total" fld="8" showDataAs="percentDiff" baseField="10" baseItem="1048828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534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BEDAB-D350-48B3-9924-2BEB80081F96}" name="MY_PIVOT1" cacheId="0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>
  <location ref="B4:D9" firstHeaderRow="1" firstDataRow="2" firstDataCol="1" rowPageCount="1" colPageCount="1"/>
  <pivotFields count="12">
    <pivotField showAll="0"/>
    <pivotField axis="axisCol" showAll="0" sortType="descending">
      <items count="14">
        <item h="1" x="3"/>
        <item h="1" x="12"/>
        <item h="1" x="11"/>
        <item h="1" x="9"/>
        <item h="1" x="7"/>
        <item x="1"/>
        <item h="1" x="10"/>
        <item x="6"/>
        <item h="1" x="5"/>
        <item h="1" x="4"/>
        <item h="1" x="8"/>
        <item h="1" x="0"/>
        <item h="1" x="2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3"/>
        <item sd="0" x="4"/>
        <item sd="0" x="1"/>
        <item sd="0" x="2"/>
        <item sd="0" x="0"/>
        <item sd="0" x="5"/>
        <item t="default"/>
      </items>
    </pivotField>
    <pivotField showAll="0">
      <items count="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t="default"/>
      </items>
    </pivotField>
  </pivotFields>
  <rowFields count="1">
    <field x="10"/>
  </rowFields>
  <rowItems count="4">
    <i>
      <x/>
    </i>
    <i>
      <x v="1"/>
    </i>
    <i>
      <x v="2"/>
    </i>
    <i>
      <x v="3"/>
    </i>
  </rowItems>
  <colFields count="1">
    <field x="1"/>
  </colFields>
  <colItems count="2">
    <i>
      <x v="5"/>
    </i>
    <i>
      <x v="7"/>
    </i>
  </colItems>
  <pageFields count="1">
    <pageField fld="5" item="2" hier="-1"/>
  </pageFields>
  <dataFields count="1">
    <dataField name="Sum of Total" fld="8" baseField="0" baseItem="0" numFmtId="1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534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94418E-841E-4D3E-985D-9A15253E215D}" name="MY_PIVOT5" cacheId="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ustomListSort="0">
  <location ref="AT75:AU84" firstHeaderRow="1" firstDataRow="1" firstDataCol="1" rowPageCount="1" colPageCount="1"/>
  <pivotFields count="9">
    <pivotField showAll="0"/>
    <pivotField axis="axisRow" showAll="0">
      <items count="14">
        <item x="2"/>
        <item x="0"/>
        <item x="8"/>
        <item x="4"/>
        <item x="5"/>
        <item x="6"/>
        <item x="10"/>
        <item x="1"/>
        <item x="7"/>
        <item x="9"/>
        <item x="11"/>
        <item x="12"/>
        <item x="3"/>
        <item t="default"/>
      </items>
    </pivotField>
    <pivotField numFmtId="14" showAll="0">
      <items count="915">
        <item x="682"/>
        <item x="42"/>
        <item x="680"/>
        <item x="678"/>
        <item x="53"/>
        <item x="97"/>
        <item x="36"/>
        <item x="676"/>
        <item x="59"/>
        <item x="679"/>
        <item x="86"/>
        <item x="683"/>
        <item x="1"/>
        <item x="6"/>
        <item x="677"/>
        <item x="0"/>
        <item x="15"/>
        <item x="74"/>
        <item x="88"/>
        <item x="83"/>
        <item x="684"/>
        <item x="64"/>
        <item x="38"/>
        <item x="4"/>
        <item x="685"/>
        <item x="43"/>
        <item x="686"/>
        <item x="689"/>
        <item x="77"/>
        <item x="87"/>
        <item x="96"/>
        <item x="690"/>
        <item x="687"/>
        <item x="45"/>
        <item x="89"/>
        <item x="80"/>
        <item x="681"/>
        <item x="691"/>
        <item x="688"/>
        <item x="31"/>
        <item x="19"/>
        <item x="71"/>
        <item x="81"/>
        <item x="17"/>
        <item x="22"/>
        <item x="11"/>
        <item x="10"/>
        <item x="90"/>
        <item x="50"/>
        <item x="13"/>
        <item x="694"/>
        <item x="94"/>
        <item x="695"/>
        <item x="49"/>
        <item x="78"/>
        <item x="720"/>
        <item x="54"/>
        <item x="696"/>
        <item x="692"/>
        <item x="2"/>
        <item x="33"/>
        <item x="61"/>
        <item x="693"/>
        <item x="55"/>
        <item x="697"/>
        <item x="37"/>
        <item x="92"/>
        <item x="21"/>
        <item x="69"/>
        <item x="698"/>
        <item x="40"/>
        <item x="699"/>
        <item x="700"/>
        <item x="98"/>
        <item x="703"/>
        <item x="41"/>
        <item x="702"/>
        <item x="701"/>
        <item x="51"/>
        <item x="32"/>
        <item x="95"/>
        <item x="707"/>
        <item x="705"/>
        <item x="57"/>
        <item x="39"/>
        <item x="709"/>
        <item x="706"/>
        <item x="708"/>
        <item x="65"/>
        <item x="704"/>
        <item x="12"/>
        <item x="27"/>
        <item x="710"/>
        <item x="24"/>
        <item x="718"/>
        <item x="68"/>
        <item x="715"/>
        <item x="711"/>
        <item x="85"/>
        <item x="72"/>
        <item x="719"/>
        <item x="47"/>
        <item x="26"/>
        <item x="717"/>
        <item x="712"/>
        <item x="714"/>
        <item x="5"/>
        <item x="713"/>
        <item x="44"/>
        <item x="716"/>
        <item x="60"/>
        <item x="82"/>
        <item x="721"/>
        <item x="727"/>
        <item x="724"/>
        <item x="56"/>
        <item x="722"/>
        <item x="67"/>
        <item x="20"/>
        <item x="725"/>
        <item x="723"/>
        <item x="75"/>
        <item x="34"/>
        <item x="52"/>
        <item x="726"/>
        <item x="70"/>
        <item x="28"/>
        <item x="728"/>
        <item x="99"/>
        <item x="732"/>
        <item x="91"/>
        <item x="16"/>
        <item x="46"/>
        <item x="730"/>
        <item x="733"/>
        <item x="731"/>
        <item x="3"/>
        <item x="18"/>
        <item x="62"/>
        <item x="729"/>
        <item x="35"/>
        <item x="734"/>
        <item x="8"/>
        <item x="738"/>
        <item x="735"/>
        <item x="48"/>
        <item x="73"/>
        <item x="743"/>
        <item x="9"/>
        <item x="736"/>
        <item x="63"/>
        <item x="737"/>
        <item x="741"/>
        <item x="740"/>
        <item x="93"/>
        <item x="742"/>
        <item x="739"/>
        <item x="29"/>
        <item x="744"/>
        <item x="14"/>
        <item x="58"/>
        <item x="84"/>
        <item x="745"/>
        <item x="25"/>
        <item x="79"/>
        <item x="76"/>
        <item x="66"/>
        <item x="746"/>
        <item x="23"/>
        <item x="7"/>
        <item x="30"/>
        <item x="294"/>
        <item x="296"/>
        <item x="314"/>
        <item x="317"/>
        <item x="315"/>
        <item x="312"/>
        <item x="105"/>
        <item x="316"/>
        <item x="307"/>
        <item x="319"/>
        <item x="323"/>
        <item x="295"/>
        <item x="308"/>
        <item x="132"/>
        <item x="324"/>
        <item x="162"/>
        <item x="293"/>
        <item x="310"/>
        <item x="145"/>
        <item x="305"/>
        <item x="318"/>
        <item x="306"/>
        <item x="129"/>
        <item x="167"/>
        <item x="311"/>
        <item x="104"/>
        <item x="321"/>
        <item x="160"/>
        <item x="148"/>
        <item x="309"/>
        <item x="322"/>
        <item x="313"/>
        <item x="325"/>
        <item x="320"/>
        <item x="150"/>
        <item x="139"/>
        <item x="114"/>
        <item x="101"/>
        <item x="121"/>
        <item x="151"/>
        <item x="161"/>
        <item x="157"/>
        <item x="345"/>
        <item x="346"/>
        <item x="354"/>
        <item x="333"/>
        <item x="352"/>
        <item x="335"/>
        <item x="338"/>
        <item x="326"/>
        <item x="130"/>
        <item x="109"/>
        <item x="106"/>
        <item x="142"/>
        <item x="111"/>
        <item x="328"/>
        <item x="108"/>
        <item x="340"/>
        <item x="133"/>
        <item x="112"/>
        <item x="341"/>
        <item x="327"/>
        <item x="342"/>
        <item x="334"/>
        <item x="332"/>
        <item x="329"/>
        <item x="165"/>
        <item x="138"/>
        <item x="339"/>
        <item x="118"/>
        <item x="344"/>
        <item x="350"/>
        <item x="115"/>
        <item x="351"/>
        <item x="110"/>
        <item x="149"/>
        <item x="336"/>
        <item x="343"/>
        <item x="347"/>
        <item x="337"/>
        <item x="128"/>
        <item x="103"/>
        <item x="330"/>
        <item x="331"/>
        <item x="119"/>
        <item x="349"/>
        <item x="348"/>
        <item x="155"/>
        <item x="141"/>
        <item x="353"/>
        <item x="166"/>
        <item x="362"/>
        <item x="359"/>
        <item x="367"/>
        <item x="363"/>
        <item x="394"/>
        <item x="368"/>
        <item x="378"/>
        <item x="355"/>
        <item x="386"/>
        <item x="396"/>
        <item x="100"/>
        <item x="146"/>
        <item x="369"/>
        <item x="366"/>
        <item x="159"/>
        <item x="373"/>
        <item x="389"/>
        <item x="107"/>
        <item x="156"/>
        <item x="379"/>
        <item x="356"/>
        <item x="360"/>
        <item x="398"/>
        <item x="380"/>
        <item x="357"/>
        <item x="376"/>
        <item x="390"/>
        <item x="364"/>
        <item x="393"/>
        <item x="370"/>
        <item x="117"/>
        <item x="102"/>
        <item x="382"/>
        <item x="120"/>
        <item x="383"/>
        <item x="365"/>
        <item x="147"/>
        <item x="163"/>
        <item x="384"/>
        <item x="164"/>
        <item x="358"/>
        <item x="143"/>
        <item x="158"/>
        <item x="387"/>
        <item x="381"/>
        <item x="388"/>
        <item x="397"/>
        <item x="399"/>
        <item x="395"/>
        <item x="371"/>
        <item x="372"/>
        <item x="374"/>
        <item x="113"/>
        <item x="375"/>
        <item x="400"/>
        <item x="385"/>
        <item x="361"/>
        <item x="122"/>
        <item x="377"/>
        <item x="391"/>
        <item x="137"/>
        <item x="153"/>
        <item x="392"/>
        <item x="297"/>
        <item x="421"/>
        <item x="413"/>
        <item x="426"/>
        <item x="124"/>
        <item x="408"/>
        <item x="414"/>
        <item x="298"/>
        <item x="144"/>
        <item x="300"/>
        <item x="152"/>
        <item x="131"/>
        <item x="135"/>
        <item x="299"/>
        <item x="410"/>
        <item x="154"/>
        <item x="404"/>
        <item x="415"/>
        <item x="419"/>
        <item x="401"/>
        <item x="427"/>
        <item x="134"/>
        <item x="301"/>
        <item x="416"/>
        <item x="422"/>
        <item x="406"/>
        <item x="140"/>
        <item x="126"/>
        <item x="302"/>
        <item x="417"/>
        <item x="409"/>
        <item x="123"/>
        <item x="116"/>
        <item x="424"/>
        <item x="127"/>
        <item x="425"/>
        <item x="303"/>
        <item x="125"/>
        <item x="411"/>
        <item x="418"/>
        <item x="304"/>
        <item x="428"/>
        <item x="402"/>
        <item x="403"/>
        <item x="420"/>
        <item x="405"/>
        <item x="407"/>
        <item x="136"/>
        <item x="412"/>
        <item x="423"/>
        <item x="429"/>
        <item x="188"/>
        <item x="441"/>
        <item x="222"/>
        <item x="228"/>
        <item x="176"/>
        <item x="435"/>
        <item x="434"/>
        <item x="198"/>
        <item x="447"/>
        <item x="450"/>
        <item x="430"/>
        <item x="448"/>
        <item x="211"/>
        <item x="436"/>
        <item x="227"/>
        <item x="444"/>
        <item x="458"/>
        <item x="451"/>
        <item x="431"/>
        <item x="193"/>
        <item x="221"/>
        <item x="175"/>
        <item x="219"/>
        <item x="459"/>
        <item x="449"/>
        <item x="453"/>
        <item x="454"/>
        <item x="455"/>
        <item x="432"/>
        <item x="460"/>
        <item x="438"/>
        <item x="433"/>
        <item x="443"/>
        <item x="442"/>
        <item x="187"/>
        <item x="452"/>
        <item x="437"/>
        <item x="439"/>
        <item x="174"/>
        <item x="445"/>
        <item x="440"/>
        <item x="457"/>
        <item x="172"/>
        <item x="206"/>
        <item x="446"/>
        <item x="217"/>
        <item x="461"/>
        <item x="226"/>
        <item x="199"/>
        <item x="456"/>
        <item x="210"/>
        <item x="474"/>
        <item x="473"/>
        <item x="478"/>
        <item x="492"/>
        <item x="493"/>
        <item x="470"/>
        <item x="171"/>
        <item x="173"/>
        <item x="482"/>
        <item x="185"/>
        <item x="467"/>
        <item x="486"/>
        <item x="463"/>
        <item x="471"/>
        <item x="490"/>
        <item x="469"/>
        <item x="468"/>
        <item x="472"/>
        <item x="480"/>
        <item x="494"/>
        <item x="475"/>
        <item x="476"/>
        <item x="205"/>
        <item x="462"/>
        <item x="177"/>
        <item x="479"/>
        <item x="487"/>
        <item x="191"/>
        <item x="488"/>
        <item x="483"/>
        <item x="481"/>
        <item x="236"/>
        <item x="464"/>
        <item x="202"/>
        <item x="181"/>
        <item x="229"/>
        <item x="230"/>
        <item x="466"/>
        <item x="489"/>
        <item x="491"/>
        <item x="485"/>
        <item x="484"/>
        <item x="190"/>
        <item x="194"/>
        <item x="477"/>
        <item x="465"/>
        <item x="212"/>
        <item x="180"/>
        <item x="505"/>
        <item x="496"/>
        <item x="231"/>
        <item x="225"/>
        <item x="511"/>
        <item x="497"/>
        <item x="495"/>
        <item x="237"/>
        <item x="503"/>
        <item x="509"/>
        <item x="220"/>
        <item x="183"/>
        <item x="502"/>
        <item x="208"/>
        <item x="519"/>
        <item x="510"/>
        <item x="516"/>
        <item x="498"/>
        <item x="512"/>
        <item x="223"/>
        <item x="507"/>
        <item x="504"/>
        <item x="195"/>
        <item x="514"/>
        <item x="506"/>
        <item x="192"/>
        <item x="499"/>
        <item x="517"/>
        <item x="168"/>
        <item x="232"/>
        <item x="500"/>
        <item x="169"/>
        <item x="213"/>
        <item x="515"/>
        <item x="513"/>
        <item x="235"/>
        <item x="200"/>
        <item x="209"/>
        <item x="178"/>
        <item x="501"/>
        <item x="508"/>
        <item x="201"/>
        <item x="182"/>
        <item x="196"/>
        <item x="179"/>
        <item x="518"/>
        <item x="233"/>
        <item x="234"/>
        <item x="520"/>
        <item x="541"/>
        <item x="551"/>
        <item x="545"/>
        <item x="529"/>
        <item x="528"/>
        <item x="547"/>
        <item x="560"/>
        <item x="521"/>
        <item x="563"/>
        <item x="525"/>
        <item x="557"/>
        <item x="224"/>
        <item x="538"/>
        <item x="537"/>
        <item x="524"/>
        <item x="170"/>
        <item x="184"/>
        <item x="564"/>
        <item x="186"/>
        <item x="565"/>
        <item x="533"/>
        <item x="197"/>
        <item x="562"/>
        <item x="549"/>
        <item x="542"/>
        <item x="522"/>
        <item x="532"/>
        <item x="531"/>
        <item x="539"/>
        <item x="530"/>
        <item x="546"/>
        <item x="216"/>
        <item x="526"/>
        <item x="534"/>
        <item x="556"/>
        <item x="207"/>
        <item x="543"/>
        <item x="203"/>
        <item x="204"/>
        <item x="558"/>
        <item x="523"/>
        <item x="540"/>
        <item x="550"/>
        <item x="215"/>
        <item x="527"/>
        <item x="189"/>
        <item x="548"/>
        <item x="214"/>
        <item x="218"/>
        <item x="535"/>
        <item x="536"/>
        <item x="561"/>
        <item x="555"/>
        <item x="544"/>
        <item x="552"/>
        <item x="553"/>
        <item x="567"/>
        <item x="554"/>
        <item x="559"/>
        <item x="566"/>
        <item x="571"/>
        <item x="583"/>
        <item x="265"/>
        <item x="251"/>
        <item x="258"/>
        <item x="248"/>
        <item x="244"/>
        <item x="264"/>
        <item x="269"/>
        <item x="587"/>
        <item x="577"/>
        <item x="573"/>
        <item x="572"/>
        <item x="285"/>
        <item x="291"/>
        <item x="585"/>
        <item x="569"/>
        <item x="240"/>
        <item x="292"/>
        <item x="286"/>
        <item x="579"/>
        <item x="588"/>
        <item x="246"/>
        <item x="578"/>
        <item x="574"/>
        <item x="584"/>
        <item x="581"/>
        <item x="582"/>
        <item x="257"/>
        <item x="575"/>
        <item x="568"/>
        <item x="586"/>
        <item x="570"/>
        <item x="580"/>
        <item x="249"/>
        <item x="576"/>
        <item x="279"/>
        <item x="239"/>
        <item x="591"/>
        <item x="589"/>
        <item x="594"/>
        <item x="606"/>
        <item x="243"/>
        <item x="596"/>
        <item x="601"/>
        <item x="597"/>
        <item x="612"/>
        <item x="253"/>
        <item x="609"/>
        <item x="613"/>
        <item x="602"/>
        <item x="278"/>
        <item x="595"/>
        <item x="263"/>
        <item x="592"/>
        <item x="288"/>
        <item x="250"/>
        <item x="607"/>
        <item x="604"/>
        <item x="599"/>
        <item x="593"/>
        <item x="281"/>
        <item x="590"/>
        <item x="289"/>
        <item x="283"/>
        <item x="611"/>
        <item x="277"/>
        <item x="290"/>
        <item x="608"/>
        <item x="600"/>
        <item x="605"/>
        <item x="241"/>
        <item x="238"/>
        <item x="267"/>
        <item x="603"/>
        <item x="610"/>
        <item x="280"/>
        <item x="598"/>
        <item x="629"/>
        <item x="618"/>
        <item x="638"/>
        <item x="644"/>
        <item x="614"/>
        <item x="619"/>
        <item x="645"/>
        <item x="622"/>
        <item x="620"/>
        <item x="266"/>
        <item x="623"/>
        <item x="639"/>
        <item x="641"/>
        <item x="643"/>
        <item x="627"/>
        <item x="635"/>
        <item x="615"/>
        <item x="626"/>
        <item x="636"/>
        <item x="242"/>
        <item x="621"/>
        <item x="637"/>
        <item x="247"/>
        <item x="634"/>
        <item x="624"/>
        <item x="640"/>
        <item x="616"/>
        <item x="617"/>
        <item x="628"/>
        <item x="632"/>
        <item x="270"/>
        <item x="630"/>
        <item x="254"/>
        <item x="268"/>
        <item x="262"/>
        <item x="252"/>
        <item x="631"/>
        <item x="633"/>
        <item x="625"/>
        <item x="642"/>
        <item x="653"/>
        <item x="646"/>
        <item x="670"/>
        <item x="648"/>
        <item x="655"/>
        <item x="658"/>
        <item x="661"/>
        <item x="671"/>
        <item x="275"/>
        <item x="662"/>
        <item x="282"/>
        <item x="272"/>
        <item x="287"/>
        <item x="284"/>
        <item x="675"/>
        <item x="659"/>
        <item x="668"/>
        <item x="674"/>
        <item x="673"/>
        <item x="669"/>
        <item x="647"/>
        <item x="667"/>
        <item x="664"/>
        <item x="649"/>
        <item x="657"/>
        <item x="656"/>
        <item x="256"/>
        <item x="276"/>
        <item x="660"/>
        <item x="273"/>
        <item x="271"/>
        <item x="261"/>
        <item x="259"/>
        <item x="665"/>
        <item x="650"/>
        <item x="666"/>
        <item x="651"/>
        <item x="663"/>
        <item x="274"/>
        <item x="652"/>
        <item x="255"/>
        <item x="245"/>
        <item x="654"/>
        <item x="672"/>
        <item x="260"/>
        <item x="750"/>
        <item x="755"/>
        <item x="754"/>
        <item x="748"/>
        <item x="757"/>
        <item x="747"/>
        <item x="751"/>
        <item x="753"/>
        <item x="756"/>
        <item x="752"/>
        <item x="749"/>
        <item x="766"/>
        <item x="765"/>
        <item x="767"/>
        <item x="762"/>
        <item x="768"/>
        <item x="760"/>
        <item x="761"/>
        <item x="763"/>
        <item x="764"/>
        <item x="759"/>
        <item x="758"/>
        <item x="778"/>
        <item x="776"/>
        <item x="782"/>
        <item x="775"/>
        <item x="772"/>
        <item x="777"/>
        <item x="769"/>
        <item x="779"/>
        <item x="780"/>
        <item x="773"/>
        <item x="781"/>
        <item x="770"/>
        <item x="774"/>
        <item x="771"/>
        <item x="788"/>
        <item x="784"/>
        <item x="800"/>
        <item x="789"/>
        <item x="787"/>
        <item x="793"/>
        <item x="796"/>
        <item x="791"/>
        <item x="795"/>
        <item x="785"/>
        <item x="798"/>
        <item x="799"/>
        <item x="801"/>
        <item x="794"/>
        <item x="786"/>
        <item x="783"/>
        <item x="797"/>
        <item x="792"/>
        <item x="790"/>
        <item x="803"/>
        <item x="808"/>
        <item x="809"/>
        <item x="811"/>
        <item x="814"/>
        <item x="806"/>
        <item x="807"/>
        <item x="817"/>
        <item x="805"/>
        <item x="812"/>
        <item x="810"/>
        <item x="813"/>
        <item x="804"/>
        <item x="802"/>
        <item x="815"/>
        <item x="816"/>
        <item x="818"/>
        <item x="820"/>
        <item x="819"/>
        <item x="864"/>
        <item x="851"/>
        <item x="841"/>
        <item x="835"/>
        <item x="859"/>
        <item x="843"/>
        <item x="867"/>
        <item x="840"/>
        <item x="844"/>
        <item x="857"/>
        <item x="850"/>
        <item x="825"/>
        <item x="839"/>
        <item x="842"/>
        <item x="865"/>
        <item x="832"/>
        <item x="833"/>
        <item x="826"/>
        <item x="861"/>
        <item x="846"/>
        <item x="838"/>
        <item x="849"/>
        <item x="824"/>
        <item x="862"/>
        <item x="854"/>
        <item x="848"/>
        <item x="830"/>
        <item x="852"/>
        <item x="853"/>
        <item x="831"/>
        <item x="868"/>
        <item x="837"/>
        <item x="823"/>
        <item x="827"/>
        <item x="860"/>
        <item x="847"/>
        <item x="858"/>
        <item x="845"/>
        <item x="822"/>
        <item x="829"/>
        <item x="863"/>
        <item x="828"/>
        <item x="821"/>
        <item x="856"/>
        <item x="836"/>
        <item x="866"/>
        <item x="834"/>
        <item x="855"/>
        <item x="913"/>
        <item x="910"/>
        <item x="897"/>
        <item x="906"/>
        <item x="871"/>
        <item x="909"/>
        <item x="894"/>
        <item x="881"/>
        <item x="895"/>
        <item x="877"/>
        <item x="890"/>
        <item x="880"/>
        <item x="911"/>
        <item x="899"/>
        <item x="898"/>
        <item x="893"/>
        <item x="873"/>
        <item x="912"/>
        <item x="892"/>
        <item x="907"/>
        <item x="888"/>
        <item x="905"/>
        <item x="882"/>
        <item x="885"/>
        <item x="901"/>
        <item x="900"/>
        <item x="896"/>
        <item x="878"/>
        <item x="869"/>
        <item x="883"/>
        <item x="884"/>
        <item x="879"/>
        <item x="870"/>
        <item x="874"/>
        <item x="889"/>
        <item x="902"/>
        <item x="891"/>
        <item x="872"/>
        <item x="876"/>
        <item x="903"/>
        <item x="908"/>
        <item x="887"/>
        <item x="875"/>
        <item x="886"/>
        <item x="904"/>
        <item t="default"/>
      </items>
    </pivotField>
    <pivotField showAll="0"/>
    <pivotField showAll="0"/>
    <pivotField axis="axisPage" showAll="0">
      <items count="6">
        <item x="3"/>
        <item x="1"/>
        <item x="0"/>
        <item x="2"/>
        <item x="4"/>
        <item t="default"/>
      </items>
    </pivotField>
    <pivotField showAll="0"/>
    <pivotField numFmtId="2" showAll="0"/>
    <pivotField dataField="1" numFmtId="2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12"/>
    </i>
  </rowItems>
  <colItems count="1">
    <i/>
  </colItems>
  <pageFields count="1">
    <pageField fld="5" item="2" hier="-1"/>
  </pageFields>
  <dataFields count="1">
    <dataField name="Sum of Total" fld="8" showDataAs="percentOfTotal" baseField="0" baseItem="0" numFmtId="9"/>
  </dataFields>
  <pivotTableStyleInfo name="PivotStyleLight16" showRowHeaders="1" showColHeaders="1" showRowStripes="0" showColStripes="0" showLastColumn="1"/>
  <filters count="1">
    <filter fld="2" type="dateBetween" evalOrder="-1" id="2" name="Date">
      <autoFilter ref="A1">
        <filterColumn colId="0">
          <customFilters and="1">
            <customFilter operator="greaterThanOrEqual" val="38808"/>
            <customFilter operator="lessThanOrEqual" val="3889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F43F73-F655-48D5-B6D2-98F4865F6804}" name="ProductLine" displayName="ProductLine" ref="A1:I3198" totalsRowShown="0" headerRowDxfId="10">
  <autoFilter ref="A1:I3198" xr:uid="{2EF43F73-F655-48D5-B6D2-98F4865F6804}"/>
  <tableColumns count="9">
    <tableColumn id="1" xr3:uid="{F7C4ABB4-95E0-437E-827D-AA51FBA0D812}" name="Trans Number"/>
    <tableColumn id="2" xr3:uid="{51E56E5A-565D-4318-A60A-C944C5FD320C}" name="Name"/>
    <tableColumn id="3" xr3:uid="{673A8247-3004-49EB-B836-7F17964484AC}" name="Date" dataDxfId="9"/>
    <tableColumn id="4" xr3:uid="{1B8B7ED9-D645-4CFF-8A2E-1F89A9FDB89A}" name="Year" dataDxfId="8">
      <calculatedColumnFormula>YEAR(ProductLine[[#This Row],[Date]])</calculatedColumnFormula>
    </tableColumn>
    <tableColumn id="5" xr3:uid="{E7E792B0-B651-4C16-9465-006459C8F099}" name="Month" dataDxfId="7">
      <calculatedColumnFormula>MONTH(ProductLine[[#This Row],[Date]])</calculatedColumnFormula>
    </tableColumn>
    <tableColumn id="6" xr3:uid="{50F678B5-DF1B-4F3E-BACA-642D91C2060A}" name="Product" dataDxfId="6"/>
    <tableColumn id="7" xr3:uid="{00D43F39-5E9C-4522-A648-718C9001AA3E}" name="Units" dataDxfId="5"/>
    <tableColumn id="8" xr3:uid="{30EB9277-C616-47D3-85DC-89F35E3929D9}" name="Dollars" dataDxfId="4"/>
    <tableColumn id="9" xr3:uid="{5140CBA0-4073-48D5-BBE3-A0D78E284C2F}" name="Total" dataDxfId="3">
      <calculatedColumnFormula>ProductLine[[#This Row],[Units]]*ProductLine[[#This Row],[Dollars]]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43B6BA7E-6FDE-4570-8F00-75A55A832FBA}" sourceName="Date">
  <pivotTables>
    <pivotTable tabId="245" name="MY_PIVOT1"/>
  </pivotTables>
  <state minimalRefreshVersion="6" lastRefreshVersion="6" pivotCacheId="448940566" filterType="dateBetween">
    <selection startDate="2005-07-01T00:00:00" endDate="2006-06-30T00:00:00"/>
    <bounds startDate="2004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2" xr10:uid="{4759B855-1053-4ABA-B804-E5F4ACD4032D}" sourceName="Date">
  <pivotTables>
    <pivotTable tabId="245" name="MY_PIVOT2"/>
  </pivotTables>
  <state minimalRefreshVersion="6" lastRefreshVersion="6" pivotCacheId="1337722268" filterType="dateBetween">
    <selection startDate="2005-07-01T00:00:00" endDate="2006-06-30T00:00:00"/>
    <bounds startDate="2004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3" xr10:uid="{14FC38DF-6026-42F4-9B3C-3A6545624536}" sourceName="Date">
  <pivotTables>
    <pivotTable tabId="245" name="MY_PIVOT3"/>
  </pivotTables>
  <state minimalRefreshVersion="6" lastRefreshVersion="6" pivotCacheId="406640814" filterType="dateBetween">
    <selection startDate="2006-04-01T00:00:00" endDate="2006-06-30T00:00:00"/>
    <bounds startDate="2004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4" xr10:uid="{9BDFD65A-0E3C-4B79-8378-B561DD93B5C8}" sourceName="Date">
  <pivotTables>
    <pivotTable tabId="245" name="MY_PIVOT4"/>
  </pivotTables>
  <state minimalRefreshVersion="6" lastRefreshVersion="6" pivotCacheId="1715440765" filterType="dateBetween">
    <selection startDate="2006-04-01T00:00:00" endDate="2006-06-30T00:00:00"/>
    <bounds startDate="2004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Date5" xr10:uid="{831B618C-6489-4858-A766-871D355CE6E9}" sourceName="Date">
  <pivotTables>
    <pivotTable tabId="245" name="MY_PIVOT5"/>
  </pivotTables>
  <state minimalRefreshVersion="6" lastRefreshVersion="6" pivotCacheId="859242849" filterType="dateBetween">
    <selection startDate="2006-04-01T00:00:00" endDate="2006-06-30T00:00:00"/>
    <bounds startDate="2004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C46A55DE-1A51-4275-A1AD-CF5EAF2FF7BF}" cache="NativeTimeline_Date" caption="Date" level="1" selectionLevel="1" scrollPosition="2004-10-14T00:00:00"/>
  <timeline name="Date2" xr10:uid="{F611AAEB-CA09-4E59-BC41-55E30B520E9F}" cache="Date2" caption="Date2" level="1" selectionLevel="1" scrollPosition="2004-10-14T00:00:00"/>
  <timeline name="Date3" xr10:uid="{A8A3D23C-A0EC-49CF-9220-DE57951C0EE5}" cache="Date3" caption="Date3" level="1" selectionLevel="1" scrollPosition="2005-02-28T00:00:00"/>
  <timeline name="Date4" xr10:uid="{3F6F52AD-1363-4E89-8FE2-2AF927587FC5}" cache="Date4" caption="Date4" level="1" selectionLevel="1" scrollPosition="2005-03-01T00:00:00"/>
  <timeline name="Date5" xr10:uid="{AFC11E07-47BA-4652-B19A-16B039633DCE}" cache="Date5" caption="Date5" level="1" selectionLevel="1" scrollPosition="2005-02-28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7B1D-7A46-4045-BCC9-A55CF0E51B3C}">
  <sheetPr codeName="Sheet1"/>
  <dimension ref="A1:J3198"/>
  <sheetViews>
    <sheetView tabSelected="1" workbookViewId="0">
      <selection activeCell="A3198" sqref="A3198"/>
    </sheetView>
  </sheetViews>
  <sheetFormatPr defaultRowHeight="14.5" x14ac:dyDescent="0.35"/>
  <cols>
    <col min="1" max="1" width="13.6328125" customWidth="1"/>
    <col min="3" max="3" width="15.90625" customWidth="1"/>
    <col min="6" max="6" width="8.81640625" customWidth="1"/>
    <col min="9" max="9" width="9.363281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</row>
    <row r="2" spans="1:10" x14ac:dyDescent="0.35">
      <c r="A2">
        <v>1</v>
      </c>
      <c r="B2" t="s">
        <v>9</v>
      </c>
      <c r="C2" s="2">
        <v>38078</v>
      </c>
      <c r="D2">
        <f>YEAR(ProductLine[[#This Row],[Date]])</f>
        <v>2004</v>
      </c>
      <c r="E2">
        <f>MONTH(ProductLine[[#This Row],[Date]])</f>
        <v>4</v>
      </c>
      <c r="F2" t="s">
        <v>23</v>
      </c>
      <c r="G2">
        <v>45</v>
      </c>
      <c r="H2" s="3">
        <v>137.20455832336393</v>
      </c>
      <c r="I2" s="3">
        <f>ProductLine[[#This Row],[Units]]*ProductLine[[#This Row],[Dollars]]</f>
        <v>6174.2051245513767</v>
      </c>
    </row>
    <row r="3" spans="1:10" x14ac:dyDescent="0.35">
      <c r="A3">
        <v>2</v>
      </c>
      <c r="B3" t="s">
        <v>10</v>
      </c>
      <c r="C3" s="2">
        <v>38056</v>
      </c>
      <c r="D3">
        <f>YEAR(ProductLine[[#This Row],[Date]])</f>
        <v>2004</v>
      </c>
      <c r="E3">
        <f>MONTH(ProductLine[[#This Row],[Date]])</f>
        <v>3</v>
      </c>
      <c r="F3" t="s">
        <v>24</v>
      </c>
      <c r="G3">
        <v>50</v>
      </c>
      <c r="H3" s="3">
        <v>152.00730307485438</v>
      </c>
      <c r="I3" s="3">
        <f>ProductLine[[#This Row],[Units]]*ProductLine[[#This Row],[Dollars]]</f>
        <v>7600.3651537427186</v>
      </c>
    </row>
    <row r="4" spans="1:10" x14ac:dyDescent="0.35">
      <c r="A4">
        <v>3</v>
      </c>
      <c r="B4" t="s">
        <v>11</v>
      </c>
      <c r="C4" s="2">
        <v>38408</v>
      </c>
      <c r="D4">
        <f>YEAR(ProductLine[[#This Row],[Date]])</f>
        <v>2005</v>
      </c>
      <c r="E4">
        <f>MONTH(ProductLine[[#This Row],[Date]])</f>
        <v>2</v>
      </c>
      <c r="F4" t="s">
        <v>25</v>
      </c>
      <c r="G4">
        <v>9</v>
      </c>
      <c r="H4" s="3">
        <v>28.719483117139745</v>
      </c>
      <c r="I4" s="3">
        <f>ProductLine[[#This Row],[Units]]*ProductLine[[#This Row],[Dollars]]</f>
        <v>258.47534805425772</v>
      </c>
    </row>
    <row r="5" spans="1:10" x14ac:dyDescent="0.35">
      <c r="A5">
        <v>4</v>
      </c>
      <c r="B5" t="s">
        <v>10</v>
      </c>
      <c r="C5" s="2">
        <v>38859</v>
      </c>
      <c r="D5">
        <f>YEAR(ProductLine[[#This Row],[Date]])</f>
        <v>2006</v>
      </c>
      <c r="E5">
        <f>MONTH(ProductLine[[#This Row],[Date]])</f>
        <v>5</v>
      </c>
      <c r="F5" t="s">
        <v>23</v>
      </c>
      <c r="G5">
        <v>55</v>
      </c>
      <c r="H5" s="3">
        <v>167.07532251655616</v>
      </c>
      <c r="I5" s="3">
        <f>ProductLine[[#This Row],[Units]]*ProductLine[[#This Row],[Dollars]]</f>
        <v>9189.1427384105882</v>
      </c>
    </row>
    <row r="6" spans="1:10" x14ac:dyDescent="0.35">
      <c r="A6">
        <v>5</v>
      </c>
      <c r="B6" t="s">
        <v>12</v>
      </c>
      <c r="C6" s="2">
        <v>38155</v>
      </c>
      <c r="D6">
        <f>YEAR(ProductLine[[#This Row],[Date]])</f>
        <v>2004</v>
      </c>
      <c r="E6">
        <f>MONTH(ProductLine[[#This Row],[Date]])</f>
        <v>6</v>
      </c>
      <c r="F6" t="s">
        <v>23</v>
      </c>
      <c r="G6">
        <v>43</v>
      </c>
      <c r="H6" s="3">
        <v>130.60287243901442</v>
      </c>
      <c r="I6" s="3">
        <f>ProductLine[[#This Row],[Units]]*ProductLine[[#This Row],[Dollars]]</f>
        <v>5615.9235148776197</v>
      </c>
    </row>
    <row r="7" spans="1:10" x14ac:dyDescent="0.35">
      <c r="A7">
        <v>6</v>
      </c>
      <c r="B7" t="s">
        <v>13</v>
      </c>
      <c r="C7" s="2">
        <v>38683</v>
      </c>
      <c r="D7">
        <f>YEAR(ProductLine[[#This Row],[Date]])</f>
        <v>2005</v>
      </c>
      <c r="E7">
        <f>MONTH(ProductLine[[#This Row],[Date]])</f>
        <v>11</v>
      </c>
      <c r="F7" t="s">
        <v>26</v>
      </c>
      <c r="G7">
        <v>58</v>
      </c>
      <c r="H7" s="3">
        <v>175.99097407072162</v>
      </c>
      <c r="I7" s="3">
        <f>ProductLine[[#This Row],[Units]]*ProductLine[[#This Row],[Dollars]]</f>
        <v>10207.476496101854</v>
      </c>
    </row>
    <row r="8" spans="1:10" x14ac:dyDescent="0.35">
      <c r="A8">
        <v>7</v>
      </c>
      <c r="B8" t="s">
        <v>14</v>
      </c>
      <c r="C8" s="2">
        <v>38067</v>
      </c>
      <c r="D8">
        <f>YEAR(ProductLine[[#This Row],[Date]])</f>
        <v>2004</v>
      </c>
      <c r="E8">
        <f>MONTH(ProductLine[[#This Row],[Date]])</f>
        <v>3</v>
      </c>
      <c r="F8" t="s">
        <v>26</v>
      </c>
      <c r="G8">
        <v>8</v>
      </c>
      <c r="H8" s="3">
        <v>25.800692176216739</v>
      </c>
      <c r="I8" s="3">
        <f>ProductLine[[#This Row],[Units]]*ProductLine[[#This Row],[Dollars]]</f>
        <v>206.40553740973391</v>
      </c>
    </row>
    <row r="9" spans="1:10" x14ac:dyDescent="0.35">
      <c r="A9">
        <v>8</v>
      </c>
      <c r="B9" t="s">
        <v>13</v>
      </c>
      <c r="C9" s="2">
        <v>39068</v>
      </c>
      <c r="D9">
        <f>YEAR(ProductLine[[#This Row],[Date]])</f>
        <v>2006</v>
      </c>
      <c r="E9">
        <f>MONTH(ProductLine[[#This Row],[Date]])</f>
        <v>12</v>
      </c>
      <c r="F9" t="s">
        <v>23</v>
      </c>
      <c r="G9">
        <v>72</v>
      </c>
      <c r="H9" s="3">
        <v>217.83965386113226</v>
      </c>
      <c r="I9" s="3">
        <f>ProductLine[[#This Row],[Units]]*ProductLine[[#This Row],[Dollars]]</f>
        <v>15684.455078001523</v>
      </c>
    </row>
    <row r="10" spans="1:10" x14ac:dyDescent="0.35">
      <c r="A10">
        <v>9</v>
      </c>
      <c r="B10" t="s">
        <v>11</v>
      </c>
      <c r="C10" s="2">
        <v>38903</v>
      </c>
      <c r="D10">
        <f>YEAR(ProductLine[[#This Row],[Date]])</f>
        <v>2006</v>
      </c>
      <c r="E10">
        <f>MONTH(ProductLine[[#This Row],[Date]])</f>
        <v>7</v>
      </c>
      <c r="F10" t="s">
        <v>26</v>
      </c>
      <c r="G10">
        <v>75</v>
      </c>
      <c r="H10" s="3">
        <v>226.64232685518837</v>
      </c>
      <c r="I10" s="3">
        <f>ProductLine[[#This Row],[Units]]*ProductLine[[#This Row],[Dollars]]</f>
        <v>16998.174514139129</v>
      </c>
    </row>
    <row r="11" spans="1:10" x14ac:dyDescent="0.35">
      <c r="A11">
        <v>10</v>
      </c>
      <c r="B11" t="s">
        <v>9</v>
      </c>
      <c r="C11" s="2">
        <v>38936</v>
      </c>
      <c r="D11">
        <f>YEAR(ProductLine[[#This Row],[Date]])</f>
        <v>2006</v>
      </c>
      <c r="E11">
        <f>MONTH(ProductLine[[#This Row],[Date]])</f>
        <v>8</v>
      </c>
      <c r="F11" t="s">
        <v>23</v>
      </c>
      <c r="G11">
        <v>24</v>
      </c>
      <c r="H11" s="3">
        <v>73.502342173405509</v>
      </c>
      <c r="I11" s="3">
        <f>ProductLine[[#This Row],[Units]]*ProductLine[[#This Row],[Dollars]]</f>
        <v>1764.0562121617322</v>
      </c>
    </row>
    <row r="12" spans="1:10" x14ac:dyDescent="0.35">
      <c r="A12">
        <v>11</v>
      </c>
      <c r="B12" t="s">
        <v>11</v>
      </c>
      <c r="C12" s="2">
        <v>38320</v>
      </c>
      <c r="D12">
        <f>YEAR(ProductLine[[#This Row],[Date]])</f>
        <v>2004</v>
      </c>
      <c r="E12">
        <f>MONTH(ProductLine[[#This Row],[Date]])</f>
        <v>11</v>
      </c>
      <c r="F12" t="s">
        <v>27</v>
      </c>
      <c r="G12">
        <v>43</v>
      </c>
      <c r="H12" s="3">
        <v>130.83536844241408</v>
      </c>
      <c r="I12" s="3">
        <f>ProductLine[[#This Row],[Units]]*ProductLine[[#This Row],[Dollars]]</f>
        <v>5625.920843023805</v>
      </c>
    </row>
    <row r="13" spans="1:10" x14ac:dyDescent="0.35">
      <c r="A13">
        <v>12</v>
      </c>
      <c r="B13" t="s">
        <v>11</v>
      </c>
      <c r="C13" s="2">
        <v>38309</v>
      </c>
      <c r="D13">
        <f>YEAR(ProductLine[[#This Row],[Date]])</f>
        <v>2004</v>
      </c>
      <c r="E13">
        <f>MONTH(ProductLine[[#This Row],[Date]])</f>
        <v>11</v>
      </c>
      <c r="F13" t="s">
        <v>23</v>
      </c>
      <c r="G13">
        <v>23</v>
      </c>
      <c r="H13" s="3">
        <v>71.034367691096961</v>
      </c>
      <c r="I13" s="3">
        <f>ProductLine[[#This Row],[Units]]*ProductLine[[#This Row],[Dollars]]</f>
        <v>1633.7904568952301</v>
      </c>
    </row>
    <row r="14" spans="1:10" x14ac:dyDescent="0.35">
      <c r="A14">
        <v>13</v>
      </c>
      <c r="B14" t="s">
        <v>15</v>
      </c>
      <c r="C14" s="2">
        <v>38595</v>
      </c>
      <c r="D14">
        <f>YEAR(ProductLine[[#This Row],[Date]])</f>
        <v>2005</v>
      </c>
      <c r="E14">
        <f>MONTH(ProductLine[[#This Row],[Date]])</f>
        <v>8</v>
      </c>
      <c r="F14" t="s">
        <v>23</v>
      </c>
      <c r="G14">
        <v>49</v>
      </c>
      <c r="H14" s="3">
        <v>149.59279694174981</v>
      </c>
      <c r="I14" s="3">
        <f>ProductLine[[#This Row],[Units]]*ProductLine[[#This Row],[Dollars]]</f>
        <v>7330.0470501457403</v>
      </c>
    </row>
    <row r="15" spans="1:10" x14ac:dyDescent="0.35">
      <c r="A15">
        <v>14</v>
      </c>
      <c r="B15" t="s">
        <v>10</v>
      </c>
      <c r="C15" s="2">
        <v>38353</v>
      </c>
      <c r="D15">
        <f>YEAR(ProductLine[[#This Row],[Date]])</f>
        <v>2005</v>
      </c>
      <c r="E15">
        <f>MONTH(ProductLine[[#This Row],[Date]])</f>
        <v>1</v>
      </c>
      <c r="F15" t="s">
        <v>26</v>
      </c>
      <c r="G15">
        <v>18</v>
      </c>
      <c r="H15" s="3">
        <v>56.471999230139573</v>
      </c>
      <c r="I15" s="3">
        <f>ProductLine[[#This Row],[Units]]*ProductLine[[#This Row],[Dollars]]</f>
        <v>1016.4959861425123</v>
      </c>
    </row>
    <row r="16" spans="1:10" x14ac:dyDescent="0.35">
      <c r="A16">
        <v>15</v>
      </c>
      <c r="B16" t="s">
        <v>12</v>
      </c>
      <c r="C16" s="2">
        <v>38980</v>
      </c>
      <c r="D16">
        <f>YEAR(ProductLine[[#This Row],[Date]])</f>
        <v>2006</v>
      </c>
      <c r="E16">
        <f>MONTH(ProductLine[[#This Row],[Date]])</f>
        <v>9</v>
      </c>
      <c r="F16" t="s">
        <v>24</v>
      </c>
      <c r="G16">
        <v>-8</v>
      </c>
      <c r="H16" s="3">
        <v>-21.993044717303864</v>
      </c>
      <c r="I16" s="3">
        <f>ProductLine[[#This Row],[Units]]*ProductLine[[#This Row],[Dollars]]</f>
        <v>175.94435773843091</v>
      </c>
    </row>
    <row r="17" spans="1:9" x14ac:dyDescent="0.35">
      <c r="A17">
        <v>16</v>
      </c>
      <c r="B17" t="s">
        <v>15</v>
      </c>
      <c r="C17" s="2">
        <v>38089</v>
      </c>
      <c r="D17">
        <f>YEAR(ProductLine[[#This Row],[Date]])</f>
        <v>2004</v>
      </c>
      <c r="E17">
        <f>MONTH(ProductLine[[#This Row],[Date]])</f>
        <v>4</v>
      </c>
      <c r="F17" t="s">
        <v>27</v>
      </c>
      <c r="G17">
        <v>45</v>
      </c>
      <c r="H17" s="3">
        <v>137.39037590916232</v>
      </c>
      <c r="I17" s="3">
        <f>ProductLine[[#This Row],[Units]]*ProductLine[[#This Row],[Dollars]]</f>
        <v>6182.5669159123045</v>
      </c>
    </row>
    <row r="18" spans="1:9" x14ac:dyDescent="0.35">
      <c r="A18">
        <v>17</v>
      </c>
      <c r="B18" t="s">
        <v>13</v>
      </c>
      <c r="C18" s="2">
        <v>38837</v>
      </c>
      <c r="D18">
        <f>YEAR(ProductLine[[#This Row],[Date]])</f>
        <v>2006</v>
      </c>
      <c r="E18">
        <f>MONTH(ProductLine[[#This Row],[Date]])</f>
        <v>4</v>
      </c>
      <c r="F18" t="s">
        <v>27</v>
      </c>
      <c r="G18">
        <v>66</v>
      </c>
      <c r="H18" s="3">
        <v>199.65433473774931</v>
      </c>
      <c r="I18" s="3">
        <f>ProductLine[[#This Row],[Units]]*ProductLine[[#This Row],[Dollars]]</f>
        <v>13177.186092691454</v>
      </c>
    </row>
    <row r="19" spans="1:9" x14ac:dyDescent="0.35">
      <c r="A19">
        <v>18</v>
      </c>
      <c r="B19" t="s">
        <v>16</v>
      </c>
      <c r="C19" s="2">
        <v>38595</v>
      </c>
      <c r="D19">
        <f>YEAR(ProductLine[[#This Row],[Date]])</f>
        <v>2005</v>
      </c>
      <c r="E19">
        <f>MONTH(ProductLine[[#This Row],[Date]])</f>
        <v>8</v>
      </c>
      <c r="F19" t="s">
        <v>23</v>
      </c>
      <c r="G19">
        <v>88</v>
      </c>
      <c r="H19" s="3">
        <v>265.18755145539586</v>
      </c>
      <c r="I19" s="3">
        <f>ProductLine[[#This Row],[Units]]*ProductLine[[#This Row],[Dollars]]</f>
        <v>23336.504528074835</v>
      </c>
    </row>
    <row r="20" spans="1:9" x14ac:dyDescent="0.35">
      <c r="A20">
        <v>19</v>
      </c>
      <c r="B20" t="s">
        <v>16</v>
      </c>
      <c r="C20" s="2">
        <v>38287</v>
      </c>
      <c r="D20">
        <f>YEAR(ProductLine[[#This Row],[Date]])</f>
        <v>2004</v>
      </c>
      <c r="E20">
        <f>MONTH(ProductLine[[#This Row],[Date]])</f>
        <v>10</v>
      </c>
      <c r="F20" t="s">
        <v>26</v>
      </c>
      <c r="G20">
        <v>78</v>
      </c>
      <c r="H20" s="3">
        <v>236.14697789113248</v>
      </c>
      <c r="I20" s="3">
        <f>ProductLine[[#This Row],[Units]]*ProductLine[[#This Row],[Dollars]]</f>
        <v>18419.464275508333</v>
      </c>
    </row>
    <row r="21" spans="1:9" x14ac:dyDescent="0.35">
      <c r="A21">
        <v>20</v>
      </c>
      <c r="B21" t="s">
        <v>12</v>
      </c>
      <c r="C21" s="2">
        <v>38683</v>
      </c>
      <c r="D21">
        <f>YEAR(ProductLine[[#This Row],[Date]])</f>
        <v>2005</v>
      </c>
      <c r="E21">
        <f>MONTH(ProductLine[[#This Row],[Date]])</f>
        <v>11</v>
      </c>
      <c r="F21" t="s">
        <v>23</v>
      </c>
      <c r="G21">
        <v>57</v>
      </c>
      <c r="H21" s="3">
        <v>173.11529461915569</v>
      </c>
      <c r="I21" s="3">
        <f>ProductLine[[#This Row],[Units]]*ProductLine[[#This Row],[Dollars]]</f>
        <v>9867.5717932918742</v>
      </c>
    </row>
    <row r="22" spans="1:9" x14ac:dyDescent="0.35">
      <c r="A22">
        <v>21</v>
      </c>
      <c r="B22" t="s">
        <v>12</v>
      </c>
      <c r="C22" s="2">
        <v>38870</v>
      </c>
      <c r="D22">
        <f>YEAR(ProductLine[[#This Row],[Date]])</f>
        <v>2006</v>
      </c>
      <c r="E22">
        <f>MONTH(ProductLine[[#This Row],[Date]])</f>
        <v>6</v>
      </c>
      <c r="F22" t="s">
        <v>27</v>
      </c>
      <c r="G22">
        <v>12</v>
      </c>
      <c r="H22" s="3">
        <v>38.081435709433634</v>
      </c>
      <c r="I22" s="3">
        <f>ProductLine[[#This Row],[Units]]*ProductLine[[#This Row],[Dollars]]</f>
        <v>456.97722851320361</v>
      </c>
    </row>
    <row r="23" spans="1:9" x14ac:dyDescent="0.35">
      <c r="A23">
        <v>22</v>
      </c>
      <c r="B23" t="s">
        <v>9</v>
      </c>
      <c r="C23" s="2">
        <v>38254</v>
      </c>
      <c r="D23">
        <f>YEAR(ProductLine[[#This Row],[Date]])</f>
        <v>2004</v>
      </c>
      <c r="E23">
        <f>MONTH(ProductLine[[#This Row],[Date]])</f>
        <v>9</v>
      </c>
      <c r="F23" t="s">
        <v>26</v>
      </c>
      <c r="G23">
        <v>28</v>
      </c>
      <c r="H23" s="3">
        <v>86.512775700642493</v>
      </c>
      <c r="I23" s="3">
        <f>ProductLine[[#This Row],[Units]]*ProductLine[[#This Row],[Dollars]]</f>
        <v>2422.3577196179899</v>
      </c>
    </row>
    <row r="24" spans="1:9" x14ac:dyDescent="0.35">
      <c r="A24">
        <v>23</v>
      </c>
      <c r="B24" t="s">
        <v>13</v>
      </c>
      <c r="C24" s="2">
        <v>38749</v>
      </c>
      <c r="D24">
        <f>YEAR(ProductLine[[#This Row],[Date]])</f>
        <v>2006</v>
      </c>
      <c r="E24">
        <f>MONTH(ProductLine[[#This Row],[Date]])</f>
        <v>2</v>
      </c>
      <c r="F24" t="s">
        <v>27</v>
      </c>
      <c r="G24">
        <v>25</v>
      </c>
      <c r="H24" s="3">
        <v>77.307151643363554</v>
      </c>
      <c r="I24" s="3">
        <f>ProductLine[[#This Row],[Units]]*ProductLine[[#This Row],[Dollars]]</f>
        <v>1932.6787910840887</v>
      </c>
    </row>
    <row r="25" spans="1:9" x14ac:dyDescent="0.35">
      <c r="A25">
        <v>24</v>
      </c>
      <c r="B25" t="s">
        <v>10</v>
      </c>
      <c r="C25" s="2">
        <v>38474</v>
      </c>
      <c r="D25">
        <f>YEAR(ProductLine[[#This Row],[Date]])</f>
        <v>2005</v>
      </c>
      <c r="E25">
        <f>MONTH(ProductLine[[#This Row],[Date]])</f>
        <v>5</v>
      </c>
      <c r="F25" t="s">
        <v>24</v>
      </c>
      <c r="G25">
        <v>29</v>
      </c>
      <c r="H25" s="3">
        <v>88.222745876339161</v>
      </c>
      <c r="I25" s="3">
        <f>ProductLine[[#This Row],[Units]]*ProductLine[[#This Row],[Dollars]]</f>
        <v>2558.4596304138358</v>
      </c>
    </row>
    <row r="26" spans="1:9" x14ac:dyDescent="0.35">
      <c r="A26">
        <v>25</v>
      </c>
      <c r="B26" t="s">
        <v>16</v>
      </c>
      <c r="C26" s="2">
        <v>38298</v>
      </c>
      <c r="D26">
        <f>YEAR(ProductLine[[#This Row],[Date]])</f>
        <v>2004</v>
      </c>
      <c r="E26">
        <f>MONTH(ProductLine[[#This Row],[Date]])</f>
        <v>11</v>
      </c>
      <c r="F26" t="s">
        <v>27</v>
      </c>
      <c r="G26">
        <v>-4</v>
      </c>
      <c r="H26" s="3">
        <v>-9.9439491268532194</v>
      </c>
      <c r="I26" s="3">
        <f>ProductLine[[#This Row],[Units]]*ProductLine[[#This Row],[Dollars]]</f>
        <v>39.775796507412878</v>
      </c>
    </row>
    <row r="27" spans="1:9" x14ac:dyDescent="0.35">
      <c r="A27">
        <v>26</v>
      </c>
      <c r="B27" t="s">
        <v>15</v>
      </c>
      <c r="C27" s="2">
        <v>39057</v>
      </c>
      <c r="D27">
        <f>YEAR(ProductLine[[#This Row],[Date]])</f>
        <v>2006</v>
      </c>
      <c r="E27">
        <f>MONTH(ProductLine[[#This Row],[Date]])</f>
        <v>12</v>
      </c>
      <c r="F27" t="s">
        <v>23</v>
      </c>
      <c r="G27">
        <v>24</v>
      </c>
      <c r="H27" s="3">
        <v>74.622434460070465</v>
      </c>
      <c r="I27" s="3">
        <f>ProductLine[[#This Row],[Units]]*ProductLine[[#This Row],[Dollars]]</f>
        <v>1790.9384270416913</v>
      </c>
    </row>
    <row r="28" spans="1:9" x14ac:dyDescent="0.35">
      <c r="A28">
        <v>27</v>
      </c>
      <c r="B28" t="s">
        <v>16</v>
      </c>
      <c r="C28" s="2">
        <v>38089</v>
      </c>
      <c r="D28">
        <f>YEAR(ProductLine[[#This Row],[Date]])</f>
        <v>2004</v>
      </c>
      <c r="E28">
        <f>MONTH(ProductLine[[#This Row],[Date]])</f>
        <v>4</v>
      </c>
      <c r="F28" t="s">
        <v>25</v>
      </c>
      <c r="G28">
        <v>38</v>
      </c>
      <c r="H28" s="3">
        <v>115.98517718889856</v>
      </c>
      <c r="I28" s="3">
        <f>ProductLine[[#This Row],[Units]]*ProductLine[[#This Row],[Dollars]]</f>
        <v>4407.436733178145</v>
      </c>
    </row>
    <row r="29" spans="1:9" x14ac:dyDescent="0.35">
      <c r="A29">
        <v>28</v>
      </c>
      <c r="B29" t="s">
        <v>14</v>
      </c>
      <c r="C29" s="2">
        <v>38617</v>
      </c>
      <c r="D29">
        <f>YEAR(ProductLine[[#This Row],[Date]])</f>
        <v>2005</v>
      </c>
      <c r="E29">
        <f>MONTH(ProductLine[[#This Row],[Date]])</f>
        <v>9</v>
      </c>
      <c r="F29" t="s">
        <v>24</v>
      </c>
      <c r="G29">
        <v>77</v>
      </c>
      <c r="H29" s="3">
        <v>233.05438870487612</v>
      </c>
      <c r="I29" s="3">
        <f>ProductLine[[#This Row],[Units]]*ProductLine[[#This Row],[Dollars]]</f>
        <v>17945.187930275461</v>
      </c>
    </row>
    <row r="30" spans="1:9" x14ac:dyDescent="0.35">
      <c r="A30">
        <v>29</v>
      </c>
      <c r="B30" t="s">
        <v>9</v>
      </c>
      <c r="C30" s="2">
        <v>39013</v>
      </c>
      <c r="D30">
        <f>YEAR(ProductLine[[#This Row],[Date]])</f>
        <v>2006</v>
      </c>
      <c r="E30">
        <f>MONTH(ProductLine[[#This Row],[Date]])</f>
        <v>10</v>
      </c>
      <c r="F30" t="s">
        <v>24</v>
      </c>
      <c r="G30">
        <v>77</v>
      </c>
      <c r="H30" s="3">
        <v>233.35651970431758</v>
      </c>
      <c r="I30" s="3">
        <f>ProductLine[[#This Row],[Units]]*ProductLine[[#This Row],[Dollars]]</f>
        <v>17968.452017232452</v>
      </c>
    </row>
    <row r="31" spans="1:9" x14ac:dyDescent="0.35">
      <c r="A31">
        <v>30</v>
      </c>
      <c r="B31" t="s">
        <v>10</v>
      </c>
      <c r="C31" s="2">
        <v>38672</v>
      </c>
      <c r="D31">
        <f>YEAR(ProductLine[[#This Row],[Date]])</f>
        <v>2005</v>
      </c>
      <c r="E31">
        <f>MONTH(ProductLine[[#This Row],[Date]])</f>
        <v>11</v>
      </c>
      <c r="F31" t="s">
        <v>24</v>
      </c>
      <c r="G31">
        <v>60</v>
      </c>
      <c r="H31" s="3">
        <v>182.24664750326718</v>
      </c>
      <c r="I31" s="3">
        <f>ProductLine[[#This Row],[Units]]*ProductLine[[#This Row],[Dollars]]</f>
        <v>10934.798850196032</v>
      </c>
    </row>
    <row r="32" spans="1:9" x14ac:dyDescent="0.35">
      <c r="A32">
        <v>31</v>
      </c>
      <c r="B32" t="s">
        <v>12</v>
      </c>
      <c r="C32" s="2">
        <v>38606</v>
      </c>
      <c r="D32">
        <f>YEAR(ProductLine[[#This Row],[Date]])</f>
        <v>2005</v>
      </c>
      <c r="E32">
        <f>MONTH(ProductLine[[#This Row],[Date]])</f>
        <v>9</v>
      </c>
      <c r="F32" t="s">
        <v>23</v>
      </c>
      <c r="G32">
        <v>6</v>
      </c>
      <c r="H32" s="3">
        <v>20.481843585001322</v>
      </c>
      <c r="I32" s="3">
        <f>ProductLine[[#This Row],[Units]]*ProductLine[[#This Row],[Dollars]]</f>
        <v>122.89106151000793</v>
      </c>
    </row>
    <row r="33" spans="1:9" x14ac:dyDescent="0.35">
      <c r="A33">
        <v>32</v>
      </c>
      <c r="B33" t="s">
        <v>14</v>
      </c>
      <c r="C33" s="2">
        <v>38804</v>
      </c>
      <c r="D33">
        <f>YEAR(ProductLine[[#This Row],[Date]])</f>
        <v>2006</v>
      </c>
      <c r="E33">
        <f>MONTH(ProductLine[[#This Row],[Date]])</f>
        <v>3</v>
      </c>
      <c r="F33" t="s">
        <v>23</v>
      </c>
      <c r="G33">
        <v>53</v>
      </c>
      <c r="H33" s="3">
        <v>161.46395235499537</v>
      </c>
      <c r="I33" s="3">
        <f>ProductLine[[#This Row],[Units]]*ProductLine[[#This Row],[Dollars]]</f>
        <v>8557.5894748147548</v>
      </c>
    </row>
    <row r="34" spans="1:9" x14ac:dyDescent="0.35">
      <c r="A34">
        <v>33</v>
      </c>
      <c r="B34" t="s">
        <v>17</v>
      </c>
      <c r="C34" s="2">
        <v>38155</v>
      </c>
      <c r="D34">
        <f>YEAR(ProductLine[[#This Row],[Date]])</f>
        <v>2004</v>
      </c>
      <c r="E34">
        <f>MONTH(ProductLine[[#This Row],[Date]])</f>
        <v>6</v>
      </c>
      <c r="F34" t="s">
        <v>27</v>
      </c>
      <c r="G34">
        <v>41</v>
      </c>
      <c r="H34" s="3">
        <v>125.2697558819725</v>
      </c>
      <c r="I34" s="3">
        <f>ProductLine[[#This Row],[Units]]*ProductLine[[#This Row],[Dollars]]</f>
        <v>5136.0599911608724</v>
      </c>
    </row>
    <row r="35" spans="1:9" x14ac:dyDescent="0.35">
      <c r="A35">
        <v>34</v>
      </c>
      <c r="B35" t="s">
        <v>12</v>
      </c>
      <c r="C35" s="2">
        <v>38969</v>
      </c>
      <c r="D35">
        <f>YEAR(ProductLine[[#This Row],[Date]])</f>
        <v>2006</v>
      </c>
      <c r="E35">
        <f>MONTH(ProductLine[[#This Row],[Date]])</f>
        <v>9</v>
      </c>
      <c r="F35" t="s">
        <v>27</v>
      </c>
      <c r="G35">
        <v>19</v>
      </c>
      <c r="H35" s="3">
        <v>59.153898700773034</v>
      </c>
      <c r="I35" s="3">
        <f>ProductLine[[#This Row],[Units]]*ProductLine[[#This Row],[Dollars]]</f>
        <v>1123.9240753146876</v>
      </c>
    </row>
    <row r="36" spans="1:9" x14ac:dyDescent="0.35">
      <c r="A36">
        <v>35</v>
      </c>
      <c r="B36" t="s">
        <v>16</v>
      </c>
      <c r="C36" s="2">
        <v>39079</v>
      </c>
      <c r="D36">
        <f>YEAR(ProductLine[[#This Row],[Date]])</f>
        <v>2006</v>
      </c>
      <c r="E36">
        <f>MONTH(ProductLine[[#This Row],[Date]])</f>
        <v>12</v>
      </c>
      <c r="F36" t="s">
        <v>24</v>
      </c>
      <c r="G36">
        <v>39</v>
      </c>
      <c r="H36" s="3">
        <v>119.30030273172213</v>
      </c>
      <c r="I36" s="3">
        <f>ProductLine[[#This Row],[Units]]*ProductLine[[#This Row],[Dollars]]</f>
        <v>4652.7118065371633</v>
      </c>
    </row>
    <row r="37" spans="1:9" x14ac:dyDescent="0.35">
      <c r="A37">
        <v>36</v>
      </c>
      <c r="B37" t="s">
        <v>9</v>
      </c>
      <c r="C37" s="2">
        <v>38243</v>
      </c>
      <c r="D37">
        <f>YEAR(ProductLine[[#This Row],[Date]])</f>
        <v>2004</v>
      </c>
      <c r="E37">
        <f>MONTH(ProductLine[[#This Row],[Date]])</f>
        <v>9</v>
      </c>
      <c r="F37" t="s">
        <v>23</v>
      </c>
      <c r="G37">
        <v>2</v>
      </c>
      <c r="H37" s="3">
        <v>8.2604004984897017</v>
      </c>
      <c r="I37" s="3">
        <f>ProductLine[[#This Row],[Units]]*ProductLine[[#This Row],[Dollars]]</f>
        <v>16.520800996979403</v>
      </c>
    </row>
    <row r="38" spans="1:9" x14ac:dyDescent="0.35">
      <c r="A38">
        <v>37</v>
      </c>
      <c r="B38" t="s">
        <v>12</v>
      </c>
      <c r="C38" s="2">
        <v>38540</v>
      </c>
      <c r="D38">
        <f>YEAR(ProductLine[[#This Row],[Date]])</f>
        <v>2005</v>
      </c>
      <c r="E38">
        <f>MONTH(ProductLine[[#This Row],[Date]])</f>
        <v>7</v>
      </c>
      <c r="F38" t="s">
        <v>26</v>
      </c>
      <c r="G38">
        <v>34</v>
      </c>
      <c r="H38" s="3">
        <v>103.43841434718642</v>
      </c>
      <c r="I38" s="3">
        <f>ProductLine[[#This Row],[Units]]*ProductLine[[#This Row],[Dollars]]</f>
        <v>3516.9060878043383</v>
      </c>
    </row>
    <row r="39" spans="1:9" x14ac:dyDescent="0.35">
      <c r="A39">
        <v>38</v>
      </c>
      <c r="B39" t="s">
        <v>15</v>
      </c>
      <c r="C39" s="2">
        <v>38419</v>
      </c>
      <c r="D39">
        <f>YEAR(ProductLine[[#This Row],[Date]])</f>
        <v>2005</v>
      </c>
      <c r="E39">
        <f>MONTH(ProductLine[[#This Row],[Date]])</f>
        <v>3</v>
      </c>
      <c r="F39" t="s">
        <v>24</v>
      </c>
      <c r="G39">
        <v>59</v>
      </c>
      <c r="H39" s="3">
        <v>179.01001770576869</v>
      </c>
      <c r="I39" s="3">
        <f>ProductLine[[#This Row],[Units]]*ProductLine[[#This Row],[Dollars]]</f>
        <v>10561.591044640352</v>
      </c>
    </row>
    <row r="40" spans="1:9" x14ac:dyDescent="0.35">
      <c r="A40">
        <v>39</v>
      </c>
      <c r="B40" t="s">
        <v>17</v>
      </c>
      <c r="C40" s="2">
        <v>38771</v>
      </c>
      <c r="D40">
        <f>YEAR(ProductLine[[#This Row],[Date]])</f>
        <v>2006</v>
      </c>
      <c r="E40">
        <f>MONTH(ProductLine[[#This Row],[Date]])</f>
        <v>2</v>
      </c>
      <c r="F40" t="s">
        <v>24</v>
      </c>
      <c r="G40">
        <v>-9</v>
      </c>
      <c r="H40" s="3">
        <v>-24.625751249139931</v>
      </c>
      <c r="I40" s="3">
        <f>ProductLine[[#This Row],[Units]]*ProductLine[[#This Row],[Dollars]]</f>
        <v>221.63176124225939</v>
      </c>
    </row>
    <row r="41" spans="1:9" x14ac:dyDescent="0.35">
      <c r="A41">
        <v>40</v>
      </c>
      <c r="B41" t="s">
        <v>10</v>
      </c>
      <c r="C41" s="2">
        <v>38892</v>
      </c>
      <c r="D41">
        <f>YEAR(ProductLine[[#This Row],[Date]])</f>
        <v>2006</v>
      </c>
      <c r="E41">
        <f>MONTH(ProductLine[[#This Row],[Date]])</f>
        <v>6</v>
      </c>
      <c r="F41" t="s">
        <v>24</v>
      </c>
      <c r="G41">
        <v>38</v>
      </c>
      <c r="H41" s="3">
        <v>115.58433775100286</v>
      </c>
      <c r="I41" s="3">
        <f>ProductLine[[#This Row],[Units]]*ProductLine[[#This Row],[Dollars]]</f>
        <v>4392.204834538109</v>
      </c>
    </row>
    <row r="42" spans="1:9" x14ac:dyDescent="0.35">
      <c r="A42">
        <v>41</v>
      </c>
      <c r="B42" t="s">
        <v>15</v>
      </c>
      <c r="C42" s="2">
        <v>38023</v>
      </c>
      <c r="D42">
        <f>YEAR(ProductLine[[#This Row],[Date]])</f>
        <v>2004</v>
      </c>
      <c r="E42">
        <f>MONTH(ProductLine[[#This Row],[Date]])</f>
        <v>2</v>
      </c>
      <c r="F42" t="s">
        <v>26</v>
      </c>
      <c r="G42">
        <v>25</v>
      </c>
      <c r="H42" s="3">
        <v>76.562095842195291</v>
      </c>
      <c r="I42" s="3">
        <f>ProductLine[[#This Row],[Units]]*ProductLine[[#This Row],[Dollars]]</f>
        <v>1914.0523960548824</v>
      </c>
    </row>
    <row r="43" spans="1:9" x14ac:dyDescent="0.35">
      <c r="A43">
        <v>42</v>
      </c>
      <c r="B43" t="s">
        <v>15</v>
      </c>
      <c r="C43" s="2">
        <v>38452</v>
      </c>
      <c r="D43">
        <f>YEAR(ProductLine[[#This Row],[Date]])</f>
        <v>2005</v>
      </c>
      <c r="E43">
        <f>MONTH(ProductLine[[#This Row],[Date]])</f>
        <v>4</v>
      </c>
      <c r="F43" t="s">
        <v>27</v>
      </c>
      <c r="G43">
        <v>19</v>
      </c>
      <c r="H43" s="3">
        <v>59.382749361194016</v>
      </c>
      <c r="I43" s="3">
        <f>ProductLine[[#This Row],[Units]]*ProductLine[[#This Row],[Dollars]]</f>
        <v>1128.2722378626863</v>
      </c>
    </row>
    <row r="44" spans="1:9" x14ac:dyDescent="0.35">
      <c r="A44">
        <v>43</v>
      </c>
      <c r="B44" t="s">
        <v>9</v>
      </c>
      <c r="C44" s="2">
        <v>38078</v>
      </c>
      <c r="D44">
        <f>YEAR(ProductLine[[#This Row],[Date]])</f>
        <v>2004</v>
      </c>
      <c r="E44">
        <f>MONTH(ProductLine[[#This Row],[Date]])</f>
        <v>4</v>
      </c>
      <c r="F44" t="s">
        <v>24</v>
      </c>
      <c r="G44">
        <v>86</v>
      </c>
      <c r="H44" s="3">
        <v>259.85996934004856</v>
      </c>
      <c r="I44" s="3">
        <f>ProductLine[[#This Row],[Units]]*ProductLine[[#This Row],[Dollars]]</f>
        <v>22347.957363244175</v>
      </c>
    </row>
    <row r="45" spans="1:9" x14ac:dyDescent="0.35">
      <c r="A45">
        <v>44</v>
      </c>
      <c r="B45" t="s">
        <v>13</v>
      </c>
      <c r="C45" s="2">
        <v>38144</v>
      </c>
      <c r="D45">
        <f>YEAR(ProductLine[[#This Row],[Date]])</f>
        <v>2004</v>
      </c>
      <c r="E45">
        <f>MONTH(ProductLine[[#This Row],[Date]])</f>
        <v>6</v>
      </c>
      <c r="F45" t="s">
        <v>23</v>
      </c>
      <c r="G45">
        <v>55</v>
      </c>
      <c r="H45" s="3">
        <v>167.11761356978838</v>
      </c>
      <c r="I45" s="3">
        <f>ProductLine[[#This Row],[Units]]*ProductLine[[#This Row],[Dollars]]</f>
        <v>9191.4687463383598</v>
      </c>
    </row>
    <row r="46" spans="1:9" x14ac:dyDescent="0.35">
      <c r="A46">
        <v>45</v>
      </c>
      <c r="B46" t="s">
        <v>15</v>
      </c>
      <c r="C46" s="2">
        <v>38980</v>
      </c>
      <c r="D46">
        <f>YEAR(ProductLine[[#This Row],[Date]])</f>
        <v>2006</v>
      </c>
      <c r="E46">
        <f>MONTH(ProductLine[[#This Row],[Date]])</f>
        <v>9</v>
      </c>
      <c r="F46" t="s">
        <v>23</v>
      </c>
      <c r="G46">
        <v>2</v>
      </c>
      <c r="H46" s="3">
        <v>7.8483600384211831</v>
      </c>
      <c r="I46" s="3">
        <f>ProductLine[[#This Row],[Units]]*ProductLine[[#This Row],[Dollars]]</f>
        <v>15.696720076842366</v>
      </c>
    </row>
    <row r="47" spans="1:9" x14ac:dyDescent="0.35">
      <c r="A47">
        <v>46</v>
      </c>
      <c r="B47" t="s">
        <v>11</v>
      </c>
      <c r="C47" s="2">
        <v>38573</v>
      </c>
      <c r="D47">
        <f>YEAR(ProductLine[[#This Row],[Date]])</f>
        <v>2005</v>
      </c>
      <c r="E47">
        <f>MONTH(ProductLine[[#This Row],[Date]])</f>
        <v>8</v>
      </c>
      <c r="F47" t="s">
        <v>27</v>
      </c>
      <c r="G47">
        <v>93</v>
      </c>
      <c r="H47" s="3">
        <v>280.68747862762837</v>
      </c>
      <c r="I47" s="3">
        <f>ProductLine[[#This Row],[Units]]*ProductLine[[#This Row],[Dollars]]</f>
        <v>26103.935512369437</v>
      </c>
    </row>
    <row r="48" spans="1:9" x14ac:dyDescent="0.35">
      <c r="A48">
        <v>47</v>
      </c>
      <c r="B48" t="s">
        <v>12</v>
      </c>
      <c r="C48" s="2">
        <v>38254</v>
      </c>
      <c r="D48">
        <f>YEAR(ProductLine[[#This Row],[Date]])</f>
        <v>2004</v>
      </c>
      <c r="E48">
        <f>MONTH(ProductLine[[#This Row],[Date]])</f>
        <v>9</v>
      </c>
      <c r="F48" t="s">
        <v>26</v>
      </c>
      <c r="G48">
        <v>14</v>
      </c>
      <c r="H48" s="3">
        <v>43.931553656204748</v>
      </c>
      <c r="I48" s="3">
        <f>ProductLine[[#This Row],[Units]]*ProductLine[[#This Row],[Dollars]]</f>
        <v>615.04175118686646</v>
      </c>
    </row>
    <row r="49" spans="1:9" x14ac:dyDescent="0.35">
      <c r="A49">
        <v>48</v>
      </c>
      <c r="B49" t="s">
        <v>15</v>
      </c>
      <c r="C49" s="2">
        <v>38496</v>
      </c>
      <c r="D49">
        <f>YEAR(ProductLine[[#This Row],[Date]])</f>
        <v>2005</v>
      </c>
      <c r="E49">
        <f>MONTH(ProductLine[[#This Row],[Date]])</f>
        <v>5</v>
      </c>
      <c r="F49" t="s">
        <v>26</v>
      </c>
      <c r="G49">
        <v>37</v>
      </c>
      <c r="H49" s="3">
        <v>113.03491000904664</v>
      </c>
      <c r="I49" s="3">
        <f>ProductLine[[#This Row],[Units]]*ProductLine[[#This Row],[Dollars]]</f>
        <v>4182.2916703347255</v>
      </c>
    </row>
    <row r="50" spans="1:9" x14ac:dyDescent="0.35">
      <c r="A50">
        <v>49</v>
      </c>
      <c r="B50" t="s">
        <v>9</v>
      </c>
      <c r="C50" s="2">
        <v>38309</v>
      </c>
      <c r="D50">
        <f>YEAR(ProductLine[[#This Row],[Date]])</f>
        <v>2004</v>
      </c>
      <c r="E50">
        <f>MONTH(ProductLine[[#This Row],[Date]])</f>
        <v>11</v>
      </c>
      <c r="F50" t="s">
        <v>24</v>
      </c>
      <c r="G50">
        <v>63</v>
      </c>
      <c r="H50" s="3">
        <v>190.69511057123685</v>
      </c>
      <c r="I50" s="3">
        <f>ProductLine[[#This Row],[Units]]*ProductLine[[#This Row],[Dollars]]</f>
        <v>12013.791965987923</v>
      </c>
    </row>
    <row r="51" spans="1:9" x14ac:dyDescent="0.35">
      <c r="A51">
        <v>50</v>
      </c>
      <c r="B51" t="s">
        <v>12</v>
      </c>
      <c r="C51" s="2">
        <v>38309</v>
      </c>
      <c r="D51">
        <f>YEAR(ProductLine[[#This Row],[Date]])</f>
        <v>2004</v>
      </c>
      <c r="E51">
        <f>MONTH(ProductLine[[#This Row],[Date]])</f>
        <v>11</v>
      </c>
      <c r="F51" t="s">
        <v>23</v>
      </c>
      <c r="G51">
        <v>1</v>
      </c>
      <c r="H51" s="3">
        <v>5.599704779498877</v>
      </c>
      <c r="I51" s="3">
        <f>ProductLine[[#This Row],[Units]]*ProductLine[[#This Row],[Dollars]]</f>
        <v>5.599704779498877</v>
      </c>
    </row>
    <row r="52" spans="1:9" x14ac:dyDescent="0.35">
      <c r="A52">
        <v>51</v>
      </c>
      <c r="B52" t="s">
        <v>12</v>
      </c>
      <c r="C52" s="2">
        <v>38518</v>
      </c>
      <c r="D52">
        <f>YEAR(ProductLine[[#This Row],[Date]])</f>
        <v>2005</v>
      </c>
      <c r="E52">
        <f>MONTH(ProductLine[[#This Row],[Date]])</f>
        <v>6</v>
      </c>
      <c r="F52" t="s">
        <v>26</v>
      </c>
      <c r="G52">
        <v>24</v>
      </c>
      <c r="H52" s="3">
        <v>73.599272692165783</v>
      </c>
      <c r="I52" s="3">
        <f>ProductLine[[#This Row],[Units]]*ProductLine[[#This Row],[Dollars]]</f>
        <v>1766.3825446119788</v>
      </c>
    </row>
    <row r="53" spans="1:9" x14ac:dyDescent="0.35">
      <c r="A53">
        <v>52</v>
      </c>
      <c r="B53" t="s">
        <v>10</v>
      </c>
      <c r="C53" s="2">
        <v>37990</v>
      </c>
      <c r="D53">
        <f>YEAR(ProductLine[[#This Row],[Date]])</f>
        <v>2004</v>
      </c>
      <c r="E53">
        <f>MONTH(ProductLine[[#This Row],[Date]])</f>
        <v>1</v>
      </c>
      <c r="F53" t="s">
        <v>26</v>
      </c>
      <c r="G53">
        <v>83</v>
      </c>
      <c r="H53" s="3">
        <v>250.33273832124888</v>
      </c>
      <c r="I53" s="3">
        <f>ProductLine[[#This Row],[Units]]*ProductLine[[#This Row],[Dollars]]</f>
        <v>20777.617280663657</v>
      </c>
    </row>
    <row r="54" spans="1:9" x14ac:dyDescent="0.35">
      <c r="A54">
        <v>53</v>
      </c>
      <c r="B54" t="s">
        <v>17</v>
      </c>
      <c r="C54" s="2">
        <v>38540</v>
      </c>
      <c r="D54">
        <f>YEAR(ProductLine[[#This Row],[Date]])</f>
        <v>2005</v>
      </c>
      <c r="E54">
        <f>MONTH(ProductLine[[#This Row],[Date]])</f>
        <v>7</v>
      </c>
      <c r="F54" t="s">
        <v>26</v>
      </c>
      <c r="G54">
        <v>49</v>
      </c>
      <c r="H54" s="3">
        <v>148.50659729480034</v>
      </c>
      <c r="I54" s="3">
        <f>ProductLine[[#This Row],[Units]]*ProductLine[[#This Row],[Dollars]]</f>
        <v>7276.8232674452165</v>
      </c>
    </row>
    <row r="55" spans="1:9" x14ac:dyDescent="0.35">
      <c r="A55">
        <v>54</v>
      </c>
      <c r="B55" t="s">
        <v>14</v>
      </c>
      <c r="C55" s="2">
        <v>38452</v>
      </c>
      <c r="D55">
        <f>YEAR(ProductLine[[#This Row],[Date]])</f>
        <v>2005</v>
      </c>
      <c r="E55">
        <f>MONTH(ProductLine[[#This Row],[Date]])</f>
        <v>4</v>
      </c>
      <c r="F55" t="s">
        <v>23</v>
      </c>
      <c r="G55">
        <v>26</v>
      </c>
      <c r="H55" s="3">
        <v>80.197912185633001</v>
      </c>
      <c r="I55" s="3">
        <f>ProductLine[[#This Row],[Units]]*ProductLine[[#This Row],[Dollars]]</f>
        <v>2085.1457168264578</v>
      </c>
    </row>
    <row r="56" spans="1:9" x14ac:dyDescent="0.35">
      <c r="A56">
        <v>55</v>
      </c>
      <c r="B56" t="s">
        <v>16</v>
      </c>
      <c r="C56" s="2">
        <v>38859</v>
      </c>
      <c r="D56">
        <f>YEAR(ProductLine[[#This Row],[Date]])</f>
        <v>2006</v>
      </c>
      <c r="E56">
        <f>MONTH(ProductLine[[#This Row],[Date]])</f>
        <v>5</v>
      </c>
      <c r="F56" t="s">
        <v>23</v>
      </c>
      <c r="G56">
        <v>35</v>
      </c>
      <c r="H56" s="3">
        <v>107.99264815962536</v>
      </c>
      <c r="I56" s="3">
        <f>ProductLine[[#This Row],[Units]]*ProductLine[[#This Row],[Dollars]]</f>
        <v>3779.7426855868875</v>
      </c>
    </row>
    <row r="57" spans="1:9" x14ac:dyDescent="0.35">
      <c r="A57">
        <v>56</v>
      </c>
      <c r="B57" t="s">
        <v>14</v>
      </c>
      <c r="C57" s="2">
        <v>38089</v>
      </c>
      <c r="D57">
        <f>YEAR(ProductLine[[#This Row],[Date]])</f>
        <v>2004</v>
      </c>
      <c r="E57">
        <f>MONTH(ProductLine[[#This Row],[Date]])</f>
        <v>4</v>
      </c>
      <c r="F57" t="s">
        <v>23</v>
      </c>
      <c r="G57">
        <v>8</v>
      </c>
      <c r="H57" s="3">
        <v>26.909399775034267</v>
      </c>
      <c r="I57" s="3">
        <f>ProductLine[[#This Row],[Units]]*ProductLine[[#This Row],[Dollars]]</f>
        <v>215.27519820027413</v>
      </c>
    </row>
    <row r="58" spans="1:9" x14ac:dyDescent="0.35">
      <c r="A58">
        <v>57</v>
      </c>
      <c r="B58" t="s">
        <v>17</v>
      </c>
      <c r="C58" s="2">
        <v>38166</v>
      </c>
      <c r="D58">
        <f>YEAR(ProductLine[[#This Row],[Date]])</f>
        <v>2004</v>
      </c>
      <c r="E58">
        <f>MONTH(ProductLine[[#This Row],[Date]])</f>
        <v>6</v>
      </c>
      <c r="F58" t="s">
        <v>27</v>
      </c>
      <c r="G58">
        <v>49</v>
      </c>
      <c r="H58" s="3">
        <v>148.777847479907</v>
      </c>
      <c r="I58" s="3">
        <f>ProductLine[[#This Row],[Units]]*ProductLine[[#This Row],[Dollars]]</f>
        <v>7290.1145265154428</v>
      </c>
    </row>
    <row r="59" spans="1:9" x14ac:dyDescent="0.35">
      <c r="A59">
        <v>58</v>
      </c>
      <c r="B59" t="s">
        <v>14</v>
      </c>
      <c r="C59" s="2">
        <v>38089</v>
      </c>
      <c r="D59">
        <f>YEAR(ProductLine[[#This Row],[Date]])</f>
        <v>2004</v>
      </c>
      <c r="E59">
        <f>MONTH(ProductLine[[#This Row],[Date]])</f>
        <v>4</v>
      </c>
      <c r="F59" t="s">
        <v>24</v>
      </c>
      <c r="G59">
        <v>34</v>
      </c>
      <c r="H59" s="3">
        <v>104.09375694795658</v>
      </c>
      <c r="I59" s="3">
        <f>ProductLine[[#This Row],[Units]]*ProductLine[[#This Row],[Dollars]]</f>
        <v>3539.1877362305236</v>
      </c>
    </row>
    <row r="60" spans="1:9" x14ac:dyDescent="0.35">
      <c r="A60">
        <v>59</v>
      </c>
      <c r="B60" t="s">
        <v>14</v>
      </c>
      <c r="C60" s="2">
        <v>38694</v>
      </c>
      <c r="D60">
        <f>YEAR(ProductLine[[#This Row],[Date]])</f>
        <v>2005</v>
      </c>
      <c r="E60">
        <f>MONTH(ProductLine[[#This Row],[Date]])</f>
        <v>12</v>
      </c>
      <c r="F60" t="s">
        <v>23</v>
      </c>
      <c r="G60">
        <v>8</v>
      </c>
      <c r="H60" s="3">
        <v>26.236564211223342</v>
      </c>
      <c r="I60" s="3">
        <f>ProductLine[[#This Row],[Units]]*ProductLine[[#This Row],[Dollars]]</f>
        <v>209.89251368978674</v>
      </c>
    </row>
    <row r="61" spans="1:9" x14ac:dyDescent="0.35">
      <c r="A61">
        <v>60</v>
      </c>
      <c r="B61" t="s">
        <v>16</v>
      </c>
      <c r="C61" s="2">
        <v>38287</v>
      </c>
      <c r="D61">
        <f>YEAR(ProductLine[[#This Row],[Date]])</f>
        <v>2004</v>
      </c>
      <c r="E61">
        <f>MONTH(ProductLine[[#This Row],[Date]])</f>
        <v>10</v>
      </c>
      <c r="F61" t="s">
        <v>27</v>
      </c>
      <c r="G61">
        <v>89</v>
      </c>
      <c r="H61" s="3">
        <v>269.09085017901094</v>
      </c>
      <c r="I61" s="3">
        <f>ProductLine[[#This Row],[Units]]*ProductLine[[#This Row],[Dollars]]</f>
        <v>23949.085665931972</v>
      </c>
    </row>
    <row r="62" spans="1:9" x14ac:dyDescent="0.35">
      <c r="A62">
        <v>61</v>
      </c>
      <c r="B62" t="s">
        <v>13</v>
      </c>
      <c r="C62" s="2">
        <v>38672</v>
      </c>
      <c r="D62">
        <f>YEAR(ProductLine[[#This Row],[Date]])</f>
        <v>2005</v>
      </c>
      <c r="E62">
        <f>MONTH(ProductLine[[#This Row],[Date]])</f>
        <v>11</v>
      </c>
      <c r="F62" t="s">
        <v>24</v>
      </c>
      <c r="G62">
        <v>62</v>
      </c>
      <c r="H62" s="3">
        <v>189.25415891346557</v>
      </c>
      <c r="I62" s="3">
        <f>ProductLine[[#This Row],[Units]]*ProductLine[[#This Row],[Dollars]]</f>
        <v>11733.757852634866</v>
      </c>
    </row>
    <row r="63" spans="1:9" x14ac:dyDescent="0.35">
      <c r="A63">
        <v>62</v>
      </c>
      <c r="B63" t="s">
        <v>15</v>
      </c>
      <c r="C63" s="2">
        <v>38210</v>
      </c>
      <c r="D63">
        <f>YEAR(ProductLine[[#This Row],[Date]])</f>
        <v>2004</v>
      </c>
      <c r="E63">
        <f>MONTH(ProductLine[[#This Row],[Date]])</f>
        <v>8</v>
      </c>
      <c r="F63" t="s">
        <v>24</v>
      </c>
      <c r="G63">
        <v>23</v>
      </c>
      <c r="H63" s="3">
        <v>71.313211840267556</v>
      </c>
      <c r="I63" s="3">
        <f>ProductLine[[#This Row],[Units]]*ProductLine[[#This Row],[Dollars]]</f>
        <v>1640.2038723261537</v>
      </c>
    </row>
    <row r="64" spans="1:9" x14ac:dyDescent="0.35">
      <c r="A64">
        <v>63</v>
      </c>
      <c r="B64" t="s">
        <v>17</v>
      </c>
      <c r="C64" s="2">
        <v>38155</v>
      </c>
      <c r="D64">
        <f>YEAR(ProductLine[[#This Row],[Date]])</f>
        <v>2004</v>
      </c>
      <c r="E64">
        <f>MONTH(ProductLine[[#This Row],[Date]])</f>
        <v>6</v>
      </c>
      <c r="F64" t="s">
        <v>26</v>
      </c>
      <c r="G64">
        <v>95</v>
      </c>
      <c r="H64" s="3">
        <v>287.76081692141696</v>
      </c>
      <c r="I64" s="3">
        <f>ProductLine[[#This Row],[Units]]*ProductLine[[#This Row],[Dollars]]</f>
        <v>27337.277607534612</v>
      </c>
    </row>
    <row r="65" spans="1:9" x14ac:dyDescent="0.35">
      <c r="A65">
        <v>64</v>
      </c>
      <c r="B65" t="s">
        <v>15</v>
      </c>
      <c r="C65" s="2">
        <v>38848</v>
      </c>
      <c r="D65">
        <f>YEAR(ProductLine[[#This Row],[Date]])</f>
        <v>2006</v>
      </c>
      <c r="E65">
        <f>MONTH(ProductLine[[#This Row],[Date]])</f>
        <v>5</v>
      </c>
      <c r="F65" t="s">
        <v>26</v>
      </c>
      <c r="G65">
        <v>41</v>
      </c>
      <c r="H65" s="3">
        <v>125.00018840758105</v>
      </c>
      <c r="I65" s="3">
        <f>ProductLine[[#This Row],[Units]]*ProductLine[[#This Row],[Dollars]]</f>
        <v>5125.0077247108229</v>
      </c>
    </row>
    <row r="66" spans="1:9" x14ac:dyDescent="0.35">
      <c r="A66">
        <v>65</v>
      </c>
      <c r="B66" t="s">
        <v>11</v>
      </c>
      <c r="C66" s="2">
        <v>38452</v>
      </c>
      <c r="D66">
        <f>YEAR(ProductLine[[#This Row],[Date]])</f>
        <v>2005</v>
      </c>
      <c r="E66">
        <f>MONTH(ProductLine[[#This Row],[Date]])</f>
        <v>4</v>
      </c>
      <c r="F66" t="s">
        <v>23</v>
      </c>
      <c r="G66">
        <v>-6</v>
      </c>
      <c r="H66" s="3">
        <v>-15.942861162173479</v>
      </c>
      <c r="I66" s="3">
        <f>ProductLine[[#This Row],[Units]]*ProductLine[[#This Row],[Dollars]]</f>
        <v>95.657166973040873</v>
      </c>
    </row>
    <row r="67" spans="1:9" x14ac:dyDescent="0.35">
      <c r="A67">
        <v>66</v>
      </c>
      <c r="B67" t="s">
        <v>9</v>
      </c>
      <c r="C67" s="2">
        <v>38353</v>
      </c>
      <c r="D67">
        <f>YEAR(ProductLine[[#This Row],[Date]])</f>
        <v>2005</v>
      </c>
      <c r="E67">
        <f>MONTH(ProductLine[[#This Row],[Date]])</f>
        <v>1</v>
      </c>
      <c r="F67" t="s">
        <v>27</v>
      </c>
      <c r="G67">
        <v>84</v>
      </c>
      <c r="H67" s="3">
        <v>253.99061782802139</v>
      </c>
      <c r="I67" s="3">
        <f>ProductLine[[#This Row],[Units]]*ProductLine[[#This Row],[Dollars]]</f>
        <v>21335.211897553796</v>
      </c>
    </row>
    <row r="68" spans="1:9" x14ac:dyDescent="0.35">
      <c r="A68">
        <v>67</v>
      </c>
      <c r="B68" t="s">
        <v>10</v>
      </c>
      <c r="C68" s="2">
        <v>38661</v>
      </c>
      <c r="D68">
        <f>YEAR(ProductLine[[#This Row],[Date]])</f>
        <v>2005</v>
      </c>
      <c r="E68">
        <f>MONTH(ProductLine[[#This Row],[Date]])</f>
        <v>11</v>
      </c>
      <c r="F68" t="s">
        <v>24</v>
      </c>
      <c r="G68">
        <v>63</v>
      </c>
      <c r="H68" s="3">
        <v>191.36713896782123</v>
      </c>
      <c r="I68" s="3">
        <f>ProductLine[[#This Row],[Units]]*ProductLine[[#This Row],[Dollars]]</f>
        <v>12056.129754972737</v>
      </c>
    </row>
    <row r="69" spans="1:9" x14ac:dyDescent="0.35">
      <c r="A69">
        <v>68</v>
      </c>
      <c r="B69" t="s">
        <v>12</v>
      </c>
      <c r="C69" s="2">
        <v>38914</v>
      </c>
      <c r="D69">
        <f>YEAR(ProductLine[[#This Row],[Date]])</f>
        <v>2006</v>
      </c>
      <c r="E69">
        <f>MONTH(ProductLine[[#This Row],[Date]])</f>
        <v>7</v>
      </c>
      <c r="F69" t="s">
        <v>23</v>
      </c>
      <c r="G69">
        <v>0</v>
      </c>
      <c r="H69" s="3">
        <v>2.3682330895483967</v>
      </c>
      <c r="I69" s="3">
        <f>ProductLine[[#This Row],[Units]]*ProductLine[[#This Row],[Dollars]]</f>
        <v>0</v>
      </c>
    </row>
    <row r="70" spans="1:9" x14ac:dyDescent="0.35">
      <c r="A70">
        <v>69</v>
      </c>
      <c r="B70" t="s">
        <v>14</v>
      </c>
      <c r="C70" s="2">
        <v>38375</v>
      </c>
      <c r="D70">
        <f>YEAR(ProductLine[[#This Row],[Date]])</f>
        <v>2005</v>
      </c>
      <c r="E70">
        <f>MONTH(ProductLine[[#This Row],[Date]])</f>
        <v>1</v>
      </c>
      <c r="F70" t="s">
        <v>26</v>
      </c>
      <c r="G70">
        <v>73</v>
      </c>
      <c r="H70" s="3">
        <v>221.4068752836437</v>
      </c>
      <c r="I70" s="3">
        <f>ProductLine[[#This Row],[Units]]*ProductLine[[#This Row],[Dollars]]</f>
        <v>16162.70189570599</v>
      </c>
    </row>
    <row r="71" spans="1:9" x14ac:dyDescent="0.35">
      <c r="A71">
        <v>70</v>
      </c>
      <c r="B71" t="s">
        <v>15</v>
      </c>
      <c r="C71" s="2">
        <v>38342</v>
      </c>
      <c r="D71">
        <f>YEAR(ProductLine[[#This Row],[Date]])</f>
        <v>2004</v>
      </c>
      <c r="E71">
        <f>MONTH(ProductLine[[#This Row],[Date]])</f>
        <v>12</v>
      </c>
      <c r="F71" t="s">
        <v>26</v>
      </c>
      <c r="G71">
        <v>95</v>
      </c>
      <c r="H71" s="3">
        <v>287.05320060576679</v>
      </c>
      <c r="I71" s="3">
        <f>ProductLine[[#This Row],[Units]]*ProductLine[[#This Row],[Dollars]]</f>
        <v>27270.054057547844</v>
      </c>
    </row>
    <row r="72" spans="1:9" x14ac:dyDescent="0.35">
      <c r="A72">
        <v>71</v>
      </c>
      <c r="B72" t="s">
        <v>11</v>
      </c>
      <c r="C72" s="2">
        <v>38672</v>
      </c>
      <c r="D72">
        <f>YEAR(ProductLine[[#This Row],[Date]])</f>
        <v>2005</v>
      </c>
      <c r="E72">
        <f>MONTH(ProductLine[[#This Row],[Date]])</f>
        <v>11</v>
      </c>
      <c r="F72" t="s">
        <v>25</v>
      </c>
      <c r="G72">
        <v>93</v>
      </c>
      <c r="H72" s="3">
        <v>280.76798505156279</v>
      </c>
      <c r="I72" s="3">
        <f>ProductLine[[#This Row],[Units]]*ProductLine[[#This Row],[Dollars]]</f>
        <v>26111.42260979534</v>
      </c>
    </row>
    <row r="73" spans="1:9" x14ac:dyDescent="0.35">
      <c r="A73">
        <v>72</v>
      </c>
      <c r="B73" t="s">
        <v>12</v>
      </c>
      <c r="C73" s="2">
        <v>38155</v>
      </c>
      <c r="D73">
        <f>YEAR(ProductLine[[#This Row],[Date]])</f>
        <v>2004</v>
      </c>
      <c r="E73">
        <f>MONTH(ProductLine[[#This Row],[Date]])</f>
        <v>6</v>
      </c>
      <c r="F73" t="s">
        <v>25</v>
      </c>
      <c r="G73">
        <v>54</v>
      </c>
      <c r="H73" s="3">
        <v>163.86605406277587</v>
      </c>
      <c r="I73" s="3">
        <f>ProductLine[[#This Row],[Units]]*ProductLine[[#This Row],[Dollars]]</f>
        <v>8848.7669193898964</v>
      </c>
    </row>
    <row r="74" spans="1:9" x14ac:dyDescent="0.35">
      <c r="A74">
        <v>73</v>
      </c>
      <c r="B74" t="s">
        <v>14</v>
      </c>
      <c r="C74" s="2">
        <v>38529</v>
      </c>
      <c r="D74">
        <f>YEAR(ProductLine[[#This Row],[Date]])</f>
        <v>2005</v>
      </c>
      <c r="E74">
        <f>MONTH(ProductLine[[#This Row],[Date]])</f>
        <v>6</v>
      </c>
      <c r="F74" t="s">
        <v>24</v>
      </c>
      <c r="G74">
        <v>33</v>
      </c>
      <c r="H74" s="3">
        <v>101.36706423848841</v>
      </c>
      <c r="I74" s="3">
        <f>ProductLine[[#This Row],[Units]]*ProductLine[[#This Row],[Dollars]]</f>
        <v>3345.1131198701178</v>
      </c>
    </row>
    <row r="75" spans="1:9" x14ac:dyDescent="0.35">
      <c r="A75">
        <v>74</v>
      </c>
      <c r="B75" t="s">
        <v>11</v>
      </c>
      <c r="C75" s="2">
        <v>38089</v>
      </c>
      <c r="D75">
        <f>YEAR(ProductLine[[#This Row],[Date]])</f>
        <v>2004</v>
      </c>
      <c r="E75">
        <f>MONTH(ProductLine[[#This Row],[Date]])</f>
        <v>4</v>
      </c>
      <c r="F75" t="s">
        <v>27</v>
      </c>
      <c r="G75">
        <v>48</v>
      </c>
      <c r="H75" s="3">
        <v>145.83607322448287</v>
      </c>
      <c r="I75" s="3">
        <f>ProductLine[[#This Row],[Units]]*ProductLine[[#This Row],[Dollars]]</f>
        <v>7000.1315147751775</v>
      </c>
    </row>
    <row r="76" spans="1:9" x14ac:dyDescent="0.35">
      <c r="A76">
        <v>75</v>
      </c>
      <c r="B76" t="s">
        <v>16</v>
      </c>
      <c r="C76" s="2">
        <v>38375</v>
      </c>
      <c r="D76">
        <f>YEAR(ProductLine[[#This Row],[Date]])</f>
        <v>2005</v>
      </c>
      <c r="E76">
        <f>MONTH(ProductLine[[#This Row],[Date]])</f>
        <v>1</v>
      </c>
      <c r="F76" t="s">
        <v>26</v>
      </c>
      <c r="G76">
        <v>-7</v>
      </c>
      <c r="H76" s="3">
        <v>-18.531454427544542</v>
      </c>
      <c r="I76" s="3">
        <f>ProductLine[[#This Row],[Units]]*ProductLine[[#This Row],[Dollars]]</f>
        <v>129.72018099281181</v>
      </c>
    </row>
    <row r="77" spans="1:9" x14ac:dyDescent="0.35">
      <c r="A77">
        <v>76</v>
      </c>
      <c r="B77" t="s">
        <v>13</v>
      </c>
      <c r="C77" s="2">
        <v>38782</v>
      </c>
      <c r="D77">
        <f>YEAR(ProductLine[[#This Row],[Date]])</f>
        <v>2006</v>
      </c>
      <c r="E77">
        <f>MONTH(ProductLine[[#This Row],[Date]])</f>
        <v>3</v>
      </c>
      <c r="F77" t="s">
        <v>24</v>
      </c>
      <c r="G77">
        <v>-2</v>
      </c>
      <c r="H77" s="3">
        <v>-3.941491558920891</v>
      </c>
      <c r="I77" s="3">
        <f>ProductLine[[#This Row],[Units]]*ProductLine[[#This Row],[Dollars]]</f>
        <v>7.882983117841782</v>
      </c>
    </row>
    <row r="78" spans="1:9" x14ac:dyDescent="0.35">
      <c r="A78">
        <v>77</v>
      </c>
      <c r="B78" t="s">
        <v>14</v>
      </c>
      <c r="C78" s="2">
        <v>38001</v>
      </c>
      <c r="D78">
        <f>YEAR(ProductLine[[#This Row],[Date]])</f>
        <v>2004</v>
      </c>
      <c r="E78">
        <f>MONTH(ProductLine[[#This Row],[Date]])</f>
        <v>1</v>
      </c>
      <c r="F78" t="s">
        <v>27</v>
      </c>
      <c r="G78">
        <v>27</v>
      </c>
      <c r="H78" s="3">
        <v>83.29090970219859</v>
      </c>
      <c r="I78" s="3">
        <f>ProductLine[[#This Row],[Units]]*ProductLine[[#This Row],[Dollars]]</f>
        <v>2248.8545619593619</v>
      </c>
    </row>
    <row r="79" spans="1:9" x14ac:dyDescent="0.35">
      <c r="A79">
        <v>78</v>
      </c>
      <c r="B79" t="s">
        <v>15</v>
      </c>
      <c r="C79" s="2">
        <v>39068</v>
      </c>
      <c r="D79">
        <f>YEAR(ProductLine[[#This Row],[Date]])</f>
        <v>2006</v>
      </c>
      <c r="E79">
        <f>MONTH(ProductLine[[#This Row],[Date]])</f>
        <v>12</v>
      </c>
      <c r="F79" t="s">
        <v>24</v>
      </c>
      <c r="G79">
        <v>56</v>
      </c>
      <c r="H79" s="3">
        <v>170.23780299763459</v>
      </c>
      <c r="I79" s="3">
        <f>ProductLine[[#This Row],[Units]]*ProductLine[[#This Row],[Dollars]]</f>
        <v>9533.3169678675367</v>
      </c>
    </row>
    <row r="80" spans="1:9" x14ac:dyDescent="0.35">
      <c r="A80">
        <v>79</v>
      </c>
      <c r="B80" t="s">
        <v>14</v>
      </c>
      <c r="C80" s="2">
        <v>38397</v>
      </c>
      <c r="D80">
        <f>YEAR(ProductLine[[#This Row],[Date]])</f>
        <v>2005</v>
      </c>
      <c r="E80">
        <f>MONTH(ProductLine[[#This Row],[Date]])</f>
        <v>2</v>
      </c>
      <c r="F80" t="s">
        <v>27</v>
      </c>
      <c r="G80">
        <v>70</v>
      </c>
      <c r="H80" s="3">
        <v>212.29242314468692</v>
      </c>
      <c r="I80" s="3">
        <f>ProductLine[[#This Row],[Units]]*ProductLine[[#This Row],[Dollars]]</f>
        <v>14860.469620128084</v>
      </c>
    </row>
    <row r="81" spans="1:9" x14ac:dyDescent="0.35">
      <c r="A81">
        <v>80</v>
      </c>
      <c r="B81" t="s">
        <v>16</v>
      </c>
      <c r="C81" s="2">
        <v>38441</v>
      </c>
      <c r="D81">
        <f>YEAR(ProductLine[[#This Row],[Date]])</f>
        <v>2005</v>
      </c>
      <c r="E81">
        <f>MONTH(ProductLine[[#This Row],[Date]])</f>
        <v>3</v>
      </c>
      <c r="F81" t="s">
        <v>27</v>
      </c>
      <c r="G81">
        <v>16</v>
      </c>
      <c r="H81" s="3">
        <v>49.457645878335306</v>
      </c>
      <c r="I81" s="3">
        <f>ProductLine[[#This Row],[Units]]*ProductLine[[#This Row],[Dollars]]</f>
        <v>791.3223340533649</v>
      </c>
    </row>
    <row r="82" spans="1:9" x14ac:dyDescent="0.35">
      <c r="A82">
        <v>81</v>
      </c>
      <c r="B82" t="s">
        <v>16</v>
      </c>
      <c r="C82" s="2">
        <v>38727</v>
      </c>
      <c r="D82">
        <f>YEAR(ProductLine[[#This Row],[Date]])</f>
        <v>2006</v>
      </c>
      <c r="E82">
        <f>MONTH(ProductLine[[#This Row],[Date]])</f>
        <v>1</v>
      </c>
      <c r="F82" t="s">
        <v>23</v>
      </c>
      <c r="G82">
        <v>69</v>
      </c>
      <c r="H82" s="3">
        <v>208.68512958069783</v>
      </c>
      <c r="I82" s="3">
        <f>ProductLine[[#This Row],[Units]]*ProductLine[[#This Row],[Dollars]]</f>
        <v>14399.27394106815</v>
      </c>
    </row>
    <row r="83" spans="1:9" x14ac:dyDescent="0.35">
      <c r="A83">
        <v>82</v>
      </c>
      <c r="B83" t="s">
        <v>13</v>
      </c>
      <c r="C83" s="2">
        <v>38562</v>
      </c>
      <c r="D83">
        <f>YEAR(ProductLine[[#This Row],[Date]])</f>
        <v>2005</v>
      </c>
      <c r="E83">
        <f>MONTH(ProductLine[[#This Row],[Date]])</f>
        <v>7</v>
      </c>
      <c r="F83" t="s">
        <v>24</v>
      </c>
      <c r="G83">
        <v>67</v>
      </c>
      <c r="H83" s="3">
        <v>203.01428430380912</v>
      </c>
      <c r="I83" s="3">
        <f>ProductLine[[#This Row],[Units]]*ProductLine[[#This Row],[Dollars]]</f>
        <v>13601.957048355211</v>
      </c>
    </row>
    <row r="84" spans="1:9" x14ac:dyDescent="0.35">
      <c r="A84">
        <v>83</v>
      </c>
      <c r="B84" t="s">
        <v>17</v>
      </c>
      <c r="C84" s="2">
        <v>38298</v>
      </c>
      <c r="D84">
        <f>YEAR(ProductLine[[#This Row],[Date]])</f>
        <v>2004</v>
      </c>
      <c r="E84">
        <f>MONTH(ProductLine[[#This Row],[Date]])</f>
        <v>11</v>
      </c>
      <c r="F84" t="s">
        <v>24</v>
      </c>
      <c r="G84">
        <v>82</v>
      </c>
      <c r="H84" s="3">
        <v>248.09860782564255</v>
      </c>
      <c r="I84" s="3">
        <f>ProductLine[[#This Row],[Units]]*ProductLine[[#This Row],[Dollars]]</f>
        <v>20344.08584170269</v>
      </c>
    </row>
    <row r="85" spans="1:9" x14ac:dyDescent="0.35">
      <c r="A85">
        <v>84</v>
      </c>
      <c r="B85" t="s">
        <v>11</v>
      </c>
      <c r="C85" s="2">
        <v>38991</v>
      </c>
      <c r="D85">
        <f>YEAR(ProductLine[[#This Row],[Date]])</f>
        <v>2006</v>
      </c>
      <c r="E85">
        <f>MONTH(ProductLine[[#This Row],[Date]])</f>
        <v>10</v>
      </c>
      <c r="F85" t="s">
        <v>26</v>
      </c>
      <c r="G85">
        <v>73</v>
      </c>
      <c r="H85" s="3">
        <v>221.4762294351379</v>
      </c>
      <c r="I85" s="3">
        <f>ProductLine[[#This Row],[Units]]*ProductLine[[#This Row],[Dollars]]</f>
        <v>16167.764748765067</v>
      </c>
    </row>
    <row r="86" spans="1:9" x14ac:dyDescent="0.35">
      <c r="A86">
        <v>85</v>
      </c>
      <c r="B86" t="s">
        <v>17</v>
      </c>
      <c r="C86" s="2">
        <v>38034</v>
      </c>
      <c r="D86">
        <f>YEAR(ProductLine[[#This Row],[Date]])</f>
        <v>2004</v>
      </c>
      <c r="E86">
        <f>MONTH(ProductLine[[#This Row],[Date]])</f>
        <v>2</v>
      </c>
      <c r="F86" t="s">
        <v>24</v>
      </c>
      <c r="G86">
        <v>80</v>
      </c>
      <c r="H86" s="3">
        <v>241.26239073863908</v>
      </c>
      <c r="I86" s="3">
        <f>ProductLine[[#This Row],[Units]]*ProductLine[[#This Row],[Dollars]]</f>
        <v>19300.991259091126</v>
      </c>
    </row>
    <row r="87" spans="1:9" x14ac:dyDescent="0.35">
      <c r="A87">
        <v>86</v>
      </c>
      <c r="B87" t="s">
        <v>16</v>
      </c>
      <c r="C87" s="2">
        <v>38573</v>
      </c>
      <c r="D87">
        <f>YEAR(ProductLine[[#This Row],[Date]])</f>
        <v>2005</v>
      </c>
      <c r="E87">
        <f>MONTH(ProductLine[[#This Row],[Date]])</f>
        <v>8</v>
      </c>
      <c r="F87" t="s">
        <v>26</v>
      </c>
      <c r="G87">
        <v>-2</v>
      </c>
      <c r="H87" s="3">
        <v>-4.2379405606125751</v>
      </c>
      <c r="I87" s="3">
        <f>ProductLine[[#This Row],[Units]]*ProductLine[[#This Row],[Dollars]]</f>
        <v>8.4758811212251501</v>
      </c>
    </row>
    <row r="88" spans="1:9" x14ac:dyDescent="0.35">
      <c r="A88">
        <v>87</v>
      </c>
      <c r="B88" t="s">
        <v>15</v>
      </c>
      <c r="C88" s="2">
        <v>38595</v>
      </c>
      <c r="D88">
        <f>YEAR(ProductLine[[#This Row],[Date]])</f>
        <v>2005</v>
      </c>
      <c r="E88">
        <f>MONTH(ProductLine[[#This Row],[Date]])</f>
        <v>8</v>
      </c>
      <c r="F88" t="s">
        <v>26</v>
      </c>
      <c r="G88">
        <v>5</v>
      </c>
      <c r="H88" s="3">
        <v>17.026058044096466</v>
      </c>
      <c r="I88" s="3">
        <f>ProductLine[[#This Row],[Units]]*ProductLine[[#This Row],[Dollars]]</f>
        <v>85.130290220482323</v>
      </c>
    </row>
    <row r="89" spans="1:9" x14ac:dyDescent="0.35">
      <c r="A89">
        <v>88</v>
      </c>
      <c r="B89" t="s">
        <v>12</v>
      </c>
      <c r="C89" s="2">
        <v>38705</v>
      </c>
      <c r="D89">
        <f>YEAR(ProductLine[[#This Row],[Date]])</f>
        <v>2005</v>
      </c>
      <c r="E89">
        <f>MONTH(ProductLine[[#This Row],[Date]])</f>
        <v>12</v>
      </c>
      <c r="F89" t="s">
        <v>26</v>
      </c>
      <c r="G89">
        <v>26</v>
      </c>
      <c r="H89" s="3">
        <v>80.296764498097943</v>
      </c>
      <c r="I89" s="3">
        <f>ProductLine[[#This Row],[Units]]*ProductLine[[#This Row],[Dollars]]</f>
        <v>2087.7158769505463</v>
      </c>
    </row>
    <row r="90" spans="1:9" x14ac:dyDescent="0.35">
      <c r="A90">
        <v>89</v>
      </c>
      <c r="B90" t="s">
        <v>17</v>
      </c>
      <c r="C90" s="2">
        <v>38430</v>
      </c>
      <c r="D90">
        <f>YEAR(ProductLine[[#This Row],[Date]])</f>
        <v>2005</v>
      </c>
      <c r="E90">
        <f>MONTH(ProductLine[[#This Row],[Date]])</f>
        <v>3</v>
      </c>
      <c r="F90" t="s">
        <v>24</v>
      </c>
      <c r="G90">
        <v>1</v>
      </c>
      <c r="H90" s="3">
        <v>5.0101440126936883</v>
      </c>
      <c r="I90" s="3">
        <f>ProductLine[[#This Row],[Units]]*ProductLine[[#This Row],[Dollars]]</f>
        <v>5.0101440126936883</v>
      </c>
    </row>
    <row r="91" spans="1:9" x14ac:dyDescent="0.35">
      <c r="A91">
        <v>90</v>
      </c>
      <c r="B91" t="s">
        <v>17</v>
      </c>
      <c r="C91" s="2">
        <v>38881</v>
      </c>
      <c r="D91">
        <f>YEAR(ProductLine[[#This Row],[Date]])</f>
        <v>2006</v>
      </c>
      <c r="E91">
        <f>MONTH(ProductLine[[#This Row],[Date]])</f>
        <v>6</v>
      </c>
      <c r="F91" t="s">
        <v>25</v>
      </c>
      <c r="G91">
        <v>-3</v>
      </c>
      <c r="H91" s="3">
        <v>-7.6150918857367635</v>
      </c>
      <c r="I91" s="3">
        <f>ProductLine[[#This Row],[Units]]*ProductLine[[#This Row],[Dollars]]</f>
        <v>22.845275657210291</v>
      </c>
    </row>
    <row r="92" spans="1:9" x14ac:dyDescent="0.35">
      <c r="A92">
        <v>91</v>
      </c>
      <c r="B92" t="s">
        <v>9</v>
      </c>
      <c r="C92" s="2">
        <v>38947</v>
      </c>
      <c r="D92">
        <f>YEAR(ProductLine[[#This Row],[Date]])</f>
        <v>2006</v>
      </c>
      <c r="E92">
        <f>MONTH(ProductLine[[#This Row],[Date]])</f>
        <v>8</v>
      </c>
      <c r="F92" t="s">
        <v>26</v>
      </c>
      <c r="G92">
        <v>83</v>
      </c>
      <c r="H92" s="3">
        <v>251.18350564763173</v>
      </c>
      <c r="I92" s="3">
        <f>ProductLine[[#This Row],[Units]]*ProductLine[[#This Row],[Dollars]]</f>
        <v>20848.230968753433</v>
      </c>
    </row>
    <row r="93" spans="1:9" x14ac:dyDescent="0.35">
      <c r="A93">
        <v>92</v>
      </c>
      <c r="B93" t="s">
        <v>16</v>
      </c>
      <c r="C93" s="2">
        <v>38133</v>
      </c>
      <c r="D93">
        <f>YEAR(ProductLine[[#This Row],[Date]])</f>
        <v>2004</v>
      </c>
      <c r="E93">
        <f>MONTH(ProductLine[[#This Row],[Date]])</f>
        <v>5</v>
      </c>
      <c r="F93" t="s">
        <v>27</v>
      </c>
      <c r="G93">
        <v>33</v>
      </c>
      <c r="H93" s="3">
        <v>100.32795234701418</v>
      </c>
      <c r="I93" s="3">
        <f>ProductLine[[#This Row],[Units]]*ProductLine[[#This Row],[Dollars]]</f>
        <v>3310.8224274514678</v>
      </c>
    </row>
    <row r="94" spans="1:9" x14ac:dyDescent="0.35">
      <c r="A94">
        <v>93</v>
      </c>
      <c r="B94" t="s">
        <v>12</v>
      </c>
      <c r="C94" s="2">
        <v>38089</v>
      </c>
      <c r="D94">
        <f>YEAR(ProductLine[[#This Row],[Date]])</f>
        <v>2004</v>
      </c>
      <c r="E94">
        <f>MONTH(ProductLine[[#This Row],[Date]])</f>
        <v>4</v>
      </c>
      <c r="F94" t="s">
        <v>24</v>
      </c>
      <c r="G94">
        <v>62</v>
      </c>
      <c r="H94" s="3">
        <v>188.06461550204614</v>
      </c>
      <c r="I94" s="3">
        <f>ProductLine[[#This Row],[Units]]*ProductLine[[#This Row],[Dollars]]</f>
        <v>11660.006161126861</v>
      </c>
    </row>
    <row r="95" spans="1:9" x14ac:dyDescent="0.35">
      <c r="A95">
        <v>94</v>
      </c>
      <c r="B95" t="s">
        <v>13</v>
      </c>
      <c r="C95" s="2">
        <v>38848</v>
      </c>
      <c r="D95">
        <f>YEAR(ProductLine[[#This Row],[Date]])</f>
        <v>2006</v>
      </c>
      <c r="E95">
        <f>MONTH(ProductLine[[#This Row],[Date]])</f>
        <v>5</v>
      </c>
      <c r="F95" t="s">
        <v>26</v>
      </c>
      <c r="G95">
        <v>58</v>
      </c>
      <c r="H95" s="3">
        <v>176.47069512712616</v>
      </c>
      <c r="I95" s="3">
        <f>ProductLine[[#This Row],[Units]]*ProductLine[[#This Row],[Dollars]]</f>
        <v>10235.300317373318</v>
      </c>
    </row>
    <row r="96" spans="1:9" x14ac:dyDescent="0.35">
      <c r="A96">
        <v>95</v>
      </c>
      <c r="B96" t="s">
        <v>15</v>
      </c>
      <c r="C96" s="2">
        <v>38584</v>
      </c>
      <c r="D96">
        <f>YEAR(ProductLine[[#This Row],[Date]])</f>
        <v>2005</v>
      </c>
      <c r="E96">
        <f>MONTH(ProductLine[[#This Row],[Date]])</f>
        <v>8</v>
      </c>
      <c r="F96" t="s">
        <v>24</v>
      </c>
      <c r="G96">
        <v>28</v>
      </c>
      <c r="H96" s="3">
        <v>85.544260264222203</v>
      </c>
      <c r="I96" s="3">
        <f>ProductLine[[#This Row],[Units]]*ProductLine[[#This Row],[Dollars]]</f>
        <v>2395.2392873982217</v>
      </c>
    </row>
    <row r="97" spans="1:9" x14ac:dyDescent="0.35">
      <c r="A97">
        <v>96</v>
      </c>
      <c r="B97" t="s">
        <v>16</v>
      </c>
      <c r="C97" s="2">
        <v>39068</v>
      </c>
      <c r="D97">
        <f>YEAR(ProductLine[[#This Row],[Date]])</f>
        <v>2006</v>
      </c>
      <c r="E97">
        <f>MONTH(ProductLine[[#This Row],[Date]])</f>
        <v>12</v>
      </c>
      <c r="F97" t="s">
        <v>23</v>
      </c>
      <c r="G97">
        <v>33</v>
      </c>
      <c r="H97" s="3">
        <v>100.68612237181482</v>
      </c>
      <c r="I97" s="3">
        <f>ProductLine[[#This Row],[Units]]*ProductLine[[#This Row],[Dollars]]</f>
        <v>3322.6420382698889</v>
      </c>
    </row>
    <row r="98" spans="1:9" x14ac:dyDescent="0.35">
      <c r="A98">
        <v>97</v>
      </c>
      <c r="B98" t="s">
        <v>14</v>
      </c>
      <c r="C98" s="2">
        <v>39046</v>
      </c>
      <c r="D98">
        <f>YEAR(ProductLine[[#This Row],[Date]])</f>
        <v>2006</v>
      </c>
      <c r="E98">
        <f>MONTH(ProductLine[[#This Row],[Date]])</f>
        <v>11</v>
      </c>
      <c r="F98" t="s">
        <v>24</v>
      </c>
      <c r="G98">
        <v>92</v>
      </c>
      <c r="H98" s="3">
        <v>278.15933854048899</v>
      </c>
      <c r="I98" s="3">
        <f>ProductLine[[#This Row],[Units]]*ProductLine[[#This Row],[Dollars]]</f>
        <v>25590.659145724989</v>
      </c>
    </row>
    <row r="99" spans="1:9" x14ac:dyDescent="0.35">
      <c r="A99">
        <v>98</v>
      </c>
      <c r="B99" t="s">
        <v>16</v>
      </c>
      <c r="C99" s="2">
        <v>38089</v>
      </c>
      <c r="D99">
        <f>YEAR(ProductLine[[#This Row],[Date]])</f>
        <v>2004</v>
      </c>
      <c r="E99">
        <f>MONTH(ProductLine[[#This Row],[Date]])</f>
        <v>4</v>
      </c>
      <c r="F99" t="s">
        <v>23</v>
      </c>
      <c r="G99">
        <v>92</v>
      </c>
      <c r="H99" s="3">
        <v>277.53974563422275</v>
      </c>
      <c r="I99" s="3">
        <f>ProductLine[[#This Row],[Units]]*ProductLine[[#This Row],[Dollars]]</f>
        <v>25533.656598348494</v>
      </c>
    </row>
    <row r="100" spans="1:9" x14ac:dyDescent="0.35">
      <c r="A100">
        <v>99</v>
      </c>
      <c r="B100" t="s">
        <v>13</v>
      </c>
      <c r="C100" s="2">
        <v>38738</v>
      </c>
      <c r="D100">
        <f>YEAR(ProductLine[[#This Row],[Date]])</f>
        <v>2006</v>
      </c>
      <c r="E100">
        <f>MONTH(ProductLine[[#This Row],[Date]])</f>
        <v>1</v>
      </c>
      <c r="F100" t="s">
        <v>23</v>
      </c>
      <c r="G100">
        <v>75</v>
      </c>
      <c r="H100" s="3">
        <v>226.73977333901354</v>
      </c>
      <c r="I100" s="3">
        <f>ProductLine[[#This Row],[Units]]*ProductLine[[#This Row],[Dollars]]</f>
        <v>17005.483000426015</v>
      </c>
    </row>
    <row r="101" spans="1:9" x14ac:dyDescent="0.35">
      <c r="A101">
        <v>100</v>
      </c>
      <c r="B101" t="s">
        <v>9</v>
      </c>
      <c r="C101" s="2">
        <v>38628</v>
      </c>
      <c r="D101">
        <f>YEAR(ProductLine[[#This Row],[Date]])</f>
        <v>2005</v>
      </c>
      <c r="E101">
        <f>MONTH(ProductLine[[#This Row],[Date]])</f>
        <v>10</v>
      </c>
      <c r="F101" t="s">
        <v>26</v>
      </c>
      <c r="G101">
        <v>74</v>
      </c>
      <c r="H101" s="3">
        <v>224.23346975523705</v>
      </c>
      <c r="I101" s="3">
        <f>ProductLine[[#This Row],[Units]]*ProductLine[[#This Row],[Dollars]]</f>
        <v>16593.27676188754</v>
      </c>
    </row>
    <row r="102" spans="1:9" x14ac:dyDescent="0.35">
      <c r="A102">
        <v>101</v>
      </c>
      <c r="B102" t="s">
        <v>12</v>
      </c>
      <c r="C102" s="2">
        <v>38001</v>
      </c>
      <c r="D102">
        <f>YEAR(ProductLine[[#This Row],[Date]])</f>
        <v>2004</v>
      </c>
      <c r="E102">
        <f>MONTH(ProductLine[[#This Row],[Date]])</f>
        <v>1</v>
      </c>
      <c r="F102" t="s">
        <v>24</v>
      </c>
      <c r="G102">
        <v>67</v>
      </c>
      <c r="H102" s="3">
        <v>202.45009266432331</v>
      </c>
      <c r="I102" s="3">
        <f>ProductLine[[#This Row],[Units]]*ProductLine[[#This Row],[Dollars]]</f>
        <v>13564.156208509661</v>
      </c>
    </row>
    <row r="103" spans="1:9" x14ac:dyDescent="0.35">
      <c r="A103">
        <v>102</v>
      </c>
      <c r="B103" t="s">
        <v>14</v>
      </c>
      <c r="C103" s="2">
        <v>38210</v>
      </c>
      <c r="D103">
        <f>YEAR(ProductLine[[#This Row],[Date]])</f>
        <v>2004</v>
      </c>
      <c r="E103">
        <f>MONTH(ProductLine[[#This Row],[Date]])</f>
        <v>8</v>
      </c>
      <c r="F103" t="s">
        <v>24</v>
      </c>
      <c r="G103">
        <v>16</v>
      </c>
      <c r="H103" s="3">
        <v>49.450018506623742</v>
      </c>
      <c r="I103" s="3">
        <f>ProductLine[[#This Row],[Units]]*ProductLine[[#This Row],[Dollars]]</f>
        <v>791.20029610597987</v>
      </c>
    </row>
    <row r="104" spans="1:9" x14ac:dyDescent="0.35">
      <c r="A104">
        <v>103</v>
      </c>
      <c r="B104" t="s">
        <v>10</v>
      </c>
      <c r="C104" s="2">
        <v>38485</v>
      </c>
      <c r="D104">
        <f>YEAR(ProductLine[[#This Row],[Date]])</f>
        <v>2005</v>
      </c>
      <c r="E104">
        <f>MONTH(ProductLine[[#This Row],[Date]])</f>
        <v>5</v>
      </c>
      <c r="F104" t="s">
        <v>24</v>
      </c>
      <c r="G104">
        <v>90</v>
      </c>
      <c r="H104" s="3">
        <v>272.33991590998778</v>
      </c>
      <c r="I104" s="3">
        <f>ProductLine[[#This Row],[Units]]*ProductLine[[#This Row],[Dollars]]</f>
        <v>24510.592431898902</v>
      </c>
    </row>
    <row r="105" spans="1:9" x14ac:dyDescent="0.35">
      <c r="A105">
        <v>104</v>
      </c>
      <c r="B105" t="s">
        <v>16</v>
      </c>
      <c r="C105" s="2">
        <v>38793</v>
      </c>
      <c r="D105">
        <f>YEAR(ProductLine[[#This Row],[Date]])</f>
        <v>2006</v>
      </c>
      <c r="E105">
        <f>MONTH(ProductLine[[#This Row],[Date]])</f>
        <v>3</v>
      </c>
      <c r="F105" t="s">
        <v>25</v>
      </c>
      <c r="G105">
        <v>-8</v>
      </c>
      <c r="H105" s="3">
        <v>-22.10755433572842</v>
      </c>
      <c r="I105" s="3">
        <f>ProductLine[[#This Row],[Units]]*ProductLine[[#This Row],[Dollars]]</f>
        <v>176.86043468582736</v>
      </c>
    </row>
    <row r="106" spans="1:9" x14ac:dyDescent="0.35">
      <c r="A106">
        <v>105</v>
      </c>
      <c r="B106" t="s">
        <v>14</v>
      </c>
      <c r="C106" s="2">
        <v>38243</v>
      </c>
      <c r="D106">
        <f>YEAR(ProductLine[[#This Row],[Date]])</f>
        <v>2004</v>
      </c>
      <c r="E106">
        <f>MONTH(ProductLine[[#This Row],[Date]])</f>
        <v>9</v>
      </c>
      <c r="F106" t="s">
        <v>25</v>
      </c>
      <c r="G106">
        <v>51</v>
      </c>
      <c r="H106" s="3">
        <v>155.29818889700317</v>
      </c>
      <c r="I106" s="3">
        <f>ProductLine[[#This Row],[Units]]*ProductLine[[#This Row],[Dollars]]</f>
        <v>7920.2076337471617</v>
      </c>
    </row>
    <row r="107" spans="1:9" x14ac:dyDescent="0.35">
      <c r="A107">
        <v>106</v>
      </c>
      <c r="B107" t="s">
        <v>16</v>
      </c>
      <c r="C107" s="2">
        <v>38441</v>
      </c>
      <c r="D107">
        <f>YEAR(ProductLine[[#This Row],[Date]])</f>
        <v>2005</v>
      </c>
      <c r="E107">
        <f>MONTH(ProductLine[[#This Row],[Date]])</f>
        <v>3</v>
      </c>
      <c r="F107" t="s">
        <v>24</v>
      </c>
      <c r="G107">
        <v>-7</v>
      </c>
      <c r="H107" s="3">
        <v>-19.532896832828285</v>
      </c>
      <c r="I107" s="3">
        <f>ProductLine[[#This Row],[Units]]*ProductLine[[#This Row],[Dollars]]</f>
        <v>136.73027782979801</v>
      </c>
    </row>
    <row r="108" spans="1:9" x14ac:dyDescent="0.35">
      <c r="A108">
        <v>107</v>
      </c>
      <c r="B108" t="s">
        <v>15</v>
      </c>
      <c r="C108" s="2">
        <v>38067</v>
      </c>
      <c r="D108">
        <f>YEAR(ProductLine[[#This Row],[Date]])</f>
        <v>2004</v>
      </c>
      <c r="E108">
        <f>MONTH(ProductLine[[#This Row],[Date]])</f>
        <v>3</v>
      </c>
      <c r="F108" t="s">
        <v>23</v>
      </c>
      <c r="G108">
        <v>9</v>
      </c>
      <c r="H108" s="3">
        <v>29.277821643264524</v>
      </c>
      <c r="I108" s="3">
        <f>ProductLine[[#This Row],[Units]]*ProductLine[[#This Row],[Dollars]]</f>
        <v>263.50039478938072</v>
      </c>
    </row>
    <row r="109" spans="1:9" x14ac:dyDescent="0.35">
      <c r="A109">
        <v>108</v>
      </c>
      <c r="B109" t="s">
        <v>17</v>
      </c>
      <c r="C109" s="2">
        <v>38595</v>
      </c>
      <c r="D109">
        <f>YEAR(ProductLine[[#This Row],[Date]])</f>
        <v>2005</v>
      </c>
      <c r="E109">
        <f>MONTH(ProductLine[[#This Row],[Date]])</f>
        <v>8</v>
      </c>
      <c r="F109" t="s">
        <v>23</v>
      </c>
      <c r="G109">
        <v>-10</v>
      </c>
      <c r="H109" s="3">
        <v>-28.406748282006184</v>
      </c>
      <c r="I109" s="3">
        <f>ProductLine[[#This Row],[Units]]*ProductLine[[#This Row],[Dollars]]</f>
        <v>284.06748282006185</v>
      </c>
    </row>
    <row r="110" spans="1:9" x14ac:dyDescent="0.35">
      <c r="A110">
        <v>109</v>
      </c>
      <c r="B110" t="s">
        <v>11</v>
      </c>
      <c r="C110" s="2">
        <v>38914</v>
      </c>
      <c r="D110">
        <f>YEAR(ProductLine[[#This Row],[Date]])</f>
        <v>2006</v>
      </c>
      <c r="E110">
        <f>MONTH(ProductLine[[#This Row],[Date]])</f>
        <v>7</v>
      </c>
      <c r="F110" t="s">
        <v>24</v>
      </c>
      <c r="G110">
        <v>10</v>
      </c>
      <c r="H110" s="3">
        <v>32.113204788074981</v>
      </c>
      <c r="I110" s="3">
        <f>ProductLine[[#This Row],[Units]]*ProductLine[[#This Row],[Dollars]]</f>
        <v>321.13204788074984</v>
      </c>
    </row>
    <row r="111" spans="1:9" x14ac:dyDescent="0.35">
      <c r="A111">
        <v>110</v>
      </c>
      <c r="B111" t="s">
        <v>11</v>
      </c>
      <c r="C111" s="2">
        <v>38419</v>
      </c>
      <c r="D111">
        <f>YEAR(ProductLine[[#This Row],[Date]])</f>
        <v>2005</v>
      </c>
      <c r="E111">
        <f>MONTH(ProductLine[[#This Row],[Date]])</f>
        <v>3</v>
      </c>
      <c r="F111" t="s">
        <v>27</v>
      </c>
      <c r="G111">
        <v>35</v>
      </c>
      <c r="H111" s="3">
        <v>107.58710427119863</v>
      </c>
      <c r="I111" s="3">
        <f>ProductLine[[#This Row],[Units]]*ProductLine[[#This Row],[Dollars]]</f>
        <v>3765.5486494919519</v>
      </c>
    </row>
    <row r="112" spans="1:9" x14ac:dyDescent="0.35">
      <c r="A112">
        <v>111</v>
      </c>
      <c r="B112" t="s">
        <v>17</v>
      </c>
      <c r="C112" s="2">
        <v>38265</v>
      </c>
      <c r="D112">
        <f>YEAR(ProductLine[[#This Row],[Date]])</f>
        <v>2004</v>
      </c>
      <c r="E112">
        <f>MONTH(ProductLine[[#This Row],[Date]])</f>
        <v>10</v>
      </c>
      <c r="F112" t="s">
        <v>27</v>
      </c>
      <c r="G112">
        <v>81</v>
      </c>
      <c r="H112" s="3">
        <v>244.46099351680689</v>
      </c>
      <c r="I112" s="3">
        <f>ProductLine[[#This Row],[Units]]*ProductLine[[#This Row],[Dollars]]</f>
        <v>19801.340474861358</v>
      </c>
    </row>
    <row r="113" spans="1:9" x14ac:dyDescent="0.35">
      <c r="A113">
        <v>112</v>
      </c>
      <c r="B113" t="s">
        <v>17</v>
      </c>
      <c r="C113" s="2">
        <v>38309</v>
      </c>
      <c r="D113">
        <f>YEAR(ProductLine[[#This Row],[Date]])</f>
        <v>2004</v>
      </c>
      <c r="E113">
        <f>MONTH(ProductLine[[#This Row],[Date]])</f>
        <v>11</v>
      </c>
      <c r="F113" t="s">
        <v>27</v>
      </c>
      <c r="G113">
        <v>38</v>
      </c>
      <c r="H113" s="3">
        <v>115.86487308982943</v>
      </c>
      <c r="I113" s="3">
        <f>ProductLine[[#This Row],[Units]]*ProductLine[[#This Row],[Dollars]]</f>
        <v>4402.8651774135187</v>
      </c>
    </row>
    <row r="114" spans="1:9" x14ac:dyDescent="0.35">
      <c r="A114">
        <v>113</v>
      </c>
      <c r="B114" t="s">
        <v>15</v>
      </c>
      <c r="C114" s="2">
        <v>39057</v>
      </c>
      <c r="D114">
        <f>YEAR(ProductLine[[#This Row],[Date]])</f>
        <v>2006</v>
      </c>
      <c r="E114">
        <f>MONTH(ProductLine[[#This Row],[Date]])</f>
        <v>12</v>
      </c>
      <c r="F114" t="s">
        <v>27</v>
      </c>
      <c r="G114">
        <v>26</v>
      </c>
      <c r="H114" s="3">
        <v>80.488645084091601</v>
      </c>
      <c r="I114" s="3">
        <f>ProductLine[[#This Row],[Units]]*ProductLine[[#This Row],[Dollars]]</f>
        <v>2092.7047721863814</v>
      </c>
    </row>
    <row r="115" spans="1:9" x14ac:dyDescent="0.35">
      <c r="A115">
        <v>114</v>
      </c>
      <c r="B115" t="s">
        <v>9</v>
      </c>
      <c r="C115" s="2">
        <v>38617</v>
      </c>
      <c r="D115">
        <f>YEAR(ProductLine[[#This Row],[Date]])</f>
        <v>2005</v>
      </c>
      <c r="E115">
        <f>MONTH(ProductLine[[#This Row],[Date]])</f>
        <v>9</v>
      </c>
      <c r="F115" t="s">
        <v>25</v>
      </c>
      <c r="G115">
        <v>77</v>
      </c>
      <c r="H115" s="3">
        <v>233.33103169462888</v>
      </c>
      <c r="I115" s="3">
        <f>ProductLine[[#This Row],[Units]]*ProductLine[[#This Row],[Dollars]]</f>
        <v>17966.489440486424</v>
      </c>
    </row>
    <row r="116" spans="1:9" x14ac:dyDescent="0.35">
      <c r="A116">
        <v>115</v>
      </c>
      <c r="B116" t="s">
        <v>15</v>
      </c>
      <c r="C116" s="2">
        <v>38738</v>
      </c>
      <c r="D116">
        <f>YEAR(ProductLine[[#This Row],[Date]])</f>
        <v>2006</v>
      </c>
      <c r="E116">
        <f>MONTH(ProductLine[[#This Row],[Date]])</f>
        <v>1</v>
      </c>
      <c r="F116" t="s">
        <v>24</v>
      </c>
      <c r="G116">
        <v>39</v>
      </c>
      <c r="H116" s="3">
        <v>118.62706142640471</v>
      </c>
      <c r="I116" s="3">
        <f>ProductLine[[#This Row],[Units]]*ProductLine[[#This Row],[Dollars]]</f>
        <v>4626.4553956297832</v>
      </c>
    </row>
    <row r="117" spans="1:9" x14ac:dyDescent="0.35">
      <c r="A117">
        <v>116</v>
      </c>
      <c r="B117" t="s">
        <v>12</v>
      </c>
      <c r="C117" s="2">
        <v>38892</v>
      </c>
      <c r="D117">
        <f>YEAR(ProductLine[[#This Row],[Date]])</f>
        <v>2006</v>
      </c>
      <c r="E117">
        <f>MONTH(ProductLine[[#This Row],[Date]])</f>
        <v>6</v>
      </c>
      <c r="F117" t="s">
        <v>26</v>
      </c>
      <c r="G117">
        <v>22</v>
      </c>
      <c r="H117" s="3">
        <v>68.07066358826728</v>
      </c>
      <c r="I117" s="3">
        <f>ProductLine[[#This Row],[Units]]*ProductLine[[#This Row],[Dollars]]</f>
        <v>1497.5545989418802</v>
      </c>
    </row>
    <row r="118" spans="1:9" x14ac:dyDescent="0.35">
      <c r="A118">
        <v>117</v>
      </c>
      <c r="B118" t="s">
        <v>12</v>
      </c>
      <c r="C118" s="2">
        <v>38870</v>
      </c>
      <c r="D118">
        <f>YEAR(ProductLine[[#This Row],[Date]])</f>
        <v>2006</v>
      </c>
      <c r="E118">
        <f>MONTH(ProductLine[[#This Row],[Date]])</f>
        <v>6</v>
      </c>
      <c r="F118" t="s">
        <v>24</v>
      </c>
      <c r="G118">
        <v>68</v>
      </c>
      <c r="H118" s="3">
        <v>205.76676002797973</v>
      </c>
      <c r="I118" s="3">
        <f>ProductLine[[#This Row],[Units]]*ProductLine[[#This Row],[Dollars]]</f>
        <v>13992.139681902621</v>
      </c>
    </row>
    <row r="119" spans="1:9" x14ac:dyDescent="0.35">
      <c r="A119">
        <v>118</v>
      </c>
      <c r="B119" t="s">
        <v>17</v>
      </c>
      <c r="C119" s="2">
        <v>38496</v>
      </c>
      <c r="D119">
        <f>YEAR(ProductLine[[#This Row],[Date]])</f>
        <v>2005</v>
      </c>
      <c r="E119">
        <f>MONTH(ProductLine[[#This Row],[Date]])</f>
        <v>5</v>
      </c>
      <c r="F119" t="s">
        <v>24</v>
      </c>
      <c r="G119">
        <v>59</v>
      </c>
      <c r="H119" s="3">
        <v>178.71308198822226</v>
      </c>
      <c r="I119" s="3">
        <f>ProductLine[[#This Row],[Units]]*ProductLine[[#This Row],[Dollars]]</f>
        <v>10544.071837305113</v>
      </c>
    </row>
    <row r="120" spans="1:9" x14ac:dyDescent="0.35">
      <c r="A120">
        <v>119</v>
      </c>
      <c r="B120" t="s">
        <v>13</v>
      </c>
      <c r="C120" s="2">
        <v>38859</v>
      </c>
      <c r="D120">
        <f>YEAR(ProductLine[[#This Row],[Date]])</f>
        <v>2006</v>
      </c>
      <c r="E120">
        <f>MONTH(ProductLine[[#This Row],[Date]])</f>
        <v>5</v>
      </c>
      <c r="F120" t="s">
        <v>26</v>
      </c>
      <c r="G120">
        <v>20</v>
      </c>
      <c r="H120" s="3">
        <v>62.366566165716954</v>
      </c>
      <c r="I120" s="3">
        <f>ProductLine[[#This Row],[Units]]*ProductLine[[#This Row],[Dollars]]</f>
        <v>1247.331323314339</v>
      </c>
    </row>
    <row r="121" spans="1:9" x14ac:dyDescent="0.35">
      <c r="A121">
        <v>120</v>
      </c>
      <c r="B121" t="s">
        <v>10</v>
      </c>
      <c r="C121" s="2">
        <v>38650</v>
      </c>
      <c r="D121">
        <f>YEAR(ProductLine[[#This Row],[Date]])</f>
        <v>2005</v>
      </c>
      <c r="E121">
        <f>MONTH(ProductLine[[#This Row],[Date]])</f>
        <v>10</v>
      </c>
      <c r="F121" t="s">
        <v>27</v>
      </c>
      <c r="G121">
        <v>61</v>
      </c>
      <c r="H121" s="3">
        <v>184.56247310465258</v>
      </c>
      <c r="I121" s="3">
        <f>ProductLine[[#This Row],[Units]]*ProductLine[[#This Row],[Dollars]]</f>
        <v>11258.310859383808</v>
      </c>
    </row>
    <row r="122" spans="1:9" x14ac:dyDescent="0.35">
      <c r="A122">
        <v>121</v>
      </c>
      <c r="B122" t="s">
        <v>12</v>
      </c>
      <c r="C122" s="2">
        <v>38782</v>
      </c>
      <c r="D122">
        <f>YEAR(ProductLine[[#This Row],[Date]])</f>
        <v>2006</v>
      </c>
      <c r="E122">
        <f>MONTH(ProductLine[[#This Row],[Date]])</f>
        <v>3</v>
      </c>
      <c r="F122" t="s">
        <v>24</v>
      </c>
      <c r="G122">
        <v>30</v>
      </c>
      <c r="H122" s="3">
        <v>92.434422469644105</v>
      </c>
      <c r="I122" s="3">
        <f>ProductLine[[#This Row],[Units]]*ProductLine[[#This Row],[Dollars]]</f>
        <v>2773.0326740893233</v>
      </c>
    </row>
    <row r="123" spans="1:9" x14ac:dyDescent="0.35">
      <c r="A123">
        <v>122</v>
      </c>
      <c r="B123" t="s">
        <v>16</v>
      </c>
      <c r="C123" s="2">
        <v>38925</v>
      </c>
      <c r="D123">
        <f>YEAR(ProductLine[[#This Row],[Date]])</f>
        <v>2006</v>
      </c>
      <c r="E123">
        <f>MONTH(ProductLine[[#This Row],[Date]])</f>
        <v>7</v>
      </c>
      <c r="F123" t="s">
        <v>27</v>
      </c>
      <c r="G123">
        <v>10</v>
      </c>
      <c r="H123" s="3">
        <v>32.298727574185413</v>
      </c>
      <c r="I123" s="3">
        <f>ProductLine[[#This Row],[Units]]*ProductLine[[#This Row],[Dollars]]</f>
        <v>322.98727574185415</v>
      </c>
    </row>
    <row r="124" spans="1:9" x14ac:dyDescent="0.35">
      <c r="A124">
        <v>123</v>
      </c>
      <c r="B124" t="s">
        <v>12</v>
      </c>
      <c r="C124" s="2">
        <v>38837</v>
      </c>
      <c r="D124">
        <f>YEAR(ProductLine[[#This Row],[Date]])</f>
        <v>2006</v>
      </c>
      <c r="E124">
        <f>MONTH(ProductLine[[#This Row],[Date]])</f>
        <v>4</v>
      </c>
      <c r="F124" t="s">
        <v>26</v>
      </c>
      <c r="G124">
        <v>72</v>
      </c>
      <c r="H124" s="3">
        <v>217.45289850686984</v>
      </c>
      <c r="I124" s="3">
        <f>ProductLine[[#This Row],[Units]]*ProductLine[[#This Row],[Dollars]]</f>
        <v>15656.608692494628</v>
      </c>
    </row>
    <row r="125" spans="1:9" x14ac:dyDescent="0.35">
      <c r="A125">
        <v>124</v>
      </c>
      <c r="B125" t="s">
        <v>11</v>
      </c>
      <c r="C125" s="2">
        <v>38727</v>
      </c>
      <c r="D125">
        <f>YEAR(ProductLine[[#This Row],[Date]])</f>
        <v>2006</v>
      </c>
      <c r="E125">
        <f>MONTH(ProductLine[[#This Row],[Date]])</f>
        <v>1</v>
      </c>
      <c r="F125" t="s">
        <v>26</v>
      </c>
      <c r="G125">
        <v>57</v>
      </c>
      <c r="H125" s="3">
        <v>173.36376703616165</v>
      </c>
      <c r="I125" s="3">
        <f>ProductLine[[#This Row],[Units]]*ProductLine[[#This Row],[Dollars]]</f>
        <v>9881.7347210612133</v>
      </c>
    </row>
    <row r="126" spans="1:9" x14ac:dyDescent="0.35">
      <c r="A126">
        <v>125</v>
      </c>
      <c r="B126" t="s">
        <v>10</v>
      </c>
      <c r="C126" s="2">
        <v>38672</v>
      </c>
      <c r="D126">
        <f>YEAR(ProductLine[[#This Row],[Date]])</f>
        <v>2005</v>
      </c>
      <c r="E126">
        <f>MONTH(ProductLine[[#This Row],[Date]])</f>
        <v>11</v>
      </c>
      <c r="F126" t="s">
        <v>23</v>
      </c>
      <c r="G126">
        <v>41</v>
      </c>
      <c r="H126" s="3">
        <v>124.3880808412182</v>
      </c>
      <c r="I126" s="3">
        <f>ProductLine[[#This Row],[Units]]*ProductLine[[#This Row],[Dollars]]</f>
        <v>5099.9113144899457</v>
      </c>
    </row>
    <row r="127" spans="1:9" x14ac:dyDescent="0.35">
      <c r="A127">
        <v>126</v>
      </c>
      <c r="B127" t="s">
        <v>12</v>
      </c>
      <c r="C127" s="2">
        <v>38100</v>
      </c>
      <c r="D127">
        <f>YEAR(ProductLine[[#This Row],[Date]])</f>
        <v>2004</v>
      </c>
      <c r="E127">
        <f>MONTH(ProductLine[[#This Row],[Date]])</f>
        <v>4</v>
      </c>
      <c r="F127" t="s">
        <v>26</v>
      </c>
      <c r="G127">
        <v>54</v>
      </c>
      <c r="H127" s="3">
        <v>163.7455521062605</v>
      </c>
      <c r="I127" s="3">
        <f>ProductLine[[#This Row],[Units]]*ProductLine[[#This Row],[Dollars]]</f>
        <v>8842.2598137380664</v>
      </c>
    </row>
    <row r="128" spans="1:9" x14ac:dyDescent="0.35">
      <c r="A128">
        <v>127</v>
      </c>
      <c r="B128" t="s">
        <v>15</v>
      </c>
      <c r="C128" s="2">
        <v>38540</v>
      </c>
      <c r="D128">
        <f>YEAR(ProductLine[[#This Row],[Date]])</f>
        <v>2005</v>
      </c>
      <c r="E128">
        <f>MONTH(ProductLine[[#This Row],[Date]])</f>
        <v>7</v>
      </c>
      <c r="F128" t="s">
        <v>25</v>
      </c>
      <c r="G128">
        <v>9</v>
      </c>
      <c r="H128" s="3">
        <v>29.259949674062039</v>
      </c>
      <c r="I128" s="3">
        <f>ProductLine[[#This Row],[Units]]*ProductLine[[#This Row],[Dollars]]</f>
        <v>263.33954706655834</v>
      </c>
    </row>
    <row r="129" spans="1:9" x14ac:dyDescent="0.35">
      <c r="A129">
        <v>128</v>
      </c>
      <c r="B129" t="s">
        <v>17</v>
      </c>
      <c r="C129" s="2">
        <v>38485</v>
      </c>
      <c r="D129">
        <f>YEAR(ProductLine[[#This Row],[Date]])</f>
        <v>2005</v>
      </c>
      <c r="E129">
        <f>MONTH(ProductLine[[#This Row],[Date]])</f>
        <v>5</v>
      </c>
      <c r="F129" t="s">
        <v>23</v>
      </c>
      <c r="G129">
        <v>1</v>
      </c>
      <c r="H129" s="3">
        <v>5.0062586848309145</v>
      </c>
      <c r="I129" s="3">
        <f>ProductLine[[#This Row],[Units]]*ProductLine[[#This Row],[Dollars]]</f>
        <v>5.0062586848309145</v>
      </c>
    </row>
    <row r="130" spans="1:9" x14ac:dyDescent="0.35">
      <c r="A130">
        <v>129</v>
      </c>
      <c r="B130" t="s">
        <v>12</v>
      </c>
      <c r="C130" s="2">
        <v>38760</v>
      </c>
      <c r="D130">
        <f>YEAR(ProductLine[[#This Row],[Date]])</f>
        <v>2006</v>
      </c>
      <c r="E130">
        <f>MONTH(ProductLine[[#This Row],[Date]])</f>
        <v>2</v>
      </c>
      <c r="F130" t="s">
        <v>27</v>
      </c>
      <c r="G130">
        <v>-10</v>
      </c>
      <c r="H130" s="3">
        <v>-28.888600496770302</v>
      </c>
      <c r="I130" s="3">
        <f>ProductLine[[#This Row],[Units]]*ProductLine[[#This Row],[Dollars]]</f>
        <v>288.886004967703</v>
      </c>
    </row>
    <row r="131" spans="1:9" x14ac:dyDescent="0.35">
      <c r="A131">
        <v>130</v>
      </c>
      <c r="B131" t="s">
        <v>11</v>
      </c>
      <c r="C131" s="2">
        <v>39035</v>
      </c>
      <c r="D131">
        <f>YEAR(ProductLine[[#This Row],[Date]])</f>
        <v>2006</v>
      </c>
      <c r="E131">
        <f>MONTH(ProductLine[[#This Row],[Date]])</f>
        <v>11</v>
      </c>
      <c r="F131" t="s">
        <v>24</v>
      </c>
      <c r="G131">
        <v>-9</v>
      </c>
      <c r="H131" s="3">
        <v>-25.059711277411697</v>
      </c>
      <c r="I131" s="3">
        <f>ProductLine[[#This Row],[Units]]*ProductLine[[#This Row],[Dollars]]</f>
        <v>225.53740149670529</v>
      </c>
    </row>
    <row r="132" spans="1:9" x14ac:dyDescent="0.35">
      <c r="A132">
        <v>131</v>
      </c>
      <c r="B132" t="s">
        <v>16</v>
      </c>
      <c r="C132" s="2">
        <v>38320</v>
      </c>
      <c r="D132">
        <f>YEAR(ProductLine[[#This Row],[Date]])</f>
        <v>2004</v>
      </c>
      <c r="E132">
        <f>MONTH(ProductLine[[#This Row],[Date]])</f>
        <v>11</v>
      </c>
      <c r="F132" t="s">
        <v>27</v>
      </c>
      <c r="G132">
        <v>56</v>
      </c>
      <c r="H132" s="3">
        <v>168.8685012955201</v>
      </c>
      <c r="I132" s="3">
        <f>ProductLine[[#This Row],[Units]]*ProductLine[[#This Row],[Dollars]]</f>
        <v>9456.6360725491249</v>
      </c>
    </row>
    <row r="133" spans="1:9" x14ac:dyDescent="0.35">
      <c r="A133">
        <v>132</v>
      </c>
      <c r="B133" t="s">
        <v>17</v>
      </c>
      <c r="C133" s="2">
        <v>38067</v>
      </c>
      <c r="D133">
        <f>YEAR(ProductLine[[#This Row],[Date]])</f>
        <v>2004</v>
      </c>
      <c r="E133">
        <f>MONTH(ProductLine[[#This Row],[Date]])</f>
        <v>3</v>
      </c>
      <c r="F133" t="s">
        <v>25</v>
      </c>
      <c r="G133">
        <v>28</v>
      </c>
      <c r="H133" s="3">
        <v>85.600623651403808</v>
      </c>
      <c r="I133" s="3">
        <f>ProductLine[[#This Row],[Units]]*ProductLine[[#This Row],[Dollars]]</f>
        <v>2396.8174622393067</v>
      </c>
    </row>
    <row r="134" spans="1:9" x14ac:dyDescent="0.35">
      <c r="A134">
        <v>133</v>
      </c>
      <c r="B134" t="s">
        <v>9</v>
      </c>
      <c r="C134" s="2">
        <v>38177</v>
      </c>
      <c r="D134">
        <f>YEAR(ProductLine[[#This Row],[Date]])</f>
        <v>2004</v>
      </c>
      <c r="E134">
        <f>MONTH(ProductLine[[#This Row],[Date]])</f>
        <v>7</v>
      </c>
      <c r="F134" t="s">
        <v>27</v>
      </c>
      <c r="G134">
        <v>11</v>
      </c>
      <c r="H134" s="3">
        <v>34.417378586902672</v>
      </c>
      <c r="I134" s="3">
        <f>ProductLine[[#This Row],[Units]]*ProductLine[[#This Row],[Dollars]]</f>
        <v>378.5911644559294</v>
      </c>
    </row>
    <row r="135" spans="1:9" x14ac:dyDescent="0.35">
      <c r="A135">
        <v>134</v>
      </c>
      <c r="B135" t="s">
        <v>14</v>
      </c>
      <c r="C135" s="2">
        <v>39068</v>
      </c>
      <c r="D135">
        <f>YEAR(ProductLine[[#This Row],[Date]])</f>
        <v>2006</v>
      </c>
      <c r="E135">
        <f>MONTH(ProductLine[[#This Row],[Date]])</f>
        <v>12</v>
      </c>
      <c r="F135" t="s">
        <v>23</v>
      </c>
      <c r="G135">
        <v>11</v>
      </c>
      <c r="H135" s="3">
        <v>34.910086692815099</v>
      </c>
      <c r="I135" s="3">
        <f>ProductLine[[#This Row],[Units]]*ProductLine[[#This Row],[Dollars]]</f>
        <v>384.01095362096612</v>
      </c>
    </row>
    <row r="136" spans="1:9" x14ac:dyDescent="0.35">
      <c r="A136">
        <v>135</v>
      </c>
      <c r="B136" t="s">
        <v>14</v>
      </c>
      <c r="C136" s="2">
        <v>38397</v>
      </c>
      <c r="D136">
        <f>YEAR(ProductLine[[#This Row],[Date]])</f>
        <v>2005</v>
      </c>
      <c r="E136">
        <f>MONTH(ProductLine[[#This Row],[Date]])</f>
        <v>2</v>
      </c>
      <c r="F136" t="s">
        <v>26</v>
      </c>
      <c r="G136">
        <v>67</v>
      </c>
      <c r="H136" s="3">
        <v>202.86608183653496</v>
      </c>
      <c r="I136" s="3">
        <f>ProductLine[[#This Row],[Units]]*ProductLine[[#This Row],[Dollars]]</f>
        <v>13592.027483047843</v>
      </c>
    </row>
    <row r="137" spans="1:9" x14ac:dyDescent="0.35">
      <c r="A137">
        <v>136</v>
      </c>
      <c r="B137" t="s">
        <v>13</v>
      </c>
      <c r="C137" s="2">
        <v>38441</v>
      </c>
      <c r="D137">
        <f>YEAR(ProductLine[[#This Row],[Date]])</f>
        <v>2005</v>
      </c>
      <c r="E137">
        <f>MONTH(ProductLine[[#This Row],[Date]])</f>
        <v>3</v>
      </c>
      <c r="F137" t="s">
        <v>23</v>
      </c>
      <c r="G137">
        <v>10</v>
      </c>
      <c r="H137" s="3">
        <v>31.43203475838104</v>
      </c>
      <c r="I137" s="3">
        <f>ProductLine[[#This Row],[Units]]*ProductLine[[#This Row],[Dollars]]</f>
        <v>314.32034758381042</v>
      </c>
    </row>
    <row r="138" spans="1:9" x14ac:dyDescent="0.35">
      <c r="A138">
        <v>137</v>
      </c>
      <c r="B138" t="s">
        <v>15</v>
      </c>
      <c r="C138" s="2">
        <v>38287</v>
      </c>
      <c r="D138">
        <f>YEAR(ProductLine[[#This Row],[Date]])</f>
        <v>2004</v>
      </c>
      <c r="E138">
        <f>MONTH(ProductLine[[#This Row],[Date]])</f>
        <v>10</v>
      </c>
      <c r="F138" t="s">
        <v>24</v>
      </c>
      <c r="G138">
        <v>40</v>
      </c>
      <c r="H138" s="3">
        <v>121.94725640981379</v>
      </c>
      <c r="I138" s="3">
        <f>ProductLine[[#This Row],[Units]]*ProductLine[[#This Row],[Dollars]]</f>
        <v>4877.8902563925512</v>
      </c>
    </row>
    <row r="139" spans="1:9" x14ac:dyDescent="0.35">
      <c r="A139">
        <v>138</v>
      </c>
      <c r="B139" t="s">
        <v>13</v>
      </c>
      <c r="C139" s="2">
        <v>38540</v>
      </c>
      <c r="D139">
        <f>YEAR(ProductLine[[#This Row],[Date]])</f>
        <v>2005</v>
      </c>
      <c r="E139">
        <f>MONTH(ProductLine[[#This Row],[Date]])</f>
        <v>7</v>
      </c>
      <c r="F139" t="s">
        <v>27</v>
      </c>
      <c r="G139">
        <v>77</v>
      </c>
      <c r="H139" s="3">
        <v>233.07983567827679</v>
      </c>
      <c r="I139" s="3">
        <f>ProductLine[[#This Row],[Units]]*ProductLine[[#This Row],[Dollars]]</f>
        <v>17947.147347227314</v>
      </c>
    </row>
    <row r="140" spans="1:9" x14ac:dyDescent="0.35">
      <c r="A140">
        <v>139</v>
      </c>
      <c r="B140" t="s">
        <v>9</v>
      </c>
      <c r="C140" s="2">
        <v>38496</v>
      </c>
      <c r="D140">
        <f>YEAR(ProductLine[[#This Row],[Date]])</f>
        <v>2005</v>
      </c>
      <c r="E140">
        <f>MONTH(ProductLine[[#This Row],[Date]])</f>
        <v>5</v>
      </c>
      <c r="F140" t="s">
        <v>25</v>
      </c>
      <c r="G140">
        <v>50</v>
      </c>
      <c r="H140" s="3">
        <v>152.04318524136269</v>
      </c>
      <c r="I140" s="3">
        <f>ProductLine[[#This Row],[Units]]*ProductLine[[#This Row],[Dollars]]</f>
        <v>7602.1592620681349</v>
      </c>
    </row>
    <row r="141" spans="1:9" x14ac:dyDescent="0.35">
      <c r="A141">
        <v>140</v>
      </c>
      <c r="B141" t="s">
        <v>16</v>
      </c>
      <c r="C141" s="2">
        <v>38166</v>
      </c>
      <c r="D141">
        <f>YEAR(ProductLine[[#This Row],[Date]])</f>
        <v>2004</v>
      </c>
      <c r="E141">
        <f>MONTH(ProductLine[[#This Row],[Date]])</f>
        <v>6</v>
      </c>
      <c r="F141" t="s">
        <v>26</v>
      </c>
      <c r="G141">
        <v>80</v>
      </c>
      <c r="H141" s="3">
        <v>242.49550041476004</v>
      </c>
      <c r="I141" s="3">
        <f>ProductLine[[#This Row],[Units]]*ProductLine[[#This Row],[Dollars]]</f>
        <v>19399.640033180804</v>
      </c>
    </row>
    <row r="142" spans="1:9" x14ac:dyDescent="0.35">
      <c r="A142">
        <v>141</v>
      </c>
      <c r="B142" t="s">
        <v>16</v>
      </c>
      <c r="C142" s="2">
        <v>39079</v>
      </c>
      <c r="D142">
        <f>YEAR(ProductLine[[#This Row],[Date]])</f>
        <v>2006</v>
      </c>
      <c r="E142">
        <f>MONTH(ProductLine[[#This Row],[Date]])</f>
        <v>12</v>
      </c>
      <c r="F142" t="s">
        <v>26</v>
      </c>
      <c r="G142">
        <v>83</v>
      </c>
      <c r="H142" s="3">
        <v>250.79460647762514</v>
      </c>
      <c r="I142" s="3">
        <f>ProductLine[[#This Row],[Units]]*ProductLine[[#This Row],[Dollars]]</f>
        <v>20815.952337642888</v>
      </c>
    </row>
    <row r="143" spans="1:9" x14ac:dyDescent="0.35">
      <c r="A143">
        <v>142</v>
      </c>
      <c r="B143" t="s">
        <v>9</v>
      </c>
      <c r="C143" s="2">
        <v>38749</v>
      </c>
      <c r="D143">
        <f>YEAR(ProductLine[[#This Row],[Date]])</f>
        <v>2006</v>
      </c>
      <c r="E143">
        <f>MONTH(ProductLine[[#This Row],[Date]])</f>
        <v>2</v>
      </c>
      <c r="F143" t="s">
        <v>23</v>
      </c>
      <c r="G143">
        <v>-4</v>
      </c>
      <c r="H143" s="3">
        <v>-9.4996327629453567</v>
      </c>
      <c r="I143" s="3">
        <f>ProductLine[[#This Row],[Units]]*ProductLine[[#This Row],[Dollars]]</f>
        <v>37.998531051781427</v>
      </c>
    </row>
    <row r="144" spans="1:9" x14ac:dyDescent="0.35">
      <c r="A144">
        <v>143</v>
      </c>
      <c r="B144" t="s">
        <v>13</v>
      </c>
      <c r="C144" s="2">
        <v>38386</v>
      </c>
      <c r="D144">
        <f>YEAR(ProductLine[[#This Row],[Date]])</f>
        <v>2005</v>
      </c>
      <c r="E144">
        <f>MONTH(ProductLine[[#This Row],[Date]])</f>
        <v>2</v>
      </c>
      <c r="F144" t="s">
        <v>24</v>
      </c>
      <c r="G144">
        <v>46</v>
      </c>
      <c r="H144" s="3">
        <v>139.75509706516939</v>
      </c>
      <c r="I144" s="3">
        <f>ProductLine[[#This Row],[Units]]*ProductLine[[#This Row],[Dollars]]</f>
        <v>6428.7344649977922</v>
      </c>
    </row>
    <row r="145" spans="1:9" x14ac:dyDescent="0.35">
      <c r="A145">
        <v>144</v>
      </c>
      <c r="B145" t="s">
        <v>11</v>
      </c>
      <c r="C145" s="2">
        <v>39013</v>
      </c>
      <c r="D145">
        <f>YEAR(ProductLine[[#This Row],[Date]])</f>
        <v>2006</v>
      </c>
      <c r="E145">
        <f>MONTH(ProductLine[[#This Row],[Date]])</f>
        <v>10</v>
      </c>
      <c r="F145" t="s">
        <v>27</v>
      </c>
      <c r="G145">
        <v>55</v>
      </c>
      <c r="H145" s="3">
        <v>167.19317791229159</v>
      </c>
      <c r="I145" s="3">
        <f>ProductLine[[#This Row],[Units]]*ProductLine[[#This Row],[Dollars]]</f>
        <v>9195.6247851760381</v>
      </c>
    </row>
    <row r="146" spans="1:9" x14ac:dyDescent="0.35">
      <c r="A146">
        <v>145</v>
      </c>
      <c r="B146" t="s">
        <v>17</v>
      </c>
      <c r="C146" s="2">
        <v>38254</v>
      </c>
      <c r="D146">
        <f>YEAR(ProductLine[[#This Row],[Date]])</f>
        <v>2004</v>
      </c>
      <c r="E146">
        <f>MONTH(ProductLine[[#This Row],[Date]])</f>
        <v>9</v>
      </c>
      <c r="F146" t="s">
        <v>27</v>
      </c>
      <c r="G146">
        <v>89</v>
      </c>
      <c r="H146" s="3">
        <v>269.40466549843933</v>
      </c>
      <c r="I146" s="3">
        <f>ProductLine[[#This Row],[Units]]*ProductLine[[#This Row],[Dollars]]</f>
        <v>23977.015229361099</v>
      </c>
    </row>
    <row r="147" spans="1:9" x14ac:dyDescent="0.35">
      <c r="A147">
        <v>146</v>
      </c>
      <c r="B147" t="s">
        <v>15</v>
      </c>
      <c r="C147" s="2">
        <v>38540</v>
      </c>
      <c r="D147">
        <f>YEAR(ProductLine[[#This Row],[Date]])</f>
        <v>2005</v>
      </c>
      <c r="E147">
        <f>MONTH(ProductLine[[#This Row],[Date]])</f>
        <v>7</v>
      </c>
      <c r="F147" t="s">
        <v>26</v>
      </c>
      <c r="G147">
        <v>59</v>
      </c>
      <c r="H147" s="3">
        <v>179.11590007622482</v>
      </c>
      <c r="I147" s="3">
        <f>ProductLine[[#This Row],[Units]]*ProductLine[[#This Row],[Dollars]]</f>
        <v>10567.838104497265</v>
      </c>
    </row>
    <row r="148" spans="1:9" x14ac:dyDescent="0.35">
      <c r="A148">
        <v>147</v>
      </c>
      <c r="B148" t="s">
        <v>15</v>
      </c>
      <c r="C148" s="2">
        <v>38419</v>
      </c>
      <c r="D148">
        <f>YEAR(ProductLine[[#This Row],[Date]])</f>
        <v>2005</v>
      </c>
      <c r="E148">
        <f>MONTH(ProductLine[[#This Row],[Date]])</f>
        <v>3</v>
      </c>
      <c r="F148" t="s">
        <v>25</v>
      </c>
      <c r="G148">
        <v>90</v>
      </c>
      <c r="H148" s="3">
        <v>271.75315679180818</v>
      </c>
      <c r="I148" s="3">
        <f>ProductLine[[#This Row],[Units]]*ProductLine[[#This Row],[Dollars]]</f>
        <v>24457.784111262736</v>
      </c>
    </row>
    <row r="149" spans="1:9" x14ac:dyDescent="0.35">
      <c r="A149">
        <v>148</v>
      </c>
      <c r="B149" t="s">
        <v>11</v>
      </c>
      <c r="C149" s="2">
        <v>39024</v>
      </c>
      <c r="D149">
        <f>YEAR(ProductLine[[#This Row],[Date]])</f>
        <v>2006</v>
      </c>
      <c r="E149">
        <f>MONTH(ProductLine[[#This Row],[Date]])</f>
        <v>11</v>
      </c>
      <c r="F149" t="s">
        <v>25</v>
      </c>
      <c r="G149">
        <v>17</v>
      </c>
      <c r="H149" s="3">
        <v>53.665884026524566</v>
      </c>
      <c r="I149" s="3">
        <f>ProductLine[[#This Row],[Units]]*ProductLine[[#This Row],[Dollars]]</f>
        <v>912.32002845091756</v>
      </c>
    </row>
    <row r="150" spans="1:9" x14ac:dyDescent="0.35">
      <c r="A150">
        <v>149</v>
      </c>
      <c r="B150" t="s">
        <v>17</v>
      </c>
      <c r="C150" s="2">
        <v>38419</v>
      </c>
      <c r="D150">
        <f>YEAR(ProductLine[[#This Row],[Date]])</f>
        <v>2005</v>
      </c>
      <c r="E150">
        <f>MONTH(ProductLine[[#This Row],[Date]])</f>
        <v>3</v>
      </c>
      <c r="F150" t="s">
        <v>25</v>
      </c>
      <c r="G150">
        <v>37</v>
      </c>
      <c r="H150" s="3">
        <v>113.6496958349757</v>
      </c>
      <c r="I150" s="3">
        <f>ProductLine[[#This Row],[Units]]*ProductLine[[#This Row],[Dollars]]</f>
        <v>4205.0387458941013</v>
      </c>
    </row>
    <row r="151" spans="1:9" x14ac:dyDescent="0.35">
      <c r="A151">
        <v>150</v>
      </c>
      <c r="B151" t="s">
        <v>14</v>
      </c>
      <c r="C151" s="2">
        <v>38793</v>
      </c>
      <c r="D151">
        <f>YEAR(ProductLine[[#This Row],[Date]])</f>
        <v>2006</v>
      </c>
      <c r="E151">
        <f>MONTH(ProductLine[[#This Row],[Date]])</f>
        <v>3</v>
      </c>
      <c r="F151" t="s">
        <v>24</v>
      </c>
      <c r="G151">
        <v>-4</v>
      </c>
      <c r="H151" s="3">
        <v>-9.4240327280666669</v>
      </c>
      <c r="I151" s="3">
        <f>ProductLine[[#This Row],[Units]]*ProductLine[[#This Row],[Dollars]]</f>
        <v>37.696130912266668</v>
      </c>
    </row>
    <row r="152" spans="1:9" x14ac:dyDescent="0.35">
      <c r="A152">
        <v>151</v>
      </c>
      <c r="B152" t="s">
        <v>15</v>
      </c>
      <c r="C152" s="2">
        <v>38540</v>
      </c>
      <c r="D152">
        <f>YEAR(ProductLine[[#This Row],[Date]])</f>
        <v>2005</v>
      </c>
      <c r="E152">
        <f>MONTH(ProductLine[[#This Row],[Date]])</f>
        <v>7</v>
      </c>
      <c r="F152" t="s">
        <v>23</v>
      </c>
      <c r="G152">
        <v>-8</v>
      </c>
      <c r="H152" s="3">
        <v>-22.376386657781136</v>
      </c>
      <c r="I152" s="3">
        <f>ProductLine[[#This Row],[Units]]*ProductLine[[#This Row],[Dollars]]</f>
        <v>179.01109326224909</v>
      </c>
    </row>
    <row r="153" spans="1:9" x14ac:dyDescent="0.35">
      <c r="A153">
        <v>152</v>
      </c>
      <c r="B153" t="s">
        <v>12</v>
      </c>
      <c r="C153" s="2">
        <v>38232</v>
      </c>
      <c r="D153">
        <f>YEAR(ProductLine[[#This Row],[Date]])</f>
        <v>2004</v>
      </c>
      <c r="E153">
        <f>MONTH(ProductLine[[#This Row],[Date]])</f>
        <v>9</v>
      </c>
      <c r="F153" t="s">
        <v>25</v>
      </c>
      <c r="G153">
        <v>6</v>
      </c>
      <c r="H153" s="3">
        <v>20.32160187847996</v>
      </c>
      <c r="I153" s="3">
        <f>ProductLine[[#This Row],[Units]]*ProductLine[[#This Row],[Dollars]]</f>
        <v>121.92961127087976</v>
      </c>
    </row>
    <row r="154" spans="1:9" x14ac:dyDescent="0.35">
      <c r="A154">
        <v>153</v>
      </c>
      <c r="B154" t="s">
        <v>17</v>
      </c>
      <c r="C154" s="2">
        <v>38276</v>
      </c>
      <c r="D154">
        <f>YEAR(ProductLine[[#This Row],[Date]])</f>
        <v>2004</v>
      </c>
      <c r="E154">
        <f>MONTH(ProductLine[[#This Row],[Date]])</f>
        <v>10</v>
      </c>
      <c r="F154" t="s">
        <v>25</v>
      </c>
      <c r="G154">
        <v>63</v>
      </c>
      <c r="H154" s="3">
        <v>191.67996095772898</v>
      </c>
      <c r="I154" s="3">
        <f>ProductLine[[#This Row],[Units]]*ProductLine[[#This Row],[Dollars]]</f>
        <v>12075.837540336926</v>
      </c>
    </row>
    <row r="155" spans="1:9" x14ac:dyDescent="0.35">
      <c r="A155">
        <v>154</v>
      </c>
      <c r="B155" t="s">
        <v>16</v>
      </c>
      <c r="C155" s="2">
        <v>38210</v>
      </c>
      <c r="D155">
        <f>YEAR(ProductLine[[#This Row],[Date]])</f>
        <v>2004</v>
      </c>
      <c r="E155">
        <f>MONTH(ProductLine[[#This Row],[Date]])</f>
        <v>8</v>
      </c>
      <c r="F155" t="s">
        <v>25</v>
      </c>
      <c r="G155">
        <v>16</v>
      </c>
      <c r="H155" s="3">
        <v>49.943726296074821</v>
      </c>
      <c r="I155" s="3">
        <f>ProductLine[[#This Row],[Units]]*ProductLine[[#This Row],[Dollars]]</f>
        <v>799.09962073719714</v>
      </c>
    </row>
    <row r="156" spans="1:9" x14ac:dyDescent="0.35">
      <c r="A156">
        <v>155</v>
      </c>
      <c r="B156" t="s">
        <v>9</v>
      </c>
      <c r="C156" s="2">
        <v>38386</v>
      </c>
      <c r="D156">
        <f>YEAR(ProductLine[[#This Row],[Date]])</f>
        <v>2005</v>
      </c>
      <c r="E156">
        <f>MONTH(ProductLine[[#This Row],[Date]])</f>
        <v>2</v>
      </c>
      <c r="F156" t="s">
        <v>27</v>
      </c>
      <c r="G156">
        <v>22</v>
      </c>
      <c r="H156" s="3">
        <v>67.814347194557499</v>
      </c>
      <c r="I156" s="3">
        <f>ProductLine[[#This Row],[Units]]*ProductLine[[#This Row],[Dollars]]</f>
        <v>1491.9156382802651</v>
      </c>
    </row>
    <row r="157" spans="1:9" x14ac:dyDescent="0.35">
      <c r="A157">
        <v>156</v>
      </c>
      <c r="B157" t="s">
        <v>15</v>
      </c>
      <c r="C157" s="2">
        <v>38716</v>
      </c>
      <c r="D157">
        <f>YEAR(ProductLine[[#This Row],[Date]])</f>
        <v>2005</v>
      </c>
      <c r="E157">
        <f>MONTH(ProductLine[[#This Row],[Date]])</f>
        <v>12</v>
      </c>
      <c r="F157" t="s">
        <v>24</v>
      </c>
      <c r="G157">
        <v>81</v>
      </c>
      <c r="H157" s="3">
        <v>244.96866878935498</v>
      </c>
      <c r="I157" s="3">
        <f>ProductLine[[#This Row],[Units]]*ProductLine[[#This Row],[Dollars]]</f>
        <v>19842.462171937754</v>
      </c>
    </row>
    <row r="158" spans="1:9" x14ac:dyDescent="0.35">
      <c r="A158">
        <v>157</v>
      </c>
      <c r="B158" t="s">
        <v>15</v>
      </c>
      <c r="C158" s="2">
        <v>38606</v>
      </c>
      <c r="D158">
        <f>YEAR(ProductLine[[#This Row],[Date]])</f>
        <v>2005</v>
      </c>
      <c r="E158">
        <f>MONTH(ProductLine[[#This Row],[Date]])</f>
        <v>9</v>
      </c>
      <c r="F158" t="s">
        <v>23</v>
      </c>
      <c r="G158">
        <v>85</v>
      </c>
      <c r="H158" s="3">
        <v>256.55696414737832</v>
      </c>
      <c r="I158" s="3">
        <f>ProductLine[[#This Row],[Units]]*ProductLine[[#This Row],[Dollars]]</f>
        <v>21807.341952527157</v>
      </c>
    </row>
    <row r="159" spans="1:9" x14ac:dyDescent="0.35">
      <c r="A159">
        <v>158</v>
      </c>
      <c r="B159" t="s">
        <v>16</v>
      </c>
      <c r="C159" s="2">
        <v>38122</v>
      </c>
      <c r="D159">
        <f>YEAR(ProductLine[[#This Row],[Date]])</f>
        <v>2004</v>
      </c>
      <c r="E159">
        <f>MONTH(ProductLine[[#This Row],[Date]])</f>
        <v>5</v>
      </c>
      <c r="F159" t="s">
        <v>24</v>
      </c>
      <c r="G159">
        <v>-3</v>
      </c>
      <c r="H159" s="3">
        <v>-7.083148189481113</v>
      </c>
      <c r="I159" s="3">
        <f>ProductLine[[#This Row],[Units]]*ProductLine[[#This Row],[Dollars]]</f>
        <v>21.249444568443337</v>
      </c>
    </row>
    <row r="160" spans="1:9" x14ac:dyDescent="0.35">
      <c r="A160">
        <v>159</v>
      </c>
      <c r="B160" t="s">
        <v>15</v>
      </c>
      <c r="C160" s="2">
        <v>38375</v>
      </c>
      <c r="D160">
        <f>YEAR(ProductLine[[#This Row],[Date]])</f>
        <v>2005</v>
      </c>
      <c r="E160">
        <f>MONTH(ProductLine[[#This Row],[Date]])</f>
        <v>1</v>
      </c>
      <c r="F160" t="s">
        <v>23</v>
      </c>
      <c r="G160">
        <v>51</v>
      </c>
      <c r="H160" s="3">
        <v>154.48755641985605</v>
      </c>
      <c r="I160" s="3">
        <f>ProductLine[[#This Row],[Units]]*ProductLine[[#This Row],[Dollars]]</f>
        <v>7878.8653774126587</v>
      </c>
    </row>
    <row r="161" spans="1:9" x14ac:dyDescent="0.35">
      <c r="A161">
        <v>160</v>
      </c>
      <c r="B161" t="s">
        <v>17</v>
      </c>
      <c r="C161" s="2">
        <v>38353</v>
      </c>
      <c r="D161">
        <f>YEAR(ProductLine[[#This Row],[Date]])</f>
        <v>2005</v>
      </c>
      <c r="E161">
        <f>MONTH(ProductLine[[#This Row],[Date]])</f>
        <v>1</v>
      </c>
      <c r="F161" t="s">
        <v>23</v>
      </c>
      <c r="G161">
        <v>72</v>
      </c>
      <c r="H161" s="3">
        <v>217.42437258205749</v>
      </c>
      <c r="I161" s="3">
        <f>ProductLine[[#This Row],[Units]]*ProductLine[[#This Row],[Dollars]]</f>
        <v>15654.554825908139</v>
      </c>
    </row>
    <row r="162" spans="1:9" x14ac:dyDescent="0.35">
      <c r="A162">
        <v>161</v>
      </c>
      <c r="B162" t="s">
        <v>14</v>
      </c>
      <c r="C162" s="2">
        <v>38034</v>
      </c>
      <c r="D162">
        <f>YEAR(ProductLine[[#This Row],[Date]])</f>
        <v>2004</v>
      </c>
      <c r="E162">
        <f>MONTH(ProductLine[[#This Row],[Date]])</f>
        <v>2</v>
      </c>
      <c r="F162" t="s">
        <v>23</v>
      </c>
      <c r="G162">
        <v>46</v>
      </c>
      <c r="H162" s="3">
        <v>139.92999594688814</v>
      </c>
      <c r="I162" s="3">
        <f>ProductLine[[#This Row],[Units]]*ProductLine[[#This Row],[Dollars]]</f>
        <v>6436.7798135568546</v>
      </c>
    </row>
    <row r="163" spans="1:9" x14ac:dyDescent="0.35">
      <c r="A163">
        <v>162</v>
      </c>
      <c r="B163" t="s">
        <v>10</v>
      </c>
      <c r="C163" s="2">
        <v>38408</v>
      </c>
      <c r="D163">
        <f>YEAR(ProductLine[[#This Row],[Date]])</f>
        <v>2005</v>
      </c>
      <c r="E163">
        <f>MONTH(ProductLine[[#This Row],[Date]])</f>
        <v>2</v>
      </c>
      <c r="F163" t="s">
        <v>27</v>
      </c>
      <c r="G163">
        <v>-10</v>
      </c>
      <c r="H163" s="3">
        <v>-27.996195351956981</v>
      </c>
      <c r="I163" s="3">
        <f>ProductLine[[#This Row],[Units]]*ProductLine[[#This Row],[Dollars]]</f>
        <v>279.96195351956982</v>
      </c>
    </row>
    <row r="164" spans="1:9" x14ac:dyDescent="0.35">
      <c r="A164">
        <v>163</v>
      </c>
      <c r="B164" t="s">
        <v>17</v>
      </c>
      <c r="C164" s="2">
        <v>38573</v>
      </c>
      <c r="D164">
        <f>YEAR(ProductLine[[#This Row],[Date]])</f>
        <v>2005</v>
      </c>
      <c r="E164">
        <f>MONTH(ProductLine[[#This Row],[Date]])</f>
        <v>8</v>
      </c>
      <c r="F164" t="s">
        <v>24</v>
      </c>
      <c r="G164">
        <v>-5</v>
      </c>
      <c r="H164" s="3">
        <v>-12.197238533968166</v>
      </c>
      <c r="I164" s="3">
        <f>ProductLine[[#This Row],[Units]]*ProductLine[[#This Row],[Dollars]]</f>
        <v>60.986192669840833</v>
      </c>
    </row>
    <row r="165" spans="1:9" x14ac:dyDescent="0.35">
      <c r="A165">
        <v>164</v>
      </c>
      <c r="B165" t="s">
        <v>10</v>
      </c>
      <c r="C165" s="2">
        <v>39002</v>
      </c>
      <c r="D165">
        <f>YEAR(ProductLine[[#This Row],[Date]])</f>
        <v>2006</v>
      </c>
      <c r="E165">
        <f>MONTH(ProductLine[[#This Row],[Date]])</f>
        <v>10</v>
      </c>
      <c r="F165" t="s">
        <v>26</v>
      </c>
      <c r="G165">
        <v>16</v>
      </c>
      <c r="H165" s="3">
        <v>49.917622272183785</v>
      </c>
      <c r="I165" s="3">
        <f>ProductLine[[#This Row],[Units]]*ProductLine[[#This Row],[Dollars]]</f>
        <v>798.68195635494055</v>
      </c>
    </row>
    <row r="166" spans="1:9" x14ac:dyDescent="0.35">
      <c r="A166">
        <v>165</v>
      </c>
      <c r="B166" t="s">
        <v>10</v>
      </c>
      <c r="C166" s="2">
        <v>38705</v>
      </c>
      <c r="D166">
        <f>YEAR(ProductLine[[#This Row],[Date]])</f>
        <v>2005</v>
      </c>
      <c r="E166">
        <f>MONTH(ProductLine[[#This Row],[Date]])</f>
        <v>12</v>
      </c>
      <c r="F166" t="s">
        <v>24</v>
      </c>
      <c r="G166">
        <v>25</v>
      </c>
      <c r="H166" s="3">
        <v>76.986898914774684</v>
      </c>
      <c r="I166" s="3">
        <f>ProductLine[[#This Row],[Units]]*ProductLine[[#This Row],[Dollars]]</f>
        <v>1924.6724728693671</v>
      </c>
    </row>
    <row r="167" spans="1:9" x14ac:dyDescent="0.35">
      <c r="A167">
        <v>166</v>
      </c>
      <c r="B167" t="s">
        <v>15</v>
      </c>
      <c r="C167" s="2">
        <v>38441</v>
      </c>
      <c r="D167">
        <f>YEAR(ProductLine[[#This Row],[Date]])</f>
        <v>2005</v>
      </c>
      <c r="E167">
        <f>MONTH(ProductLine[[#This Row],[Date]])</f>
        <v>3</v>
      </c>
      <c r="F167" t="s">
        <v>26</v>
      </c>
      <c r="G167">
        <v>49</v>
      </c>
      <c r="H167" s="3">
        <v>148.90711866414762</v>
      </c>
      <c r="I167" s="3">
        <f>ProductLine[[#This Row],[Units]]*ProductLine[[#This Row],[Dollars]]</f>
        <v>7296.4488145432333</v>
      </c>
    </row>
    <row r="168" spans="1:9" x14ac:dyDescent="0.35">
      <c r="A168">
        <v>167</v>
      </c>
      <c r="B168" t="s">
        <v>9</v>
      </c>
      <c r="C168" s="2">
        <v>38067</v>
      </c>
      <c r="D168">
        <f>YEAR(ProductLine[[#This Row],[Date]])</f>
        <v>2004</v>
      </c>
      <c r="E168">
        <f>MONTH(ProductLine[[#This Row],[Date]])</f>
        <v>3</v>
      </c>
      <c r="F168" t="s">
        <v>23</v>
      </c>
      <c r="G168">
        <v>21</v>
      </c>
      <c r="H168" s="3">
        <v>64.326659101878747</v>
      </c>
      <c r="I168" s="3">
        <f>ProductLine[[#This Row],[Units]]*ProductLine[[#This Row],[Dollars]]</f>
        <v>1350.8598411394537</v>
      </c>
    </row>
    <row r="169" spans="1:9" x14ac:dyDescent="0.35">
      <c r="A169">
        <v>168</v>
      </c>
      <c r="B169" t="s">
        <v>14</v>
      </c>
      <c r="C169" s="2">
        <v>38859</v>
      </c>
      <c r="D169">
        <f>YEAR(ProductLine[[#This Row],[Date]])</f>
        <v>2006</v>
      </c>
      <c r="E169">
        <f>MONTH(ProductLine[[#This Row],[Date]])</f>
        <v>5</v>
      </c>
      <c r="F169" t="s">
        <v>23</v>
      </c>
      <c r="G169">
        <v>29</v>
      </c>
      <c r="H169" s="3">
        <v>88.984161458299795</v>
      </c>
      <c r="I169" s="3">
        <f>ProductLine[[#This Row],[Units]]*ProductLine[[#This Row],[Dollars]]</f>
        <v>2580.5406822906939</v>
      </c>
    </row>
    <row r="170" spans="1:9" x14ac:dyDescent="0.35">
      <c r="A170">
        <v>169</v>
      </c>
      <c r="B170" t="s">
        <v>11</v>
      </c>
      <c r="C170" s="2">
        <v>38034</v>
      </c>
      <c r="D170">
        <f>YEAR(ProductLine[[#This Row],[Date]])</f>
        <v>2004</v>
      </c>
      <c r="E170">
        <f>MONTH(ProductLine[[#This Row],[Date]])</f>
        <v>2</v>
      </c>
      <c r="F170" t="s">
        <v>23</v>
      </c>
      <c r="G170">
        <v>63</v>
      </c>
      <c r="H170" s="3">
        <v>191.11407977738014</v>
      </c>
      <c r="I170" s="3">
        <f>ProductLine[[#This Row],[Units]]*ProductLine[[#This Row],[Dollars]]</f>
        <v>12040.187025974948</v>
      </c>
    </row>
    <row r="171" spans="1:9" x14ac:dyDescent="0.35">
      <c r="A171">
        <v>170</v>
      </c>
      <c r="B171" t="s">
        <v>16</v>
      </c>
      <c r="C171" s="2">
        <v>38881</v>
      </c>
      <c r="D171">
        <f>YEAR(ProductLine[[#This Row],[Date]])</f>
        <v>2006</v>
      </c>
      <c r="E171">
        <f>MONTH(ProductLine[[#This Row],[Date]])</f>
        <v>6</v>
      </c>
      <c r="F171" t="s">
        <v>23</v>
      </c>
      <c r="G171">
        <v>21</v>
      </c>
      <c r="H171" s="3">
        <v>64.602960723055489</v>
      </c>
      <c r="I171" s="3">
        <f>ProductLine[[#This Row],[Units]]*ProductLine[[#This Row],[Dollars]]</f>
        <v>1356.6621751841653</v>
      </c>
    </row>
    <row r="172" spans="1:9" x14ac:dyDescent="0.35">
      <c r="A172">
        <v>171</v>
      </c>
      <c r="B172" t="s">
        <v>9</v>
      </c>
      <c r="C172" s="2">
        <v>38639</v>
      </c>
      <c r="D172">
        <f>YEAR(ProductLine[[#This Row],[Date]])</f>
        <v>2005</v>
      </c>
      <c r="E172">
        <f>MONTH(ProductLine[[#This Row],[Date]])</f>
        <v>10</v>
      </c>
      <c r="F172" t="s">
        <v>24</v>
      </c>
      <c r="G172">
        <v>93</v>
      </c>
      <c r="H172" s="3">
        <v>280.17276926587908</v>
      </c>
      <c r="I172" s="3">
        <f>ProductLine[[#This Row],[Units]]*ProductLine[[#This Row],[Dollars]]</f>
        <v>26056.067541726756</v>
      </c>
    </row>
    <row r="173" spans="1:9" x14ac:dyDescent="0.35">
      <c r="A173">
        <v>172</v>
      </c>
      <c r="B173" t="s">
        <v>13</v>
      </c>
      <c r="C173" s="2">
        <v>38045</v>
      </c>
      <c r="D173">
        <f>YEAR(ProductLine[[#This Row],[Date]])</f>
        <v>2004</v>
      </c>
      <c r="E173">
        <f>MONTH(ProductLine[[#This Row],[Date]])</f>
        <v>2</v>
      </c>
      <c r="F173" t="s">
        <v>24</v>
      </c>
      <c r="G173">
        <v>55</v>
      </c>
      <c r="H173" s="3">
        <v>167.55415680156585</v>
      </c>
      <c r="I173" s="3">
        <f>ProductLine[[#This Row],[Units]]*ProductLine[[#This Row],[Dollars]]</f>
        <v>9215.4786240861213</v>
      </c>
    </row>
    <row r="174" spans="1:9" x14ac:dyDescent="0.35">
      <c r="A174">
        <v>173</v>
      </c>
      <c r="B174" t="s">
        <v>15</v>
      </c>
      <c r="C174" s="2">
        <v>38914</v>
      </c>
      <c r="D174">
        <f>YEAR(ProductLine[[#This Row],[Date]])</f>
        <v>2006</v>
      </c>
      <c r="E174">
        <f>MONTH(ProductLine[[#This Row],[Date]])</f>
        <v>7</v>
      </c>
      <c r="F174" t="s">
        <v>24</v>
      </c>
      <c r="G174">
        <v>14</v>
      </c>
      <c r="H174" s="3">
        <v>43.897196992459193</v>
      </c>
      <c r="I174" s="3">
        <f>ProductLine[[#This Row],[Units]]*ProductLine[[#This Row],[Dollars]]</f>
        <v>614.56075789442866</v>
      </c>
    </row>
    <row r="175" spans="1:9" x14ac:dyDescent="0.35">
      <c r="A175">
        <v>174</v>
      </c>
      <c r="B175" t="s">
        <v>16</v>
      </c>
      <c r="C175" s="2">
        <v>38056</v>
      </c>
      <c r="D175">
        <f>YEAR(ProductLine[[#This Row],[Date]])</f>
        <v>2004</v>
      </c>
      <c r="E175">
        <f>MONTH(ProductLine[[#This Row],[Date]])</f>
        <v>3</v>
      </c>
      <c r="F175" t="s">
        <v>25</v>
      </c>
      <c r="G175">
        <v>91</v>
      </c>
      <c r="H175" s="3">
        <v>275.24479602731037</v>
      </c>
      <c r="I175" s="3">
        <f>ProductLine[[#This Row],[Units]]*ProductLine[[#This Row],[Dollars]]</f>
        <v>25047.276438485245</v>
      </c>
    </row>
    <row r="176" spans="1:9" x14ac:dyDescent="0.35">
      <c r="A176">
        <v>175</v>
      </c>
      <c r="B176" t="s">
        <v>15</v>
      </c>
      <c r="C176" s="2">
        <v>38100</v>
      </c>
      <c r="D176">
        <f>YEAR(ProductLine[[#This Row],[Date]])</f>
        <v>2004</v>
      </c>
      <c r="E176">
        <f>MONTH(ProductLine[[#This Row],[Date]])</f>
        <v>4</v>
      </c>
      <c r="F176" t="s">
        <v>26</v>
      </c>
      <c r="G176">
        <v>80</v>
      </c>
      <c r="H176" s="3">
        <v>242.44859600981886</v>
      </c>
      <c r="I176" s="3">
        <f>ProductLine[[#This Row],[Units]]*ProductLine[[#This Row],[Dollars]]</f>
        <v>19395.887680785509</v>
      </c>
    </row>
    <row r="177" spans="1:9" x14ac:dyDescent="0.35">
      <c r="A177">
        <v>176</v>
      </c>
      <c r="B177" t="s">
        <v>9</v>
      </c>
      <c r="C177" s="2">
        <v>38683</v>
      </c>
      <c r="D177">
        <f>YEAR(ProductLine[[#This Row],[Date]])</f>
        <v>2005</v>
      </c>
      <c r="E177">
        <f>MONTH(ProductLine[[#This Row],[Date]])</f>
        <v>11</v>
      </c>
      <c r="F177" t="s">
        <v>26</v>
      </c>
      <c r="G177">
        <v>70</v>
      </c>
      <c r="H177" s="3">
        <v>211.755231476809</v>
      </c>
      <c r="I177" s="3">
        <f>ProductLine[[#This Row],[Units]]*ProductLine[[#This Row],[Dollars]]</f>
        <v>14822.86620337663</v>
      </c>
    </row>
    <row r="178" spans="1:9" x14ac:dyDescent="0.35">
      <c r="A178">
        <v>177</v>
      </c>
      <c r="B178" t="s">
        <v>17</v>
      </c>
      <c r="C178" s="2">
        <v>38188</v>
      </c>
      <c r="D178">
        <f>YEAR(ProductLine[[#This Row],[Date]])</f>
        <v>2004</v>
      </c>
      <c r="E178">
        <f>MONTH(ProductLine[[#This Row],[Date]])</f>
        <v>7</v>
      </c>
      <c r="F178" t="s">
        <v>27</v>
      </c>
      <c r="G178">
        <v>54</v>
      </c>
      <c r="H178" s="3">
        <v>164.30496670412208</v>
      </c>
      <c r="I178" s="3">
        <f>ProductLine[[#This Row],[Units]]*ProductLine[[#This Row],[Dollars]]</f>
        <v>8872.4682020225919</v>
      </c>
    </row>
    <row r="179" spans="1:9" x14ac:dyDescent="0.35">
      <c r="A179">
        <v>178</v>
      </c>
      <c r="B179" t="s">
        <v>11</v>
      </c>
      <c r="C179" s="2">
        <v>38705</v>
      </c>
      <c r="D179">
        <f>YEAR(ProductLine[[#This Row],[Date]])</f>
        <v>2005</v>
      </c>
      <c r="E179">
        <f>MONTH(ProductLine[[#This Row],[Date]])</f>
        <v>12</v>
      </c>
      <c r="F179" t="s">
        <v>27</v>
      </c>
      <c r="G179">
        <v>19</v>
      </c>
      <c r="H179" s="3">
        <v>58.362898336492826</v>
      </c>
      <c r="I179" s="3">
        <f>ProductLine[[#This Row],[Units]]*ProductLine[[#This Row],[Dollars]]</f>
        <v>1108.8950683933638</v>
      </c>
    </row>
    <row r="180" spans="1:9" x14ac:dyDescent="0.35">
      <c r="A180">
        <v>179</v>
      </c>
      <c r="B180" t="s">
        <v>10</v>
      </c>
      <c r="C180" s="2">
        <v>38617</v>
      </c>
      <c r="D180">
        <f>YEAR(ProductLine[[#This Row],[Date]])</f>
        <v>2005</v>
      </c>
      <c r="E180">
        <f>MONTH(ProductLine[[#This Row],[Date]])</f>
        <v>9</v>
      </c>
      <c r="F180" t="s">
        <v>24</v>
      </c>
      <c r="G180">
        <v>38</v>
      </c>
      <c r="H180" s="3">
        <v>115.82878872794043</v>
      </c>
      <c r="I180" s="3">
        <f>ProductLine[[#This Row],[Units]]*ProductLine[[#This Row],[Dollars]]</f>
        <v>4401.4939716617364</v>
      </c>
    </row>
    <row r="181" spans="1:9" x14ac:dyDescent="0.35">
      <c r="A181">
        <v>180</v>
      </c>
      <c r="B181" t="s">
        <v>13</v>
      </c>
      <c r="C181" s="2">
        <v>38133</v>
      </c>
      <c r="D181">
        <f>YEAR(ProductLine[[#This Row],[Date]])</f>
        <v>2004</v>
      </c>
      <c r="E181">
        <f>MONTH(ProductLine[[#This Row],[Date]])</f>
        <v>5</v>
      </c>
      <c r="F181" t="s">
        <v>25</v>
      </c>
      <c r="G181">
        <v>60</v>
      </c>
      <c r="H181" s="3">
        <v>182.02229380076153</v>
      </c>
      <c r="I181" s="3">
        <f>ProductLine[[#This Row],[Units]]*ProductLine[[#This Row],[Dollars]]</f>
        <v>10921.337628045692</v>
      </c>
    </row>
    <row r="182" spans="1:9" x14ac:dyDescent="0.35">
      <c r="A182">
        <v>181</v>
      </c>
      <c r="B182" t="s">
        <v>10</v>
      </c>
      <c r="C182" s="2">
        <v>38639</v>
      </c>
      <c r="D182">
        <f>YEAR(ProductLine[[#This Row],[Date]])</f>
        <v>2005</v>
      </c>
      <c r="E182">
        <f>MONTH(ProductLine[[#This Row],[Date]])</f>
        <v>10</v>
      </c>
      <c r="F182" t="s">
        <v>25</v>
      </c>
      <c r="G182">
        <v>51</v>
      </c>
      <c r="H182" s="3">
        <v>155.73788458275871</v>
      </c>
      <c r="I182" s="3">
        <f>ProductLine[[#This Row],[Units]]*ProductLine[[#This Row],[Dollars]]</f>
        <v>7942.6321137206942</v>
      </c>
    </row>
    <row r="183" spans="1:9" x14ac:dyDescent="0.35">
      <c r="A183">
        <v>182</v>
      </c>
      <c r="B183" t="s">
        <v>11</v>
      </c>
      <c r="C183" s="2">
        <v>38111</v>
      </c>
      <c r="D183">
        <f>YEAR(ProductLine[[#This Row],[Date]])</f>
        <v>2004</v>
      </c>
      <c r="E183">
        <f>MONTH(ProductLine[[#This Row],[Date]])</f>
        <v>5</v>
      </c>
      <c r="F183" t="s">
        <v>23</v>
      </c>
      <c r="G183">
        <v>78</v>
      </c>
      <c r="H183" s="3">
        <v>236.14223463826744</v>
      </c>
      <c r="I183" s="3">
        <f>ProductLine[[#This Row],[Units]]*ProductLine[[#This Row],[Dollars]]</f>
        <v>18419.094301784859</v>
      </c>
    </row>
    <row r="184" spans="1:9" x14ac:dyDescent="0.35">
      <c r="A184">
        <v>183</v>
      </c>
      <c r="B184" t="s">
        <v>10</v>
      </c>
      <c r="C184" s="2">
        <v>38320</v>
      </c>
      <c r="D184">
        <f>YEAR(ProductLine[[#This Row],[Date]])</f>
        <v>2004</v>
      </c>
      <c r="E184">
        <f>MONTH(ProductLine[[#This Row],[Date]])</f>
        <v>11</v>
      </c>
      <c r="F184" t="s">
        <v>24</v>
      </c>
      <c r="G184">
        <v>17</v>
      </c>
      <c r="H184" s="3">
        <v>52.469218210599529</v>
      </c>
      <c r="I184" s="3">
        <f>ProductLine[[#This Row],[Units]]*ProductLine[[#This Row],[Dollars]]</f>
        <v>891.97670958019194</v>
      </c>
    </row>
    <row r="185" spans="1:9" x14ac:dyDescent="0.35">
      <c r="A185">
        <v>184</v>
      </c>
      <c r="B185" t="s">
        <v>16</v>
      </c>
      <c r="C185" s="2">
        <v>38221</v>
      </c>
      <c r="D185">
        <f>YEAR(ProductLine[[#This Row],[Date]])</f>
        <v>2004</v>
      </c>
      <c r="E185">
        <f>MONTH(ProductLine[[#This Row],[Date]])</f>
        <v>8</v>
      </c>
      <c r="F185" t="s">
        <v>26</v>
      </c>
      <c r="G185">
        <v>13</v>
      </c>
      <c r="H185" s="3">
        <v>40.808192712139302</v>
      </c>
      <c r="I185" s="3">
        <f>ProductLine[[#This Row],[Units]]*ProductLine[[#This Row],[Dollars]]</f>
        <v>530.50650525781089</v>
      </c>
    </row>
    <row r="186" spans="1:9" x14ac:dyDescent="0.35">
      <c r="A186">
        <v>185</v>
      </c>
      <c r="B186" t="s">
        <v>15</v>
      </c>
      <c r="C186" s="2">
        <v>38540</v>
      </c>
      <c r="D186">
        <f>YEAR(ProductLine[[#This Row],[Date]])</f>
        <v>2005</v>
      </c>
      <c r="E186">
        <f>MONTH(ProductLine[[#This Row],[Date]])</f>
        <v>7</v>
      </c>
      <c r="F186" t="s">
        <v>27</v>
      </c>
      <c r="G186">
        <v>2</v>
      </c>
      <c r="H186" s="3">
        <v>8.0360535540736908</v>
      </c>
      <c r="I186" s="3">
        <f>ProductLine[[#This Row],[Units]]*ProductLine[[#This Row],[Dollars]]</f>
        <v>16.072107108147382</v>
      </c>
    </row>
    <row r="187" spans="1:9" x14ac:dyDescent="0.35">
      <c r="A187">
        <v>186</v>
      </c>
      <c r="B187" t="s">
        <v>9</v>
      </c>
      <c r="C187" s="2">
        <v>39046</v>
      </c>
      <c r="D187">
        <f>YEAR(ProductLine[[#This Row],[Date]])</f>
        <v>2006</v>
      </c>
      <c r="E187">
        <f>MONTH(ProductLine[[#This Row],[Date]])</f>
        <v>11</v>
      </c>
      <c r="F187" t="s">
        <v>27</v>
      </c>
      <c r="G187">
        <v>74</v>
      </c>
      <c r="H187" s="3">
        <v>223.87783259743091</v>
      </c>
      <c r="I187" s="3">
        <f>ProductLine[[#This Row],[Units]]*ProductLine[[#This Row],[Dollars]]</f>
        <v>16566.959612209888</v>
      </c>
    </row>
    <row r="188" spans="1:9" x14ac:dyDescent="0.35">
      <c r="A188">
        <v>187</v>
      </c>
      <c r="B188" t="s">
        <v>13</v>
      </c>
      <c r="C188" s="2">
        <v>38793</v>
      </c>
      <c r="D188">
        <f>YEAR(ProductLine[[#This Row],[Date]])</f>
        <v>2006</v>
      </c>
      <c r="E188">
        <f>MONTH(ProductLine[[#This Row],[Date]])</f>
        <v>3</v>
      </c>
      <c r="F188" t="s">
        <v>24</v>
      </c>
      <c r="G188">
        <v>57</v>
      </c>
      <c r="H188" s="3">
        <v>172.92421427081234</v>
      </c>
      <c r="I188" s="3">
        <f>ProductLine[[#This Row],[Units]]*ProductLine[[#This Row],[Dollars]]</f>
        <v>9856.6802134363043</v>
      </c>
    </row>
    <row r="189" spans="1:9" x14ac:dyDescent="0.35">
      <c r="A189">
        <v>188</v>
      </c>
      <c r="B189" t="s">
        <v>16</v>
      </c>
      <c r="C189" s="2">
        <v>38111</v>
      </c>
      <c r="D189">
        <f>YEAR(ProductLine[[#This Row],[Date]])</f>
        <v>2004</v>
      </c>
      <c r="E189">
        <f>MONTH(ProductLine[[#This Row],[Date]])</f>
        <v>5</v>
      </c>
      <c r="F189" t="s">
        <v>27</v>
      </c>
      <c r="G189">
        <v>79</v>
      </c>
      <c r="H189" s="3">
        <v>239.34428625432886</v>
      </c>
      <c r="I189" s="3">
        <f>ProductLine[[#This Row],[Units]]*ProductLine[[#This Row],[Dollars]]</f>
        <v>18908.19861409198</v>
      </c>
    </row>
    <row r="190" spans="1:9" x14ac:dyDescent="0.35">
      <c r="A190">
        <v>189</v>
      </c>
      <c r="B190" t="s">
        <v>13</v>
      </c>
      <c r="C190" s="2">
        <v>38518</v>
      </c>
      <c r="D190">
        <f>YEAR(ProductLine[[#This Row],[Date]])</f>
        <v>2005</v>
      </c>
      <c r="E190">
        <f>MONTH(ProductLine[[#This Row],[Date]])</f>
        <v>6</v>
      </c>
      <c r="F190" t="s">
        <v>24</v>
      </c>
      <c r="G190">
        <v>82</v>
      </c>
      <c r="H190" s="3">
        <v>247.46177448016923</v>
      </c>
      <c r="I190" s="3">
        <f>ProductLine[[#This Row],[Units]]*ProductLine[[#This Row],[Dollars]]</f>
        <v>20291.865507373877</v>
      </c>
    </row>
    <row r="191" spans="1:9" x14ac:dyDescent="0.35">
      <c r="A191">
        <v>190</v>
      </c>
      <c r="B191" t="s">
        <v>17</v>
      </c>
      <c r="C191" s="2">
        <v>38991</v>
      </c>
      <c r="D191">
        <f>YEAR(ProductLine[[#This Row],[Date]])</f>
        <v>2006</v>
      </c>
      <c r="E191">
        <f>MONTH(ProductLine[[#This Row],[Date]])</f>
        <v>10</v>
      </c>
      <c r="F191" t="s">
        <v>23</v>
      </c>
      <c r="G191">
        <v>28</v>
      </c>
      <c r="H191" s="3">
        <v>85.957225474601458</v>
      </c>
      <c r="I191" s="3">
        <f>ProductLine[[#This Row],[Units]]*ProductLine[[#This Row],[Dollars]]</f>
        <v>2406.8023132888407</v>
      </c>
    </row>
    <row r="192" spans="1:9" x14ac:dyDescent="0.35">
      <c r="A192">
        <v>191</v>
      </c>
      <c r="B192" t="s">
        <v>16</v>
      </c>
      <c r="C192" s="2">
        <v>38023</v>
      </c>
      <c r="D192">
        <f>YEAR(ProductLine[[#This Row],[Date]])</f>
        <v>2004</v>
      </c>
      <c r="E192">
        <f>MONTH(ProductLine[[#This Row],[Date]])</f>
        <v>2</v>
      </c>
      <c r="F192" t="s">
        <v>27</v>
      </c>
      <c r="G192">
        <v>63</v>
      </c>
      <c r="H192" s="3">
        <v>191.0302935038041</v>
      </c>
      <c r="I192" s="3">
        <f>ProductLine[[#This Row],[Units]]*ProductLine[[#This Row],[Dollars]]</f>
        <v>12034.908490739659</v>
      </c>
    </row>
    <row r="193" spans="1:9" x14ac:dyDescent="0.35">
      <c r="A193">
        <v>192</v>
      </c>
      <c r="B193" t="s">
        <v>14</v>
      </c>
      <c r="C193" s="2">
        <v>38628</v>
      </c>
      <c r="D193">
        <f>YEAR(ProductLine[[#This Row],[Date]])</f>
        <v>2005</v>
      </c>
      <c r="E193">
        <f>MONTH(ProductLine[[#This Row],[Date]])</f>
        <v>10</v>
      </c>
      <c r="F193" t="s">
        <v>24</v>
      </c>
      <c r="G193">
        <v>72</v>
      </c>
      <c r="H193" s="3">
        <v>217.59287860664901</v>
      </c>
      <c r="I193" s="3">
        <f>ProductLine[[#This Row],[Units]]*ProductLine[[#This Row],[Dollars]]</f>
        <v>15666.687259678729</v>
      </c>
    </row>
    <row r="194" spans="1:9" x14ac:dyDescent="0.35">
      <c r="A194">
        <v>193</v>
      </c>
      <c r="B194" t="s">
        <v>14</v>
      </c>
      <c r="C194" s="2">
        <v>38727</v>
      </c>
      <c r="D194">
        <f>YEAR(ProductLine[[#This Row],[Date]])</f>
        <v>2006</v>
      </c>
      <c r="E194">
        <f>MONTH(ProductLine[[#This Row],[Date]])</f>
        <v>1</v>
      </c>
      <c r="F194" t="s">
        <v>25</v>
      </c>
      <c r="G194">
        <v>68</v>
      </c>
      <c r="H194" s="3">
        <v>205.93270340856287</v>
      </c>
      <c r="I194" s="3">
        <f>ProductLine[[#This Row],[Units]]*ProductLine[[#This Row],[Dollars]]</f>
        <v>14003.423831782275</v>
      </c>
    </row>
    <row r="195" spans="1:9" x14ac:dyDescent="0.35">
      <c r="A195">
        <v>194</v>
      </c>
      <c r="B195" t="s">
        <v>15</v>
      </c>
      <c r="C195" s="2">
        <v>38738</v>
      </c>
      <c r="D195">
        <f>YEAR(ProductLine[[#This Row],[Date]])</f>
        <v>2006</v>
      </c>
      <c r="E195">
        <f>MONTH(ProductLine[[#This Row],[Date]])</f>
        <v>1</v>
      </c>
      <c r="F195" t="s">
        <v>26</v>
      </c>
      <c r="G195">
        <v>8</v>
      </c>
      <c r="H195" s="3">
        <v>26.138739127477177</v>
      </c>
      <c r="I195" s="3">
        <f>ProductLine[[#This Row],[Units]]*ProductLine[[#This Row],[Dollars]]</f>
        <v>209.10991301981741</v>
      </c>
    </row>
    <row r="196" spans="1:9" x14ac:dyDescent="0.35">
      <c r="A196">
        <v>195</v>
      </c>
      <c r="B196" t="s">
        <v>10</v>
      </c>
      <c r="C196" s="2">
        <v>38331</v>
      </c>
      <c r="D196">
        <f>YEAR(ProductLine[[#This Row],[Date]])</f>
        <v>2004</v>
      </c>
      <c r="E196">
        <f>MONTH(ProductLine[[#This Row],[Date]])</f>
        <v>12</v>
      </c>
      <c r="F196" t="s">
        <v>25</v>
      </c>
      <c r="G196">
        <v>62</v>
      </c>
      <c r="H196" s="3">
        <v>188.51634230729906</v>
      </c>
      <c r="I196" s="3">
        <f>ProductLine[[#This Row],[Units]]*ProductLine[[#This Row],[Dollars]]</f>
        <v>11688.013223052541</v>
      </c>
    </row>
    <row r="197" spans="1:9" x14ac:dyDescent="0.35">
      <c r="A197">
        <v>196</v>
      </c>
      <c r="B197" t="s">
        <v>16</v>
      </c>
      <c r="C197" s="2">
        <v>38430</v>
      </c>
      <c r="D197">
        <f>YEAR(ProductLine[[#This Row],[Date]])</f>
        <v>2005</v>
      </c>
      <c r="E197">
        <f>MONTH(ProductLine[[#This Row],[Date]])</f>
        <v>3</v>
      </c>
      <c r="F197" t="s">
        <v>26</v>
      </c>
      <c r="G197">
        <v>5</v>
      </c>
      <c r="H197" s="3">
        <v>16.348427234046856</v>
      </c>
      <c r="I197" s="3">
        <f>ProductLine[[#This Row],[Units]]*ProductLine[[#This Row],[Dollars]]</f>
        <v>81.742136170234275</v>
      </c>
    </row>
    <row r="198" spans="1:9" x14ac:dyDescent="0.35">
      <c r="A198">
        <v>197</v>
      </c>
      <c r="B198" t="s">
        <v>13</v>
      </c>
      <c r="C198" s="2">
        <v>38023</v>
      </c>
      <c r="D198">
        <f>YEAR(ProductLine[[#This Row],[Date]])</f>
        <v>2004</v>
      </c>
      <c r="E198">
        <f>MONTH(ProductLine[[#This Row],[Date]])</f>
        <v>2</v>
      </c>
      <c r="F198" t="s">
        <v>27</v>
      </c>
      <c r="G198">
        <v>-5</v>
      </c>
      <c r="H198" s="3">
        <v>-12.898061088841523</v>
      </c>
      <c r="I198" s="3">
        <f>ProductLine[[#This Row],[Units]]*ProductLine[[#This Row],[Dollars]]</f>
        <v>64.490305444207621</v>
      </c>
    </row>
    <row r="199" spans="1:9" x14ac:dyDescent="0.35">
      <c r="A199">
        <v>198</v>
      </c>
      <c r="B199" t="s">
        <v>13</v>
      </c>
      <c r="C199" s="2">
        <v>38859</v>
      </c>
      <c r="D199">
        <f>YEAR(ProductLine[[#This Row],[Date]])</f>
        <v>2006</v>
      </c>
      <c r="E199">
        <f>MONTH(ProductLine[[#This Row],[Date]])</f>
        <v>5</v>
      </c>
      <c r="F199" t="s">
        <v>27</v>
      </c>
      <c r="G199">
        <v>-4</v>
      </c>
      <c r="H199" s="3">
        <v>-9.998213253386103</v>
      </c>
      <c r="I199" s="3">
        <f>ProductLine[[#This Row],[Units]]*ProductLine[[#This Row],[Dollars]]</f>
        <v>39.992853013544412</v>
      </c>
    </row>
    <row r="200" spans="1:9" x14ac:dyDescent="0.35">
      <c r="A200">
        <v>199</v>
      </c>
      <c r="B200" t="s">
        <v>14</v>
      </c>
      <c r="C200" s="2">
        <v>39046</v>
      </c>
      <c r="D200">
        <f>YEAR(ProductLine[[#This Row],[Date]])</f>
        <v>2006</v>
      </c>
      <c r="E200">
        <f>MONTH(ProductLine[[#This Row],[Date]])</f>
        <v>11</v>
      </c>
      <c r="F200" t="s">
        <v>27</v>
      </c>
      <c r="G200">
        <v>81</v>
      </c>
      <c r="H200" s="3">
        <v>244.68104192003952</v>
      </c>
      <c r="I200" s="3">
        <f>ProductLine[[#This Row],[Units]]*ProductLine[[#This Row],[Dollars]]</f>
        <v>19819.164395523199</v>
      </c>
    </row>
    <row r="201" spans="1:9" x14ac:dyDescent="0.35">
      <c r="A201">
        <v>200</v>
      </c>
      <c r="B201" t="s">
        <v>14</v>
      </c>
      <c r="C201" s="2">
        <v>38793</v>
      </c>
      <c r="D201">
        <f>YEAR(ProductLine[[#This Row],[Date]])</f>
        <v>2006</v>
      </c>
      <c r="E201">
        <f>MONTH(ProductLine[[#This Row],[Date]])</f>
        <v>3</v>
      </c>
      <c r="F201" t="s">
        <v>26</v>
      </c>
      <c r="G201">
        <v>21</v>
      </c>
      <c r="H201" s="3">
        <v>64.744003374094902</v>
      </c>
      <c r="I201" s="3">
        <f>ProductLine[[#This Row],[Units]]*ProductLine[[#This Row],[Dollars]]</f>
        <v>1359.6240708559928</v>
      </c>
    </row>
    <row r="202" spans="1:9" x14ac:dyDescent="0.35">
      <c r="A202">
        <v>201</v>
      </c>
      <c r="B202" t="s">
        <v>17</v>
      </c>
      <c r="C202" s="2">
        <v>38529</v>
      </c>
      <c r="D202">
        <f>YEAR(ProductLine[[#This Row],[Date]])</f>
        <v>2005</v>
      </c>
      <c r="E202">
        <f>MONTH(ProductLine[[#This Row],[Date]])</f>
        <v>6</v>
      </c>
      <c r="F202" t="s">
        <v>26</v>
      </c>
      <c r="G202">
        <v>21</v>
      </c>
      <c r="H202" s="3">
        <v>64.863192319117914</v>
      </c>
      <c r="I202" s="3">
        <f>ProductLine[[#This Row],[Units]]*ProductLine[[#This Row],[Dollars]]</f>
        <v>1362.1270387014763</v>
      </c>
    </row>
    <row r="203" spans="1:9" x14ac:dyDescent="0.35">
      <c r="A203">
        <v>202</v>
      </c>
      <c r="B203" t="s">
        <v>10</v>
      </c>
      <c r="C203" s="2">
        <v>38716</v>
      </c>
      <c r="D203">
        <f>YEAR(ProductLine[[#This Row],[Date]])</f>
        <v>2005</v>
      </c>
      <c r="E203">
        <f>MONTH(ProductLine[[#This Row],[Date]])</f>
        <v>12</v>
      </c>
      <c r="F203" t="s">
        <v>24</v>
      </c>
      <c r="G203">
        <v>-3</v>
      </c>
      <c r="H203" s="3">
        <v>-7.154085897104931</v>
      </c>
      <c r="I203" s="3">
        <f>ProductLine[[#This Row],[Units]]*ProductLine[[#This Row],[Dollars]]</f>
        <v>21.462257691314793</v>
      </c>
    </row>
    <row r="204" spans="1:9" x14ac:dyDescent="0.35">
      <c r="A204">
        <v>203</v>
      </c>
      <c r="B204" t="s">
        <v>17</v>
      </c>
      <c r="C204" s="2">
        <v>39079</v>
      </c>
      <c r="D204">
        <f>YEAR(ProductLine[[#This Row],[Date]])</f>
        <v>2006</v>
      </c>
      <c r="E204">
        <f>MONTH(ProductLine[[#This Row],[Date]])</f>
        <v>12</v>
      </c>
      <c r="F204" t="s">
        <v>23</v>
      </c>
      <c r="G204">
        <v>57</v>
      </c>
      <c r="H204" s="3">
        <v>173.64445114790863</v>
      </c>
      <c r="I204" s="3">
        <f>ProductLine[[#This Row],[Units]]*ProductLine[[#This Row],[Dollars]]</f>
        <v>9897.7337154307916</v>
      </c>
    </row>
    <row r="205" spans="1:9" x14ac:dyDescent="0.35">
      <c r="A205">
        <v>204</v>
      </c>
      <c r="B205" t="s">
        <v>17</v>
      </c>
      <c r="C205" s="2">
        <v>38947</v>
      </c>
      <c r="D205">
        <f>YEAR(ProductLine[[#This Row],[Date]])</f>
        <v>2006</v>
      </c>
      <c r="E205">
        <f>MONTH(ProductLine[[#This Row],[Date]])</f>
        <v>8</v>
      </c>
      <c r="F205" t="s">
        <v>23</v>
      </c>
      <c r="G205">
        <v>86</v>
      </c>
      <c r="H205" s="3">
        <v>259.30970727563493</v>
      </c>
      <c r="I205" s="3">
        <f>ProductLine[[#This Row],[Units]]*ProductLine[[#This Row],[Dollars]]</f>
        <v>22300.634825704605</v>
      </c>
    </row>
    <row r="206" spans="1:9" x14ac:dyDescent="0.35">
      <c r="A206">
        <v>205</v>
      </c>
      <c r="B206" t="s">
        <v>16</v>
      </c>
      <c r="C206" s="2">
        <v>38826</v>
      </c>
      <c r="D206">
        <f>YEAR(ProductLine[[#This Row],[Date]])</f>
        <v>2006</v>
      </c>
      <c r="E206">
        <f>MONTH(ProductLine[[#This Row],[Date]])</f>
        <v>4</v>
      </c>
      <c r="F206" t="s">
        <v>24</v>
      </c>
      <c r="G206">
        <v>14</v>
      </c>
      <c r="H206" s="3">
        <v>44.139016120906668</v>
      </c>
      <c r="I206" s="3">
        <f>ProductLine[[#This Row],[Units]]*ProductLine[[#This Row],[Dollars]]</f>
        <v>617.94622569269336</v>
      </c>
    </row>
    <row r="207" spans="1:9" x14ac:dyDescent="0.35">
      <c r="A207">
        <v>206</v>
      </c>
      <c r="B207" t="s">
        <v>10</v>
      </c>
      <c r="C207" s="2">
        <v>39057</v>
      </c>
      <c r="D207">
        <f>YEAR(ProductLine[[#This Row],[Date]])</f>
        <v>2006</v>
      </c>
      <c r="E207">
        <f>MONTH(ProductLine[[#This Row],[Date]])</f>
        <v>12</v>
      </c>
      <c r="F207" t="s">
        <v>25</v>
      </c>
      <c r="G207">
        <v>20</v>
      </c>
      <c r="H207" s="3">
        <v>61.955881135465603</v>
      </c>
      <c r="I207" s="3">
        <f>ProductLine[[#This Row],[Units]]*ProductLine[[#This Row],[Dollars]]</f>
        <v>1239.1176227093119</v>
      </c>
    </row>
    <row r="208" spans="1:9" x14ac:dyDescent="0.35">
      <c r="A208">
        <v>207</v>
      </c>
      <c r="B208" t="s">
        <v>13</v>
      </c>
      <c r="C208" s="2">
        <v>38023</v>
      </c>
      <c r="D208">
        <f>YEAR(ProductLine[[#This Row],[Date]])</f>
        <v>2004</v>
      </c>
      <c r="E208">
        <f>MONTH(ProductLine[[#This Row],[Date]])</f>
        <v>2</v>
      </c>
      <c r="F208" t="s">
        <v>27</v>
      </c>
      <c r="G208">
        <v>60</v>
      </c>
      <c r="H208" s="3">
        <v>181.93942640636905</v>
      </c>
      <c r="I208" s="3">
        <f>ProductLine[[#This Row],[Units]]*ProductLine[[#This Row],[Dollars]]</f>
        <v>10916.365584382143</v>
      </c>
    </row>
    <row r="209" spans="1:9" x14ac:dyDescent="0.35">
      <c r="A209">
        <v>208</v>
      </c>
      <c r="B209" t="s">
        <v>16</v>
      </c>
      <c r="C209" s="2">
        <v>38903</v>
      </c>
      <c r="D209">
        <f>YEAR(ProductLine[[#This Row],[Date]])</f>
        <v>2006</v>
      </c>
      <c r="E209">
        <f>MONTH(ProductLine[[#This Row],[Date]])</f>
        <v>7</v>
      </c>
      <c r="F209" t="s">
        <v>26</v>
      </c>
      <c r="G209">
        <v>45</v>
      </c>
      <c r="H209" s="3">
        <v>137.15507832075065</v>
      </c>
      <c r="I209" s="3">
        <f>ProductLine[[#This Row],[Units]]*ProductLine[[#This Row],[Dollars]]</f>
        <v>6171.9785244337791</v>
      </c>
    </row>
    <row r="210" spans="1:9" x14ac:dyDescent="0.35">
      <c r="A210">
        <v>209</v>
      </c>
      <c r="B210" t="s">
        <v>16</v>
      </c>
      <c r="C210" s="2">
        <v>38078</v>
      </c>
      <c r="D210">
        <f>YEAR(ProductLine[[#This Row],[Date]])</f>
        <v>2004</v>
      </c>
      <c r="E210">
        <f>MONTH(ProductLine[[#This Row],[Date]])</f>
        <v>4</v>
      </c>
      <c r="F210" t="s">
        <v>26</v>
      </c>
      <c r="G210">
        <v>7</v>
      </c>
      <c r="H210" s="3">
        <v>22.99759982335349</v>
      </c>
      <c r="I210" s="3">
        <f>ProductLine[[#This Row],[Units]]*ProductLine[[#This Row],[Dollars]]</f>
        <v>160.98319876347443</v>
      </c>
    </row>
    <row r="211" spans="1:9" x14ac:dyDescent="0.35">
      <c r="A211">
        <v>210</v>
      </c>
      <c r="B211" t="s">
        <v>9</v>
      </c>
      <c r="C211" s="2">
        <v>38782</v>
      </c>
      <c r="D211">
        <f>YEAR(ProductLine[[#This Row],[Date]])</f>
        <v>2006</v>
      </c>
      <c r="E211">
        <f>MONTH(ProductLine[[#This Row],[Date]])</f>
        <v>3</v>
      </c>
      <c r="F211" t="s">
        <v>23</v>
      </c>
      <c r="G211">
        <v>-6</v>
      </c>
      <c r="H211" s="3">
        <v>-16.334472666280842</v>
      </c>
      <c r="I211" s="3">
        <f>ProductLine[[#This Row],[Units]]*ProductLine[[#This Row],[Dollars]]</f>
        <v>98.006835997685045</v>
      </c>
    </row>
    <row r="212" spans="1:9" x14ac:dyDescent="0.35">
      <c r="A212">
        <v>211</v>
      </c>
      <c r="B212" t="s">
        <v>16</v>
      </c>
      <c r="C212" s="2">
        <v>38837</v>
      </c>
      <c r="D212">
        <f>YEAR(ProductLine[[#This Row],[Date]])</f>
        <v>2006</v>
      </c>
      <c r="E212">
        <f>MONTH(ProductLine[[#This Row],[Date]])</f>
        <v>4</v>
      </c>
      <c r="F212" t="s">
        <v>23</v>
      </c>
      <c r="G212">
        <v>35</v>
      </c>
      <c r="H212" s="3">
        <v>106.89982221762149</v>
      </c>
      <c r="I212" s="3">
        <f>ProductLine[[#This Row],[Units]]*ProductLine[[#This Row],[Dollars]]</f>
        <v>3741.4937776167521</v>
      </c>
    </row>
    <row r="213" spans="1:9" x14ac:dyDescent="0.35">
      <c r="A213">
        <v>212</v>
      </c>
      <c r="B213" t="s">
        <v>13</v>
      </c>
      <c r="C213" s="2">
        <v>38848</v>
      </c>
      <c r="D213">
        <f>YEAR(ProductLine[[#This Row],[Date]])</f>
        <v>2006</v>
      </c>
      <c r="E213">
        <f>MONTH(ProductLine[[#This Row],[Date]])</f>
        <v>5</v>
      </c>
      <c r="F213" t="s">
        <v>24</v>
      </c>
      <c r="G213">
        <v>31</v>
      </c>
      <c r="H213" s="3">
        <v>95.13200096066403</v>
      </c>
      <c r="I213" s="3">
        <f>ProductLine[[#This Row],[Units]]*ProductLine[[#This Row],[Dollars]]</f>
        <v>2949.0920297805851</v>
      </c>
    </row>
    <row r="214" spans="1:9" x14ac:dyDescent="0.35">
      <c r="A214">
        <v>213</v>
      </c>
      <c r="B214" t="s">
        <v>16</v>
      </c>
      <c r="C214" s="2">
        <v>38672</v>
      </c>
      <c r="D214">
        <f>YEAR(ProductLine[[#This Row],[Date]])</f>
        <v>2005</v>
      </c>
      <c r="E214">
        <f>MONTH(ProductLine[[#This Row],[Date]])</f>
        <v>11</v>
      </c>
      <c r="F214" t="s">
        <v>23</v>
      </c>
      <c r="G214">
        <v>19</v>
      </c>
      <c r="H214" s="3">
        <v>59.075740928551383</v>
      </c>
      <c r="I214" s="3">
        <f>ProductLine[[#This Row],[Units]]*ProductLine[[#This Row],[Dollars]]</f>
        <v>1122.4390776424764</v>
      </c>
    </row>
    <row r="215" spans="1:9" x14ac:dyDescent="0.35">
      <c r="A215">
        <v>214</v>
      </c>
      <c r="B215" t="s">
        <v>12</v>
      </c>
      <c r="C215" s="2">
        <v>38760</v>
      </c>
      <c r="D215">
        <f>YEAR(ProductLine[[#This Row],[Date]])</f>
        <v>2006</v>
      </c>
      <c r="E215">
        <f>MONTH(ProductLine[[#This Row],[Date]])</f>
        <v>2</v>
      </c>
      <c r="F215" t="s">
        <v>26</v>
      </c>
      <c r="G215">
        <v>35</v>
      </c>
      <c r="H215" s="3">
        <v>106.64339916643026</v>
      </c>
      <c r="I215" s="3">
        <f>ProductLine[[#This Row],[Units]]*ProductLine[[#This Row],[Dollars]]</f>
        <v>3732.5189708250591</v>
      </c>
    </row>
    <row r="216" spans="1:9" x14ac:dyDescent="0.35">
      <c r="A216">
        <v>215</v>
      </c>
      <c r="B216" t="s">
        <v>9</v>
      </c>
      <c r="C216" s="2">
        <v>38353</v>
      </c>
      <c r="D216">
        <f>YEAR(ProductLine[[#This Row],[Date]])</f>
        <v>2005</v>
      </c>
      <c r="E216">
        <f>MONTH(ProductLine[[#This Row],[Date]])</f>
        <v>1</v>
      </c>
      <c r="F216" t="s">
        <v>25</v>
      </c>
      <c r="G216">
        <v>51</v>
      </c>
      <c r="H216" s="3">
        <v>154.59771582934854</v>
      </c>
      <c r="I216" s="3">
        <f>ProductLine[[#This Row],[Units]]*ProductLine[[#This Row],[Dollars]]</f>
        <v>7884.4835072967762</v>
      </c>
    </row>
    <row r="217" spans="1:9" x14ac:dyDescent="0.35">
      <c r="A217">
        <v>216</v>
      </c>
      <c r="B217" t="s">
        <v>10</v>
      </c>
      <c r="C217" s="2">
        <v>38771</v>
      </c>
      <c r="D217">
        <f>YEAR(ProductLine[[#This Row],[Date]])</f>
        <v>2006</v>
      </c>
      <c r="E217">
        <f>MONTH(ProductLine[[#This Row],[Date]])</f>
        <v>2</v>
      </c>
      <c r="F217" t="s">
        <v>27</v>
      </c>
      <c r="G217">
        <v>1</v>
      </c>
      <c r="H217" s="3">
        <v>5.3867139626812968</v>
      </c>
      <c r="I217" s="3">
        <f>ProductLine[[#This Row],[Units]]*ProductLine[[#This Row],[Dollars]]</f>
        <v>5.3867139626812968</v>
      </c>
    </row>
    <row r="218" spans="1:9" x14ac:dyDescent="0.35">
      <c r="A218">
        <v>217</v>
      </c>
      <c r="B218" t="s">
        <v>17</v>
      </c>
      <c r="C218" s="2">
        <v>38254</v>
      </c>
      <c r="D218">
        <f>YEAR(ProductLine[[#This Row],[Date]])</f>
        <v>2004</v>
      </c>
      <c r="E218">
        <f>MONTH(ProductLine[[#This Row],[Date]])</f>
        <v>9</v>
      </c>
      <c r="F218" t="s">
        <v>24</v>
      </c>
      <c r="G218">
        <v>67</v>
      </c>
      <c r="H218" s="3">
        <v>203.35912709646638</v>
      </c>
      <c r="I218" s="3">
        <f>ProductLine[[#This Row],[Units]]*ProductLine[[#This Row],[Dollars]]</f>
        <v>13625.061515463247</v>
      </c>
    </row>
    <row r="219" spans="1:9" x14ac:dyDescent="0.35">
      <c r="A219">
        <v>218</v>
      </c>
      <c r="B219" t="s">
        <v>17</v>
      </c>
      <c r="C219" s="2">
        <v>38441</v>
      </c>
      <c r="D219">
        <f>YEAR(ProductLine[[#This Row],[Date]])</f>
        <v>2005</v>
      </c>
      <c r="E219">
        <f>MONTH(ProductLine[[#This Row],[Date]])</f>
        <v>3</v>
      </c>
      <c r="F219" t="s">
        <v>27</v>
      </c>
      <c r="G219">
        <v>23</v>
      </c>
      <c r="H219" s="3">
        <v>71.412597536524615</v>
      </c>
      <c r="I219" s="3">
        <f>ProductLine[[#This Row],[Units]]*ProductLine[[#This Row],[Dollars]]</f>
        <v>1642.4897433400661</v>
      </c>
    </row>
    <row r="220" spans="1:9" x14ac:dyDescent="0.35">
      <c r="A220">
        <v>219</v>
      </c>
      <c r="B220" t="s">
        <v>13</v>
      </c>
      <c r="C220" s="2">
        <v>38386</v>
      </c>
      <c r="D220">
        <f>YEAR(ProductLine[[#This Row],[Date]])</f>
        <v>2005</v>
      </c>
      <c r="E220">
        <f>MONTH(ProductLine[[#This Row],[Date]])</f>
        <v>2</v>
      </c>
      <c r="F220" t="s">
        <v>24</v>
      </c>
      <c r="G220">
        <v>41</v>
      </c>
      <c r="H220" s="3">
        <v>125.23475441561757</v>
      </c>
      <c r="I220" s="3">
        <f>ProductLine[[#This Row],[Units]]*ProductLine[[#This Row],[Dollars]]</f>
        <v>5134.6249310403209</v>
      </c>
    </row>
    <row r="221" spans="1:9" x14ac:dyDescent="0.35">
      <c r="A221">
        <v>220</v>
      </c>
      <c r="B221" t="s">
        <v>11</v>
      </c>
      <c r="C221" s="2">
        <v>38001</v>
      </c>
      <c r="D221">
        <f>YEAR(ProductLine[[#This Row],[Date]])</f>
        <v>2004</v>
      </c>
      <c r="E221">
        <f>MONTH(ProductLine[[#This Row],[Date]])</f>
        <v>1</v>
      </c>
      <c r="F221" t="s">
        <v>27</v>
      </c>
      <c r="G221">
        <v>27</v>
      </c>
      <c r="H221" s="3">
        <v>83.195110350521588</v>
      </c>
      <c r="I221" s="3">
        <f>ProductLine[[#This Row],[Units]]*ProductLine[[#This Row],[Dollars]]</f>
        <v>2246.2679794640831</v>
      </c>
    </row>
    <row r="222" spans="1:9" x14ac:dyDescent="0.35">
      <c r="A222">
        <v>221</v>
      </c>
      <c r="B222" t="s">
        <v>14</v>
      </c>
      <c r="C222" s="2">
        <v>38980</v>
      </c>
      <c r="D222">
        <f>YEAR(ProductLine[[#This Row],[Date]])</f>
        <v>2006</v>
      </c>
      <c r="E222">
        <f>MONTH(ProductLine[[#This Row],[Date]])</f>
        <v>9</v>
      </c>
      <c r="F222" t="s">
        <v>24</v>
      </c>
      <c r="G222">
        <v>56</v>
      </c>
      <c r="H222" s="3">
        <v>170.17512557022724</v>
      </c>
      <c r="I222" s="3">
        <f>ProductLine[[#This Row],[Units]]*ProductLine[[#This Row],[Dollars]]</f>
        <v>9529.8070319327253</v>
      </c>
    </row>
    <row r="223" spans="1:9" x14ac:dyDescent="0.35">
      <c r="A223">
        <v>222</v>
      </c>
      <c r="B223" t="s">
        <v>11</v>
      </c>
      <c r="C223" s="2">
        <v>38188</v>
      </c>
      <c r="D223">
        <f>YEAR(ProductLine[[#This Row],[Date]])</f>
        <v>2004</v>
      </c>
      <c r="E223">
        <f>MONTH(ProductLine[[#This Row],[Date]])</f>
        <v>7</v>
      </c>
      <c r="F223" t="s">
        <v>27</v>
      </c>
      <c r="G223">
        <v>67</v>
      </c>
      <c r="H223" s="3">
        <v>203.35311949602652</v>
      </c>
      <c r="I223" s="3">
        <f>ProductLine[[#This Row],[Units]]*ProductLine[[#This Row],[Dollars]]</f>
        <v>13624.659006233776</v>
      </c>
    </row>
    <row r="224" spans="1:9" x14ac:dyDescent="0.35">
      <c r="A224">
        <v>223</v>
      </c>
      <c r="B224" t="s">
        <v>9</v>
      </c>
      <c r="C224" s="2">
        <v>38243</v>
      </c>
      <c r="D224">
        <f>YEAR(ProductLine[[#This Row],[Date]])</f>
        <v>2004</v>
      </c>
      <c r="E224">
        <f>MONTH(ProductLine[[#This Row],[Date]])</f>
        <v>9</v>
      </c>
      <c r="F224" t="s">
        <v>24</v>
      </c>
      <c r="G224">
        <v>94</v>
      </c>
      <c r="H224" s="3">
        <v>283.74141758000144</v>
      </c>
      <c r="I224" s="3">
        <f>ProductLine[[#This Row],[Units]]*ProductLine[[#This Row],[Dollars]]</f>
        <v>26671.693252520134</v>
      </c>
    </row>
    <row r="225" spans="1:9" x14ac:dyDescent="0.35">
      <c r="A225">
        <v>224</v>
      </c>
      <c r="B225" t="s">
        <v>14</v>
      </c>
      <c r="C225" s="2">
        <v>38265</v>
      </c>
      <c r="D225">
        <f>YEAR(ProductLine[[#This Row],[Date]])</f>
        <v>2004</v>
      </c>
      <c r="E225">
        <f>MONTH(ProductLine[[#This Row],[Date]])</f>
        <v>10</v>
      </c>
      <c r="F225" t="s">
        <v>26</v>
      </c>
      <c r="G225">
        <v>52</v>
      </c>
      <c r="H225" s="3">
        <v>158.2973319694853</v>
      </c>
      <c r="I225" s="3">
        <f>ProductLine[[#This Row],[Units]]*ProductLine[[#This Row],[Dollars]]</f>
        <v>8231.4612624132351</v>
      </c>
    </row>
    <row r="226" spans="1:9" x14ac:dyDescent="0.35">
      <c r="A226">
        <v>225</v>
      </c>
      <c r="B226" t="s">
        <v>12</v>
      </c>
      <c r="C226" s="2">
        <v>38023</v>
      </c>
      <c r="D226">
        <f>YEAR(ProductLine[[#This Row],[Date]])</f>
        <v>2004</v>
      </c>
      <c r="E226">
        <f>MONTH(ProductLine[[#This Row],[Date]])</f>
        <v>2</v>
      </c>
      <c r="F226" t="s">
        <v>25</v>
      </c>
      <c r="G226">
        <v>24</v>
      </c>
      <c r="H226" s="3">
        <v>74.243899422562194</v>
      </c>
      <c r="I226" s="3">
        <f>ProductLine[[#This Row],[Units]]*ProductLine[[#This Row],[Dollars]]</f>
        <v>1781.8535861414925</v>
      </c>
    </row>
    <row r="227" spans="1:9" x14ac:dyDescent="0.35">
      <c r="A227">
        <v>226</v>
      </c>
      <c r="B227" t="s">
        <v>16</v>
      </c>
      <c r="C227" s="2">
        <v>38144</v>
      </c>
      <c r="D227">
        <f>YEAR(ProductLine[[#This Row],[Date]])</f>
        <v>2004</v>
      </c>
      <c r="E227">
        <f>MONTH(ProductLine[[#This Row],[Date]])</f>
        <v>6</v>
      </c>
      <c r="F227" t="s">
        <v>23</v>
      </c>
      <c r="G227">
        <v>-1</v>
      </c>
      <c r="H227" s="3">
        <v>-0.91770776800017373</v>
      </c>
      <c r="I227" s="3">
        <f>ProductLine[[#This Row],[Units]]*ProductLine[[#This Row],[Dollars]]</f>
        <v>0.91770776800017373</v>
      </c>
    </row>
    <row r="228" spans="1:9" x14ac:dyDescent="0.35">
      <c r="A228">
        <v>227</v>
      </c>
      <c r="B228" t="s">
        <v>10</v>
      </c>
      <c r="C228" s="2">
        <v>38738</v>
      </c>
      <c r="D228">
        <f>YEAR(ProductLine[[#This Row],[Date]])</f>
        <v>2006</v>
      </c>
      <c r="E228">
        <f>MONTH(ProductLine[[#This Row],[Date]])</f>
        <v>1</v>
      </c>
      <c r="F228" t="s">
        <v>26</v>
      </c>
      <c r="G228">
        <v>37</v>
      </c>
      <c r="H228" s="3">
        <v>112.52158206006119</v>
      </c>
      <c r="I228" s="3">
        <f>ProductLine[[#This Row],[Units]]*ProductLine[[#This Row],[Dollars]]</f>
        <v>4163.2985362222644</v>
      </c>
    </row>
    <row r="229" spans="1:9" x14ac:dyDescent="0.35">
      <c r="A229">
        <v>228</v>
      </c>
      <c r="B229" t="s">
        <v>9</v>
      </c>
      <c r="C229" s="2">
        <v>38771</v>
      </c>
      <c r="D229">
        <f>YEAR(ProductLine[[#This Row],[Date]])</f>
        <v>2006</v>
      </c>
      <c r="E229">
        <f>MONTH(ProductLine[[#This Row],[Date]])</f>
        <v>2</v>
      </c>
      <c r="F229" t="s">
        <v>24</v>
      </c>
      <c r="G229">
        <v>63</v>
      </c>
      <c r="H229" s="3">
        <v>191.4542393048981</v>
      </c>
      <c r="I229" s="3">
        <f>ProductLine[[#This Row],[Units]]*ProductLine[[#This Row],[Dollars]]</f>
        <v>12061.61707620858</v>
      </c>
    </row>
    <row r="230" spans="1:9" x14ac:dyDescent="0.35">
      <c r="A230">
        <v>229</v>
      </c>
      <c r="B230" t="s">
        <v>17</v>
      </c>
      <c r="C230" s="2">
        <v>38089</v>
      </c>
      <c r="D230">
        <f>YEAR(ProductLine[[#This Row],[Date]])</f>
        <v>2004</v>
      </c>
      <c r="E230">
        <f>MONTH(ProductLine[[#This Row],[Date]])</f>
        <v>4</v>
      </c>
      <c r="F230" t="s">
        <v>23</v>
      </c>
      <c r="G230">
        <v>13</v>
      </c>
      <c r="H230" s="3">
        <v>41.010346846521706</v>
      </c>
      <c r="I230" s="3">
        <f>ProductLine[[#This Row],[Units]]*ProductLine[[#This Row],[Dollars]]</f>
        <v>533.13450900478222</v>
      </c>
    </row>
    <row r="231" spans="1:9" x14ac:dyDescent="0.35">
      <c r="A231">
        <v>230</v>
      </c>
      <c r="B231" t="s">
        <v>10</v>
      </c>
      <c r="C231" s="2">
        <v>39046</v>
      </c>
      <c r="D231">
        <f>YEAR(ProductLine[[#This Row],[Date]])</f>
        <v>2006</v>
      </c>
      <c r="E231">
        <f>MONTH(ProductLine[[#This Row],[Date]])</f>
        <v>11</v>
      </c>
      <c r="F231" t="s">
        <v>23</v>
      </c>
      <c r="G231">
        <v>7</v>
      </c>
      <c r="H231" s="3">
        <v>22.334877359058812</v>
      </c>
      <c r="I231" s="3">
        <f>ProductLine[[#This Row],[Units]]*ProductLine[[#This Row],[Dollars]]</f>
        <v>156.34414151341167</v>
      </c>
    </row>
    <row r="232" spans="1:9" x14ac:dyDescent="0.35">
      <c r="A232">
        <v>231</v>
      </c>
      <c r="B232" t="s">
        <v>12</v>
      </c>
      <c r="C232" s="2">
        <v>38067</v>
      </c>
      <c r="D232">
        <f>YEAR(ProductLine[[#This Row],[Date]])</f>
        <v>2004</v>
      </c>
      <c r="E232">
        <f>MONTH(ProductLine[[#This Row],[Date]])</f>
        <v>3</v>
      </c>
      <c r="F232" t="s">
        <v>23</v>
      </c>
      <c r="G232">
        <v>64</v>
      </c>
      <c r="H232" s="3">
        <v>193.83879299726061</v>
      </c>
      <c r="I232" s="3">
        <f>ProductLine[[#This Row],[Units]]*ProductLine[[#This Row],[Dollars]]</f>
        <v>12405.682751824679</v>
      </c>
    </row>
    <row r="233" spans="1:9" x14ac:dyDescent="0.35">
      <c r="A233">
        <v>232</v>
      </c>
      <c r="B233" t="s">
        <v>11</v>
      </c>
      <c r="C233" s="2">
        <v>38144</v>
      </c>
      <c r="D233">
        <f>YEAR(ProductLine[[#This Row],[Date]])</f>
        <v>2004</v>
      </c>
      <c r="E233">
        <f>MONTH(ProductLine[[#This Row],[Date]])</f>
        <v>6</v>
      </c>
      <c r="F233" t="s">
        <v>23</v>
      </c>
      <c r="G233">
        <v>63</v>
      </c>
      <c r="H233" s="3">
        <v>190.90668689411601</v>
      </c>
      <c r="I233" s="3">
        <f>ProductLine[[#This Row],[Units]]*ProductLine[[#This Row],[Dollars]]</f>
        <v>12027.121274329309</v>
      </c>
    </row>
    <row r="234" spans="1:9" x14ac:dyDescent="0.35">
      <c r="A234">
        <v>233</v>
      </c>
      <c r="B234" t="s">
        <v>15</v>
      </c>
      <c r="C234" s="2">
        <v>38210</v>
      </c>
      <c r="D234">
        <f>YEAR(ProductLine[[#This Row],[Date]])</f>
        <v>2004</v>
      </c>
      <c r="E234">
        <f>MONTH(ProductLine[[#This Row],[Date]])</f>
        <v>8</v>
      </c>
      <c r="F234" t="s">
        <v>27</v>
      </c>
      <c r="G234">
        <v>57</v>
      </c>
      <c r="H234" s="3">
        <v>173.59022125804509</v>
      </c>
      <c r="I234" s="3">
        <f>ProductLine[[#This Row],[Units]]*ProductLine[[#This Row],[Dollars]]</f>
        <v>9894.6426117085703</v>
      </c>
    </row>
    <row r="235" spans="1:9" x14ac:dyDescent="0.35">
      <c r="A235">
        <v>234</v>
      </c>
      <c r="B235" t="s">
        <v>15</v>
      </c>
      <c r="C235" s="2">
        <v>38298</v>
      </c>
      <c r="D235">
        <f>YEAR(ProductLine[[#This Row],[Date]])</f>
        <v>2004</v>
      </c>
      <c r="E235">
        <f>MONTH(ProductLine[[#This Row],[Date]])</f>
        <v>11</v>
      </c>
      <c r="F235" t="s">
        <v>27</v>
      </c>
      <c r="G235">
        <v>59</v>
      </c>
      <c r="H235" s="3">
        <v>178.9266502635322</v>
      </c>
      <c r="I235" s="3">
        <f>ProductLine[[#This Row],[Units]]*ProductLine[[#This Row],[Dollars]]</f>
        <v>10556.6723655484</v>
      </c>
    </row>
    <row r="236" spans="1:9" x14ac:dyDescent="0.35">
      <c r="A236">
        <v>235</v>
      </c>
      <c r="B236" t="s">
        <v>16</v>
      </c>
      <c r="C236" s="2">
        <v>38342</v>
      </c>
      <c r="D236">
        <f>YEAR(ProductLine[[#This Row],[Date]])</f>
        <v>2004</v>
      </c>
      <c r="E236">
        <f>MONTH(ProductLine[[#This Row],[Date]])</f>
        <v>12</v>
      </c>
      <c r="F236" t="s">
        <v>24</v>
      </c>
      <c r="G236">
        <v>-3</v>
      </c>
      <c r="H236" s="3">
        <v>-7.2637597489178187</v>
      </c>
      <c r="I236" s="3">
        <f>ProductLine[[#This Row],[Units]]*ProductLine[[#This Row],[Dollars]]</f>
        <v>21.791279246753454</v>
      </c>
    </row>
    <row r="237" spans="1:9" x14ac:dyDescent="0.35">
      <c r="A237">
        <v>236</v>
      </c>
      <c r="B237" t="s">
        <v>17</v>
      </c>
      <c r="C237" s="2">
        <v>38991</v>
      </c>
      <c r="D237">
        <f>YEAR(ProductLine[[#This Row],[Date]])</f>
        <v>2006</v>
      </c>
      <c r="E237">
        <f>MONTH(ProductLine[[#This Row],[Date]])</f>
        <v>10</v>
      </c>
      <c r="F237" t="s">
        <v>23</v>
      </c>
      <c r="G237">
        <v>86</v>
      </c>
      <c r="H237" s="3">
        <v>260.32907018535167</v>
      </c>
      <c r="I237" s="3">
        <f>ProductLine[[#This Row],[Units]]*ProductLine[[#This Row],[Dollars]]</f>
        <v>22388.300035940243</v>
      </c>
    </row>
    <row r="238" spans="1:9" x14ac:dyDescent="0.35">
      <c r="A238">
        <v>237</v>
      </c>
      <c r="B238" t="s">
        <v>14</v>
      </c>
      <c r="C238" s="2">
        <v>38254</v>
      </c>
      <c r="D238">
        <f>YEAR(ProductLine[[#This Row],[Date]])</f>
        <v>2004</v>
      </c>
      <c r="E238">
        <f>MONTH(ProductLine[[#This Row],[Date]])</f>
        <v>9</v>
      </c>
      <c r="F238" t="s">
        <v>26</v>
      </c>
      <c r="G238">
        <v>-4</v>
      </c>
      <c r="H238" s="3">
        <v>-9.9939520680829617</v>
      </c>
      <c r="I238" s="3">
        <f>ProductLine[[#This Row],[Units]]*ProductLine[[#This Row],[Dollars]]</f>
        <v>39.975808272331847</v>
      </c>
    </row>
    <row r="239" spans="1:9" x14ac:dyDescent="0.35">
      <c r="A239">
        <v>238</v>
      </c>
      <c r="B239" t="s">
        <v>11</v>
      </c>
      <c r="C239" s="2">
        <v>38353</v>
      </c>
      <c r="D239">
        <f>YEAR(ProductLine[[#This Row],[Date]])</f>
        <v>2005</v>
      </c>
      <c r="E239">
        <f>MONTH(ProductLine[[#This Row],[Date]])</f>
        <v>1</v>
      </c>
      <c r="F239" t="s">
        <v>23</v>
      </c>
      <c r="G239">
        <v>7</v>
      </c>
      <c r="H239" s="3">
        <v>23.654332569914828</v>
      </c>
      <c r="I239" s="3">
        <f>ProductLine[[#This Row],[Units]]*ProductLine[[#This Row],[Dollars]]</f>
        <v>165.5803279894038</v>
      </c>
    </row>
    <row r="240" spans="1:9" x14ac:dyDescent="0.35">
      <c r="A240">
        <v>239</v>
      </c>
      <c r="B240" t="s">
        <v>17</v>
      </c>
      <c r="C240" s="2">
        <v>38991</v>
      </c>
      <c r="D240">
        <f>YEAR(ProductLine[[#This Row],[Date]])</f>
        <v>2006</v>
      </c>
      <c r="E240">
        <f>MONTH(ProductLine[[#This Row],[Date]])</f>
        <v>10</v>
      </c>
      <c r="F240" t="s">
        <v>23</v>
      </c>
      <c r="G240">
        <v>43</v>
      </c>
      <c r="H240" s="3">
        <v>131.67769291502447</v>
      </c>
      <c r="I240" s="3">
        <f>ProductLine[[#This Row],[Units]]*ProductLine[[#This Row],[Dollars]]</f>
        <v>5662.1407953460521</v>
      </c>
    </row>
    <row r="241" spans="1:9" x14ac:dyDescent="0.35">
      <c r="A241">
        <v>240</v>
      </c>
      <c r="B241" t="s">
        <v>15</v>
      </c>
      <c r="C241" s="2">
        <v>38661</v>
      </c>
      <c r="D241">
        <f>YEAR(ProductLine[[#This Row],[Date]])</f>
        <v>2005</v>
      </c>
      <c r="E241">
        <f>MONTH(ProductLine[[#This Row],[Date]])</f>
        <v>11</v>
      </c>
      <c r="F241" t="s">
        <v>23</v>
      </c>
      <c r="G241">
        <v>2</v>
      </c>
      <c r="H241" s="3">
        <v>7.6348447793459382</v>
      </c>
      <c r="I241" s="3">
        <f>ProductLine[[#This Row],[Units]]*ProductLine[[#This Row],[Dollars]]</f>
        <v>15.269689558691876</v>
      </c>
    </row>
    <row r="242" spans="1:9" x14ac:dyDescent="0.35">
      <c r="A242">
        <v>241</v>
      </c>
      <c r="B242" t="s">
        <v>15</v>
      </c>
      <c r="C242" s="2">
        <v>38474</v>
      </c>
      <c r="D242">
        <f>YEAR(ProductLine[[#This Row],[Date]])</f>
        <v>2005</v>
      </c>
      <c r="E242">
        <f>MONTH(ProductLine[[#This Row],[Date]])</f>
        <v>5</v>
      </c>
      <c r="F242" t="s">
        <v>27</v>
      </c>
      <c r="G242">
        <v>85</v>
      </c>
      <c r="H242" s="3">
        <v>256.87957020946436</v>
      </c>
      <c r="I242" s="3">
        <f>ProductLine[[#This Row],[Units]]*ProductLine[[#This Row],[Dollars]]</f>
        <v>21834.763467804471</v>
      </c>
    </row>
    <row r="243" spans="1:9" x14ac:dyDescent="0.35">
      <c r="A243">
        <v>242</v>
      </c>
      <c r="B243" t="s">
        <v>15</v>
      </c>
      <c r="C243" s="2">
        <v>38463</v>
      </c>
      <c r="D243">
        <f>YEAR(ProductLine[[#This Row],[Date]])</f>
        <v>2005</v>
      </c>
      <c r="E243">
        <f>MONTH(ProductLine[[#This Row],[Date]])</f>
        <v>4</v>
      </c>
      <c r="F243" t="s">
        <v>26</v>
      </c>
      <c r="G243">
        <v>52</v>
      </c>
      <c r="H243" s="3">
        <v>158.18704198984506</v>
      </c>
      <c r="I243" s="3">
        <f>ProductLine[[#This Row],[Units]]*ProductLine[[#This Row],[Dollars]]</f>
        <v>8225.7261834719429</v>
      </c>
    </row>
    <row r="244" spans="1:9" x14ac:dyDescent="0.35">
      <c r="A244">
        <v>243</v>
      </c>
      <c r="B244" t="s">
        <v>13</v>
      </c>
      <c r="C244" s="2">
        <v>38177</v>
      </c>
      <c r="D244">
        <f>YEAR(ProductLine[[#This Row],[Date]])</f>
        <v>2004</v>
      </c>
      <c r="E244">
        <f>MONTH(ProductLine[[#This Row],[Date]])</f>
        <v>7</v>
      </c>
      <c r="F244" t="s">
        <v>25</v>
      </c>
      <c r="G244">
        <v>-3</v>
      </c>
      <c r="H244" s="3">
        <v>-7.3950210500886264</v>
      </c>
      <c r="I244" s="3">
        <f>ProductLine[[#This Row],[Units]]*ProductLine[[#This Row],[Dollars]]</f>
        <v>22.185063150265879</v>
      </c>
    </row>
    <row r="245" spans="1:9" x14ac:dyDescent="0.35">
      <c r="A245">
        <v>244</v>
      </c>
      <c r="B245" t="s">
        <v>14</v>
      </c>
      <c r="C245" s="2">
        <v>38408</v>
      </c>
      <c r="D245">
        <f>YEAR(ProductLine[[#This Row],[Date]])</f>
        <v>2005</v>
      </c>
      <c r="E245">
        <f>MONTH(ProductLine[[#This Row],[Date]])</f>
        <v>2</v>
      </c>
      <c r="F245" t="s">
        <v>26</v>
      </c>
      <c r="G245">
        <v>8</v>
      </c>
      <c r="H245" s="3">
        <v>25.546689047987762</v>
      </c>
      <c r="I245" s="3">
        <f>ProductLine[[#This Row],[Units]]*ProductLine[[#This Row],[Dollars]]</f>
        <v>204.3735123839021</v>
      </c>
    </row>
    <row r="246" spans="1:9" x14ac:dyDescent="0.35">
      <c r="A246">
        <v>245</v>
      </c>
      <c r="B246" t="s">
        <v>17</v>
      </c>
      <c r="C246" s="2">
        <v>38177</v>
      </c>
      <c r="D246">
        <f>YEAR(ProductLine[[#This Row],[Date]])</f>
        <v>2004</v>
      </c>
      <c r="E246">
        <f>MONTH(ProductLine[[#This Row],[Date]])</f>
        <v>7</v>
      </c>
      <c r="F246" t="s">
        <v>27</v>
      </c>
      <c r="G246">
        <v>5</v>
      </c>
      <c r="H246" s="3">
        <v>17.198905576452098</v>
      </c>
      <c r="I246" s="3">
        <f>ProductLine[[#This Row],[Units]]*ProductLine[[#This Row],[Dollars]]</f>
        <v>85.994527882260485</v>
      </c>
    </row>
    <row r="247" spans="1:9" x14ac:dyDescent="0.35">
      <c r="A247">
        <v>246</v>
      </c>
      <c r="B247" t="s">
        <v>10</v>
      </c>
      <c r="C247" s="2">
        <v>38958</v>
      </c>
      <c r="D247">
        <f>YEAR(ProductLine[[#This Row],[Date]])</f>
        <v>2006</v>
      </c>
      <c r="E247">
        <f>MONTH(ProductLine[[#This Row],[Date]])</f>
        <v>8</v>
      </c>
      <c r="F247" t="s">
        <v>27</v>
      </c>
      <c r="G247">
        <v>90</v>
      </c>
      <c r="H247" s="3">
        <v>272.09870438545738</v>
      </c>
      <c r="I247" s="3">
        <f>ProductLine[[#This Row],[Units]]*ProductLine[[#This Row],[Dollars]]</f>
        <v>24488.883394691165</v>
      </c>
    </row>
    <row r="248" spans="1:9" x14ac:dyDescent="0.35">
      <c r="A248">
        <v>247</v>
      </c>
      <c r="B248" t="s">
        <v>9</v>
      </c>
      <c r="C248" s="2">
        <v>39035</v>
      </c>
      <c r="D248">
        <f>YEAR(ProductLine[[#This Row],[Date]])</f>
        <v>2006</v>
      </c>
      <c r="E248">
        <f>MONTH(ProductLine[[#This Row],[Date]])</f>
        <v>11</v>
      </c>
      <c r="F248" t="s">
        <v>27</v>
      </c>
      <c r="G248">
        <v>36</v>
      </c>
      <c r="H248" s="3">
        <v>110.33744975059108</v>
      </c>
      <c r="I248" s="3">
        <f>ProductLine[[#This Row],[Units]]*ProductLine[[#This Row],[Dollars]]</f>
        <v>3972.1481910212788</v>
      </c>
    </row>
    <row r="249" spans="1:9" x14ac:dyDescent="0.35">
      <c r="A249">
        <v>248</v>
      </c>
      <c r="B249" t="s">
        <v>12</v>
      </c>
      <c r="C249" s="2">
        <v>38584</v>
      </c>
      <c r="D249">
        <f>YEAR(ProductLine[[#This Row],[Date]])</f>
        <v>2005</v>
      </c>
      <c r="E249">
        <f>MONTH(ProductLine[[#This Row],[Date]])</f>
        <v>8</v>
      </c>
      <c r="F249" t="s">
        <v>27</v>
      </c>
      <c r="G249">
        <v>25</v>
      </c>
      <c r="H249" s="3">
        <v>77.014900645073141</v>
      </c>
      <c r="I249" s="3">
        <f>ProductLine[[#This Row],[Units]]*ProductLine[[#This Row],[Dollars]]</f>
        <v>1925.3725161268285</v>
      </c>
    </row>
    <row r="250" spans="1:9" x14ac:dyDescent="0.35">
      <c r="A250">
        <v>249</v>
      </c>
      <c r="B250" t="s">
        <v>9</v>
      </c>
      <c r="C250" s="2">
        <v>38430</v>
      </c>
      <c r="D250">
        <f>YEAR(ProductLine[[#This Row],[Date]])</f>
        <v>2005</v>
      </c>
      <c r="E250">
        <f>MONTH(ProductLine[[#This Row],[Date]])</f>
        <v>3</v>
      </c>
      <c r="F250" t="s">
        <v>27</v>
      </c>
      <c r="G250">
        <v>7</v>
      </c>
      <c r="H250" s="3">
        <v>23.133204884254319</v>
      </c>
      <c r="I250" s="3">
        <f>ProductLine[[#This Row],[Units]]*ProductLine[[#This Row],[Dollars]]</f>
        <v>161.93243418978022</v>
      </c>
    </row>
    <row r="251" spans="1:9" x14ac:dyDescent="0.35">
      <c r="A251">
        <v>250</v>
      </c>
      <c r="B251" t="s">
        <v>13</v>
      </c>
      <c r="C251" s="2">
        <v>39024</v>
      </c>
      <c r="D251">
        <f>YEAR(ProductLine[[#This Row],[Date]])</f>
        <v>2006</v>
      </c>
      <c r="E251">
        <f>MONTH(ProductLine[[#This Row],[Date]])</f>
        <v>11</v>
      </c>
      <c r="F251" t="s">
        <v>27</v>
      </c>
      <c r="G251">
        <v>64</v>
      </c>
      <c r="H251" s="3">
        <v>194.25372471684716</v>
      </c>
      <c r="I251" s="3">
        <f>ProductLine[[#This Row],[Units]]*ProductLine[[#This Row],[Dollars]]</f>
        <v>12432.238381878218</v>
      </c>
    </row>
    <row r="252" spans="1:9" x14ac:dyDescent="0.35">
      <c r="A252">
        <v>251</v>
      </c>
      <c r="B252" t="s">
        <v>13</v>
      </c>
      <c r="C252" s="2">
        <v>38111</v>
      </c>
      <c r="D252">
        <f>YEAR(ProductLine[[#This Row],[Date]])</f>
        <v>2004</v>
      </c>
      <c r="E252">
        <f>MONTH(ProductLine[[#This Row],[Date]])</f>
        <v>5</v>
      </c>
      <c r="F252" t="s">
        <v>27</v>
      </c>
      <c r="G252">
        <v>71</v>
      </c>
      <c r="H252" s="3">
        <v>215.49309366005642</v>
      </c>
      <c r="I252" s="3">
        <f>ProductLine[[#This Row],[Units]]*ProductLine[[#This Row],[Dollars]]</f>
        <v>15300.009649864005</v>
      </c>
    </row>
    <row r="253" spans="1:9" x14ac:dyDescent="0.35">
      <c r="A253">
        <v>252</v>
      </c>
      <c r="B253" t="s">
        <v>11</v>
      </c>
      <c r="C253" s="2">
        <v>38452</v>
      </c>
      <c r="D253">
        <f>YEAR(ProductLine[[#This Row],[Date]])</f>
        <v>2005</v>
      </c>
      <c r="E253">
        <f>MONTH(ProductLine[[#This Row],[Date]])</f>
        <v>4</v>
      </c>
      <c r="F253" t="s">
        <v>26</v>
      </c>
      <c r="G253">
        <v>41</v>
      </c>
      <c r="H253" s="3">
        <v>124.81042324173134</v>
      </c>
      <c r="I253" s="3">
        <f>ProductLine[[#This Row],[Units]]*ProductLine[[#This Row],[Dollars]]</f>
        <v>5117.2273529109852</v>
      </c>
    </row>
    <row r="254" spans="1:9" x14ac:dyDescent="0.35">
      <c r="A254">
        <v>253</v>
      </c>
      <c r="B254" t="s">
        <v>11</v>
      </c>
      <c r="C254" s="2">
        <v>38254</v>
      </c>
      <c r="D254">
        <f>YEAR(ProductLine[[#This Row],[Date]])</f>
        <v>2004</v>
      </c>
      <c r="E254">
        <f>MONTH(ProductLine[[#This Row],[Date]])</f>
        <v>9</v>
      </c>
      <c r="F254" t="s">
        <v>24</v>
      </c>
      <c r="G254">
        <v>84</v>
      </c>
      <c r="H254" s="3">
        <v>253.28617965312779</v>
      </c>
      <c r="I254" s="3">
        <f>ProductLine[[#This Row],[Units]]*ProductLine[[#This Row],[Dollars]]</f>
        <v>21276.039090862734</v>
      </c>
    </row>
    <row r="255" spans="1:9" x14ac:dyDescent="0.35">
      <c r="A255">
        <v>254</v>
      </c>
      <c r="B255" t="s">
        <v>15</v>
      </c>
      <c r="C255" s="2">
        <v>38441</v>
      </c>
      <c r="D255">
        <f>YEAR(ProductLine[[#This Row],[Date]])</f>
        <v>2005</v>
      </c>
      <c r="E255">
        <f>MONTH(ProductLine[[#This Row],[Date]])</f>
        <v>3</v>
      </c>
      <c r="F255" t="s">
        <v>26</v>
      </c>
      <c r="G255">
        <v>3</v>
      </c>
      <c r="H255" s="3">
        <v>10.703015398687583</v>
      </c>
      <c r="I255" s="3">
        <f>ProductLine[[#This Row],[Units]]*ProductLine[[#This Row],[Dollars]]</f>
        <v>32.109046196062749</v>
      </c>
    </row>
    <row r="256" spans="1:9" x14ac:dyDescent="0.35">
      <c r="A256">
        <v>255</v>
      </c>
      <c r="B256" t="s">
        <v>11</v>
      </c>
      <c r="C256" s="2">
        <v>38078</v>
      </c>
      <c r="D256">
        <f>YEAR(ProductLine[[#This Row],[Date]])</f>
        <v>2004</v>
      </c>
      <c r="E256">
        <f>MONTH(ProductLine[[#This Row],[Date]])</f>
        <v>4</v>
      </c>
      <c r="F256" t="s">
        <v>24</v>
      </c>
      <c r="G256">
        <v>15</v>
      </c>
      <c r="H256" s="3">
        <v>46.761676481443232</v>
      </c>
      <c r="I256" s="3">
        <f>ProductLine[[#This Row],[Units]]*ProductLine[[#This Row],[Dollars]]</f>
        <v>701.42514722164844</v>
      </c>
    </row>
    <row r="257" spans="1:9" x14ac:dyDescent="0.35">
      <c r="A257">
        <v>256</v>
      </c>
      <c r="B257" t="s">
        <v>10</v>
      </c>
      <c r="C257" s="2">
        <v>38023</v>
      </c>
      <c r="D257">
        <f>YEAR(ProductLine[[#This Row],[Date]])</f>
        <v>2004</v>
      </c>
      <c r="E257">
        <f>MONTH(ProductLine[[#This Row],[Date]])</f>
        <v>2</v>
      </c>
      <c r="F257" t="s">
        <v>26</v>
      </c>
      <c r="G257">
        <v>1</v>
      </c>
      <c r="H257" s="3">
        <v>4.8820462029427096</v>
      </c>
      <c r="I257" s="3">
        <f>ProductLine[[#This Row],[Units]]*ProductLine[[#This Row],[Dollars]]</f>
        <v>4.8820462029427096</v>
      </c>
    </row>
    <row r="258" spans="1:9" x14ac:dyDescent="0.35">
      <c r="A258">
        <v>257</v>
      </c>
      <c r="B258" t="s">
        <v>10</v>
      </c>
      <c r="C258" s="2">
        <v>38540</v>
      </c>
      <c r="D258">
        <f>YEAR(ProductLine[[#This Row],[Date]])</f>
        <v>2005</v>
      </c>
      <c r="E258">
        <f>MONTH(ProductLine[[#This Row],[Date]])</f>
        <v>7</v>
      </c>
      <c r="F258" t="s">
        <v>27</v>
      </c>
      <c r="G258">
        <v>10</v>
      </c>
      <c r="H258" s="3">
        <v>32.468400196905996</v>
      </c>
      <c r="I258" s="3">
        <f>ProductLine[[#This Row],[Units]]*ProductLine[[#This Row],[Dollars]]</f>
        <v>324.68400196905998</v>
      </c>
    </row>
    <row r="259" spans="1:9" x14ac:dyDescent="0.35">
      <c r="A259">
        <v>258</v>
      </c>
      <c r="B259" t="s">
        <v>15</v>
      </c>
      <c r="C259" s="2">
        <v>38364</v>
      </c>
      <c r="D259">
        <f>YEAR(ProductLine[[#This Row],[Date]])</f>
        <v>2005</v>
      </c>
      <c r="E259">
        <f>MONTH(ProductLine[[#This Row],[Date]])</f>
        <v>1</v>
      </c>
      <c r="F259" t="s">
        <v>26</v>
      </c>
      <c r="G259">
        <v>77</v>
      </c>
      <c r="H259" s="3">
        <v>233.3993347830984</v>
      </c>
      <c r="I259" s="3">
        <f>ProductLine[[#This Row],[Units]]*ProductLine[[#This Row],[Dollars]]</f>
        <v>17971.748778298577</v>
      </c>
    </row>
    <row r="260" spans="1:9" x14ac:dyDescent="0.35">
      <c r="A260">
        <v>259</v>
      </c>
      <c r="B260" t="s">
        <v>13</v>
      </c>
      <c r="C260" s="2">
        <v>38397</v>
      </c>
      <c r="D260">
        <f>YEAR(ProductLine[[#This Row],[Date]])</f>
        <v>2005</v>
      </c>
      <c r="E260">
        <f>MONTH(ProductLine[[#This Row],[Date]])</f>
        <v>2</v>
      </c>
      <c r="F260" t="s">
        <v>25</v>
      </c>
      <c r="G260">
        <v>65</v>
      </c>
      <c r="H260" s="3">
        <v>196.49346597044766</v>
      </c>
      <c r="I260" s="3">
        <f>ProductLine[[#This Row],[Units]]*ProductLine[[#This Row],[Dollars]]</f>
        <v>12772.075288079097</v>
      </c>
    </row>
    <row r="261" spans="1:9" x14ac:dyDescent="0.35">
      <c r="A261">
        <v>260</v>
      </c>
      <c r="B261" t="s">
        <v>12</v>
      </c>
      <c r="C261" s="2">
        <v>38001</v>
      </c>
      <c r="D261">
        <f>YEAR(ProductLine[[#This Row],[Date]])</f>
        <v>2004</v>
      </c>
      <c r="E261">
        <f>MONTH(ProductLine[[#This Row],[Date]])</f>
        <v>1</v>
      </c>
      <c r="F261" t="s">
        <v>26</v>
      </c>
      <c r="G261">
        <v>25</v>
      </c>
      <c r="H261" s="3">
        <v>77.329572231774151</v>
      </c>
      <c r="I261" s="3">
        <f>ProductLine[[#This Row],[Units]]*ProductLine[[#This Row],[Dollars]]</f>
        <v>1933.2393057943539</v>
      </c>
    </row>
    <row r="262" spans="1:9" x14ac:dyDescent="0.35">
      <c r="A262">
        <v>261</v>
      </c>
      <c r="B262" t="s">
        <v>17</v>
      </c>
      <c r="C262" s="2">
        <v>38914</v>
      </c>
      <c r="D262">
        <f>YEAR(ProductLine[[#This Row],[Date]])</f>
        <v>2006</v>
      </c>
      <c r="E262">
        <f>MONTH(ProductLine[[#This Row],[Date]])</f>
        <v>7</v>
      </c>
      <c r="F262" t="s">
        <v>27</v>
      </c>
      <c r="G262">
        <v>-1</v>
      </c>
      <c r="H262" s="3">
        <v>-1.930462865623249</v>
      </c>
      <c r="I262" s="3">
        <f>ProductLine[[#This Row],[Units]]*ProductLine[[#This Row],[Dollars]]</f>
        <v>1.930462865623249</v>
      </c>
    </row>
    <row r="263" spans="1:9" x14ac:dyDescent="0.35">
      <c r="A263">
        <v>262</v>
      </c>
      <c r="B263" t="s">
        <v>16</v>
      </c>
      <c r="C263" s="2">
        <v>38958</v>
      </c>
      <c r="D263">
        <f>YEAR(ProductLine[[#This Row],[Date]])</f>
        <v>2006</v>
      </c>
      <c r="E263">
        <f>MONTH(ProductLine[[#This Row],[Date]])</f>
        <v>8</v>
      </c>
      <c r="F263" t="s">
        <v>24</v>
      </c>
      <c r="G263">
        <v>2</v>
      </c>
      <c r="H263" s="3">
        <v>7.9709250117717731</v>
      </c>
      <c r="I263" s="3">
        <f>ProductLine[[#This Row],[Units]]*ProductLine[[#This Row],[Dollars]]</f>
        <v>15.941850023543546</v>
      </c>
    </row>
    <row r="264" spans="1:9" x14ac:dyDescent="0.35">
      <c r="A264">
        <v>263</v>
      </c>
      <c r="B264" t="s">
        <v>12</v>
      </c>
      <c r="C264" s="2">
        <v>39024</v>
      </c>
      <c r="D264">
        <f>YEAR(ProductLine[[#This Row],[Date]])</f>
        <v>2006</v>
      </c>
      <c r="E264">
        <f>MONTH(ProductLine[[#This Row],[Date]])</f>
        <v>11</v>
      </c>
      <c r="F264" t="s">
        <v>23</v>
      </c>
      <c r="G264">
        <v>62</v>
      </c>
      <c r="H264" s="3">
        <v>187.61965072290988</v>
      </c>
      <c r="I264" s="3">
        <f>ProductLine[[#This Row],[Units]]*ProductLine[[#This Row],[Dollars]]</f>
        <v>11632.418344820413</v>
      </c>
    </row>
    <row r="265" spans="1:9" x14ac:dyDescent="0.35">
      <c r="A265">
        <v>264</v>
      </c>
      <c r="B265" t="s">
        <v>13</v>
      </c>
      <c r="C265" s="2">
        <v>38485</v>
      </c>
      <c r="D265">
        <f>YEAR(ProductLine[[#This Row],[Date]])</f>
        <v>2005</v>
      </c>
      <c r="E265">
        <f>MONTH(ProductLine[[#This Row],[Date]])</f>
        <v>5</v>
      </c>
      <c r="F265" t="s">
        <v>24</v>
      </c>
      <c r="G265">
        <v>28</v>
      </c>
      <c r="H265" s="3">
        <v>86.788113277044275</v>
      </c>
      <c r="I265" s="3">
        <f>ProductLine[[#This Row],[Units]]*ProductLine[[#This Row],[Dollars]]</f>
        <v>2430.0671717572395</v>
      </c>
    </row>
    <row r="266" spans="1:9" x14ac:dyDescent="0.35">
      <c r="A266">
        <v>265</v>
      </c>
      <c r="B266" t="s">
        <v>10</v>
      </c>
      <c r="C266" s="2">
        <v>38551</v>
      </c>
      <c r="D266">
        <f>YEAR(ProductLine[[#This Row],[Date]])</f>
        <v>2005</v>
      </c>
      <c r="E266">
        <f>MONTH(ProductLine[[#This Row],[Date]])</f>
        <v>7</v>
      </c>
      <c r="F266" t="s">
        <v>26</v>
      </c>
      <c r="G266">
        <v>55</v>
      </c>
      <c r="H266" s="3">
        <v>167.05079786120268</v>
      </c>
      <c r="I266" s="3">
        <f>ProductLine[[#This Row],[Units]]*ProductLine[[#This Row],[Dollars]]</f>
        <v>9187.793882366148</v>
      </c>
    </row>
    <row r="267" spans="1:9" x14ac:dyDescent="0.35">
      <c r="A267">
        <v>266</v>
      </c>
      <c r="B267" t="s">
        <v>13</v>
      </c>
      <c r="C267" s="2">
        <v>38518</v>
      </c>
      <c r="D267">
        <f>YEAR(ProductLine[[#This Row],[Date]])</f>
        <v>2005</v>
      </c>
      <c r="E267">
        <f>MONTH(ProductLine[[#This Row],[Date]])</f>
        <v>6</v>
      </c>
      <c r="F267" t="s">
        <v>23</v>
      </c>
      <c r="G267">
        <v>28</v>
      </c>
      <c r="H267" s="3">
        <v>86.636057383669893</v>
      </c>
      <c r="I267" s="3">
        <f>ProductLine[[#This Row],[Units]]*ProductLine[[#This Row],[Dollars]]</f>
        <v>2425.8096067427568</v>
      </c>
    </row>
    <row r="268" spans="1:9" x14ac:dyDescent="0.35">
      <c r="A268">
        <v>267</v>
      </c>
      <c r="B268" t="s">
        <v>14</v>
      </c>
      <c r="C268" s="2">
        <v>38562</v>
      </c>
      <c r="D268">
        <f>YEAR(ProductLine[[#This Row],[Date]])</f>
        <v>2005</v>
      </c>
      <c r="E268">
        <f>MONTH(ProductLine[[#This Row],[Date]])</f>
        <v>7</v>
      </c>
      <c r="F268" t="s">
        <v>24</v>
      </c>
      <c r="G268">
        <v>5</v>
      </c>
      <c r="H268" s="3">
        <v>16.670839286326668</v>
      </c>
      <c r="I268" s="3">
        <f>ProductLine[[#This Row],[Units]]*ProductLine[[#This Row],[Dollars]]</f>
        <v>83.354196431633341</v>
      </c>
    </row>
    <row r="269" spans="1:9" x14ac:dyDescent="0.35">
      <c r="A269">
        <v>268</v>
      </c>
      <c r="B269" t="s">
        <v>14</v>
      </c>
      <c r="C269" s="2">
        <v>38298</v>
      </c>
      <c r="D269">
        <f>YEAR(ProductLine[[#This Row],[Date]])</f>
        <v>2004</v>
      </c>
      <c r="E269">
        <f>MONTH(ProductLine[[#This Row],[Date]])</f>
        <v>11</v>
      </c>
      <c r="F269" t="s">
        <v>26</v>
      </c>
      <c r="G269">
        <v>1</v>
      </c>
      <c r="H269" s="3">
        <v>4.7722172541512009</v>
      </c>
      <c r="I269" s="3">
        <f>ProductLine[[#This Row],[Units]]*ProductLine[[#This Row],[Dollars]]</f>
        <v>4.7722172541512009</v>
      </c>
    </row>
    <row r="270" spans="1:9" x14ac:dyDescent="0.35">
      <c r="A270">
        <v>269</v>
      </c>
      <c r="B270" t="s">
        <v>14</v>
      </c>
      <c r="C270" s="2">
        <v>38518</v>
      </c>
      <c r="D270">
        <f>YEAR(ProductLine[[#This Row],[Date]])</f>
        <v>2005</v>
      </c>
      <c r="E270">
        <f>MONTH(ProductLine[[#This Row],[Date]])</f>
        <v>6</v>
      </c>
      <c r="F270" t="s">
        <v>24</v>
      </c>
      <c r="G270">
        <v>26</v>
      </c>
      <c r="H270" s="3">
        <v>80.012011803068276</v>
      </c>
      <c r="I270" s="3">
        <f>ProductLine[[#This Row],[Units]]*ProductLine[[#This Row],[Dollars]]</f>
        <v>2080.312306879775</v>
      </c>
    </row>
    <row r="271" spans="1:9" x14ac:dyDescent="0.35">
      <c r="A271">
        <v>270</v>
      </c>
      <c r="B271" t="s">
        <v>12</v>
      </c>
      <c r="C271" s="2">
        <v>38144</v>
      </c>
      <c r="D271">
        <f>YEAR(ProductLine[[#This Row],[Date]])</f>
        <v>2004</v>
      </c>
      <c r="E271">
        <f>MONTH(ProductLine[[#This Row],[Date]])</f>
        <v>6</v>
      </c>
      <c r="F271" t="s">
        <v>24</v>
      </c>
      <c r="G271">
        <v>47</v>
      </c>
      <c r="H271" s="3">
        <v>142.84602668228962</v>
      </c>
      <c r="I271" s="3">
        <f>ProductLine[[#This Row],[Units]]*ProductLine[[#This Row],[Dollars]]</f>
        <v>6713.7632540676123</v>
      </c>
    </row>
    <row r="272" spans="1:9" x14ac:dyDescent="0.35">
      <c r="A272">
        <v>271</v>
      </c>
      <c r="B272" t="s">
        <v>10</v>
      </c>
      <c r="C272" s="2">
        <v>38474</v>
      </c>
      <c r="D272">
        <f>YEAR(ProductLine[[#This Row],[Date]])</f>
        <v>2005</v>
      </c>
      <c r="E272">
        <f>MONTH(ProductLine[[#This Row],[Date]])</f>
        <v>5</v>
      </c>
      <c r="F272" t="s">
        <v>26</v>
      </c>
      <c r="G272">
        <v>74</v>
      </c>
      <c r="H272" s="3">
        <v>224.75435048565893</v>
      </c>
      <c r="I272" s="3">
        <f>ProductLine[[#This Row],[Units]]*ProductLine[[#This Row],[Dollars]]</f>
        <v>16631.821935938762</v>
      </c>
    </row>
    <row r="273" spans="1:9" x14ac:dyDescent="0.35">
      <c r="A273">
        <v>272</v>
      </c>
      <c r="B273" t="s">
        <v>17</v>
      </c>
      <c r="C273" s="2">
        <v>38848</v>
      </c>
      <c r="D273">
        <f>YEAR(ProductLine[[#This Row],[Date]])</f>
        <v>2006</v>
      </c>
      <c r="E273">
        <f>MONTH(ProductLine[[#This Row],[Date]])</f>
        <v>5</v>
      </c>
      <c r="F273" t="s">
        <v>23</v>
      </c>
      <c r="G273">
        <v>22</v>
      </c>
      <c r="H273" s="3">
        <v>68.710607050620922</v>
      </c>
      <c r="I273" s="3">
        <f>ProductLine[[#This Row],[Units]]*ProductLine[[#This Row],[Dollars]]</f>
        <v>1511.6333551136604</v>
      </c>
    </row>
    <row r="274" spans="1:9" x14ac:dyDescent="0.35">
      <c r="A274">
        <v>273</v>
      </c>
      <c r="B274" t="s">
        <v>11</v>
      </c>
      <c r="C274" s="2">
        <v>38892</v>
      </c>
      <c r="D274">
        <f>YEAR(ProductLine[[#This Row],[Date]])</f>
        <v>2006</v>
      </c>
      <c r="E274">
        <f>MONTH(ProductLine[[#This Row],[Date]])</f>
        <v>6</v>
      </c>
      <c r="F274" t="s">
        <v>25</v>
      </c>
      <c r="G274">
        <v>70</v>
      </c>
      <c r="H274" s="3">
        <v>212.26238499892682</v>
      </c>
      <c r="I274" s="3">
        <f>ProductLine[[#This Row],[Units]]*ProductLine[[#This Row],[Dollars]]</f>
        <v>14858.366949924877</v>
      </c>
    </row>
    <row r="275" spans="1:9" x14ac:dyDescent="0.35">
      <c r="A275">
        <v>274</v>
      </c>
      <c r="B275" t="s">
        <v>17</v>
      </c>
      <c r="C275" s="2">
        <v>38683</v>
      </c>
      <c r="D275">
        <f>YEAR(ProductLine[[#This Row],[Date]])</f>
        <v>2005</v>
      </c>
      <c r="E275">
        <f>MONTH(ProductLine[[#This Row],[Date]])</f>
        <v>11</v>
      </c>
      <c r="F275" t="s">
        <v>24</v>
      </c>
      <c r="G275">
        <v>83</v>
      </c>
      <c r="H275" s="3">
        <v>251.31042576912338</v>
      </c>
      <c r="I275" s="3">
        <f>ProductLine[[#This Row],[Units]]*ProductLine[[#This Row],[Dollars]]</f>
        <v>20858.765338837242</v>
      </c>
    </row>
    <row r="276" spans="1:9" x14ac:dyDescent="0.35">
      <c r="A276">
        <v>275</v>
      </c>
      <c r="B276" t="s">
        <v>10</v>
      </c>
      <c r="C276" s="2">
        <v>38694</v>
      </c>
      <c r="D276">
        <f>YEAR(ProductLine[[#This Row],[Date]])</f>
        <v>2005</v>
      </c>
      <c r="E276">
        <f>MONTH(ProductLine[[#This Row],[Date]])</f>
        <v>12</v>
      </c>
      <c r="F276" t="s">
        <v>26</v>
      </c>
      <c r="G276">
        <v>59</v>
      </c>
      <c r="H276" s="3">
        <v>179.38546683395009</v>
      </c>
      <c r="I276" s="3">
        <f>ProductLine[[#This Row],[Units]]*ProductLine[[#This Row],[Dollars]]</f>
        <v>10583.742543203056</v>
      </c>
    </row>
    <row r="277" spans="1:9" x14ac:dyDescent="0.35">
      <c r="A277">
        <v>276</v>
      </c>
      <c r="B277" t="s">
        <v>17</v>
      </c>
      <c r="C277" s="2">
        <v>38573</v>
      </c>
      <c r="D277">
        <f>YEAR(ProductLine[[#This Row],[Date]])</f>
        <v>2005</v>
      </c>
      <c r="E277">
        <f>MONTH(ProductLine[[#This Row],[Date]])</f>
        <v>8</v>
      </c>
      <c r="F277" t="s">
        <v>27</v>
      </c>
      <c r="G277">
        <v>0</v>
      </c>
      <c r="H277" s="3">
        <v>1.5831115612014064</v>
      </c>
      <c r="I277" s="3">
        <f>ProductLine[[#This Row],[Units]]*ProductLine[[#This Row],[Dollars]]</f>
        <v>0</v>
      </c>
    </row>
    <row r="278" spans="1:9" x14ac:dyDescent="0.35">
      <c r="A278">
        <v>277</v>
      </c>
      <c r="B278" t="s">
        <v>10</v>
      </c>
      <c r="C278" s="2">
        <v>38364</v>
      </c>
      <c r="D278">
        <f>YEAR(ProductLine[[#This Row],[Date]])</f>
        <v>2005</v>
      </c>
      <c r="E278">
        <f>MONTH(ProductLine[[#This Row],[Date]])</f>
        <v>1</v>
      </c>
      <c r="F278" t="s">
        <v>26</v>
      </c>
      <c r="G278">
        <v>82</v>
      </c>
      <c r="H278" s="3">
        <v>247.58247918220624</v>
      </c>
      <c r="I278" s="3">
        <f>ProductLine[[#This Row],[Units]]*ProductLine[[#This Row],[Dollars]]</f>
        <v>20301.763292940912</v>
      </c>
    </row>
    <row r="279" spans="1:9" x14ac:dyDescent="0.35">
      <c r="A279">
        <v>278</v>
      </c>
      <c r="B279" t="s">
        <v>9</v>
      </c>
      <c r="C279" s="2">
        <v>38419</v>
      </c>
      <c r="D279">
        <f>YEAR(ProductLine[[#This Row],[Date]])</f>
        <v>2005</v>
      </c>
      <c r="E279">
        <f>MONTH(ProductLine[[#This Row],[Date]])</f>
        <v>3</v>
      </c>
      <c r="F279" t="s">
        <v>26</v>
      </c>
      <c r="G279">
        <v>29</v>
      </c>
      <c r="H279" s="3">
        <v>89.053128978062901</v>
      </c>
      <c r="I279" s="3">
        <f>ProductLine[[#This Row],[Units]]*ProductLine[[#This Row],[Dollars]]</f>
        <v>2582.5407403638242</v>
      </c>
    </row>
    <row r="280" spans="1:9" x14ac:dyDescent="0.35">
      <c r="A280">
        <v>279</v>
      </c>
      <c r="B280" t="s">
        <v>17</v>
      </c>
      <c r="C280" s="2">
        <v>38122</v>
      </c>
      <c r="D280">
        <f>YEAR(ProductLine[[#This Row],[Date]])</f>
        <v>2004</v>
      </c>
      <c r="E280">
        <f>MONTH(ProductLine[[#This Row],[Date]])</f>
        <v>5</v>
      </c>
      <c r="F280" t="s">
        <v>24</v>
      </c>
      <c r="G280">
        <v>63</v>
      </c>
      <c r="H280" s="3">
        <v>191.08641465198994</v>
      </c>
      <c r="I280" s="3">
        <f>ProductLine[[#This Row],[Units]]*ProductLine[[#This Row],[Dollars]]</f>
        <v>12038.444123075365</v>
      </c>
    </row>
    <row r="281" spans="1:9" x14ac:dyDescent="0.35">
      <c r="A281">
        <v>280</v>
      </c>
      <c r="B281" t="s">
        <v>16</v>
      </c>
      <c r="C281" s="2">
        <v>38991</v>
      </c>
      <c r="D281">
        <f>YEAR(ProductLine[[#This Row],[Date]])</f>
        <v>2006</v>
      </c>
      <c r="E281">
        <f>MONTH(ProductLine[[#This Row],[Date]])</f>
        <v>10</v>
      </c>
      <c r="F281" t="s">
        <v>23</v>
      </c>
      <c r="G281">
        <v>67</v>
      </c>
      <c r="H281" s="3">
        <v>203.10846928946893</v>
      </c>
      <c r="I281" s="3">
        <f>ProductLine[[#This Row],[Units]]*ProductLine[[#This Row],[Dollars]]</f>
        <v>13608.267442394419</v>
      </c>
    </row>
    <row r="282" spans="1:9" x14ac:dyDescent="0.35">
      <c r="A282">
        <v>281</v>
      </c>
      <c r="B282" t="s">
        <v>14</v>
      </c>
      <c r="C282" s="2">
        <v>38562</v>
      </c>
      <c r="D282">
        <f>YEAR(ProductLine[[#This Row],[Date]])</f>
        <v>2005</v>
      </c>
      <c r="E282">
        <f>MONTH(ProductLine[[#This Row],[Date]])</f>
        <v>7</v>
      </c>
      <c r="F282" t="s">
        <v>26</v>
      </c>
      <c r="G282">
        <v>3</v>
      </c>
      <c r="H282" s="3">
        <v>10.780730703026945</v>
      </c>
      <c r="I282" s="3">
        <f>ProductLine[[#This Row],[Units]]*ProductLine[[#This Row],[Dollars]]</f>
        <v>32.342192109080834</v>
      </c>
    </row>
    <row r="283" spans="1:9" x14ac:dyDescent="0.35">
      <c r="A283">
        <v>282</v>
      </c>
      <c r="B283" t="s">
        <v>10</v>
      </c>
      <c r="C283" s="2">
        <v>38331</v>
      </c>
      <c r="D283">
        <f>YEAR(ProductLine[[#This Row],[Date]])</f>
        <v>2004</v>
      </c>
      <c r="E283">
        <f>MONTH(ProductLine[[#This Row],[Date]])</f>
        <v>12</v>
      </c>
      <c r="F283" t="s">
        <v>26</v>
      </c>
      <c r="G283">
        <v>65</v>
      </c>
      <c r="H283" s="3">
        <v>197.40778751122588</v>
      </c>
      <c r="I283" s="3">
        <f>ProductLine[[#This Row],[Units]]*ProductLine[[#This Row],[Dollars]]</f>
        <v>12831.506188229681</v>
      </c>
    </row>
    <row r="284" spans="1:9" x14ac:dyDescent="0.35">
      <c r="A284">
        <v>283</v>
      </c>
      <c r="B284" t="s">
        <v>15</v>
      </c>
      <c r="C284" s="2">
        <v>38133</v>
      </c>
      <c r="D284">
        <f>YEAR(ProductLine[[#This Row],[Date]])</f>
        <v>2004</v>
      </c>
      <c r="E284">
        <f>MONTH(ProductLine[[#This Row],[Date]])</f>
        <v>5</v>
      </c>
      <c r="F284" t="s">
        <v>25</v>
      </c>
      <c r="G284">
        <v>75</v>
      </c>
      <c r="H284" s="3">
        <v>227.4564792557687</v>
      </c>
      <c r="I284" s="3">
        <f>ProductLine[[#This Row],[Units]]*ProductLine[[#This Row],[Dollars]]</f>
        <v>17059.235944182652</v>
      </c>
    </row>
    <row r="285" spans="1:9" x14ac:dyDescent="0.35">
      <c r="A285">
        <v>284</v>
      </c>
      <c r="B285" t="s">
        <v>15</v>
      </c>
      <c r="C285" s="2">
        <v>38221</v>
      </c>
      <c r="D285">
        <f>YEAR(ProductLine[[#This Row],[Date]])</f>
        <v>2004</v>
      </c>
      <c r="E285">
        <f>MONTH(ProductLine[[#This Row],[Date]])</f>
        <v>8</v>
      </c>
      <c r="F285" t="s">
        <v>23</v>
      </c>
      <c r="G285">
        <v>79</v>
      </c>
      <c r="H285" s="3">
        <v>239.89546823670116</v>
      </c>
      <c r="I285" s="3">
        <f>ProductLine[[#This Row],[Units]]*ProductLine[[#This Row],[Dollars]]</f>
        <v>18951.741990699393</v>
      </c>
    </row>
    <row r="286" spans="1:9" x14ac:dyDescent="0.35">
      <c r="A286">
        <v>285</v>
      </c>
      <c r="B286" t="s">
        <v>16</v>
      </c>
      <c r="C286" s="2">
        <v>38947</v>
      </c>
      <c r="D286">
        <f>YEAR(ProductLine[[#This Row],[Date]])</f>
        <v>2006</v>
      </c>
      <c r="E286">
        <f>MONTH(ProductLine[[#This Row],[Date]])</f>
        <v>8</v>
      </c>
      <c r="F286" t="s">
        <v>27</v>
      </c>
      <c r="G286">
        <v>-5</v>
      </c>
      <c r="H286" s="3">
        <v>-12.920960169584891</v>
      </c>
      <c r="I286" s="3">
        <f>ProductLine[[#This Row],[Units]]*ProductLine[[#This Row],[Dollars]]</f>
        <v>64.604800847924452</v>
      </c>
    </row>
    <row r="287" spans="1:9" x14ac:dyDescent="0.35">
      <c r="A287">
        <v>286</v>
      </c>
      <c r="B287" t="s">
        <v>16</v>
      </c>
      <c r="C287" s="2">
        <v>38441</v>
      </c>
      <c r="D287">
        <f>YEAR(ProductLine[[#This Row],[Date]])</f>
        <v>2005</v>
      </c>
      <c r="E287">
        <f>MONTH(ProductLine[[#This Row],[Date]])</f>
        <v>3</v>
      </c>
      <c r="F287" t="s">
        <v>24</v>
      </c>
      <c r="G287">
        <v>31</v>
      </c>
      <c r="H287" s="3">
        <v>95.512317695132197</v>
      </c>
      <c r="I287" s="3">
        <f>ProductLine[[#This Row],[Units]]*ProductLine[[#This Row],[Dollars]]</f>
        <v>2960.8818485490983</v>
      </c>
    </row>
    <row r="288" spans="1:9" x14ac:dyDescent="0.35">
      <c r="A288">
        <v>287</v>
      </c>
      <c r="B288" t="s">
        <v>11</v>
      </c>
      <c r="C288" s="2">
        <v>39068</v>
      </c>
      <c r="D288">
        <f>YEAR(ProductLine[[#This Row],[Date]])</f>
        <v>2006</v>
      </c>
      <c r="E288">
        <f>MONTH(ProductLine[[#This Row],[Date]])</f>
        <v>12</v>
      </c>
      <c r="F288" t="s">
        <v>27</v>
      </c>
      <c r="G288">
        <v>21</v>
      </c>
      <c r="H288" s="3">
        <v>65.343473312315112</v>
      </c>
      <c r="I288" s="3">
        <f>ProductLine[[#This Row],[Units]]*ProductLine[[#This Row],[Dollars]]</f>
        <v>1372.2129395586173</v>
      </c>
    </row>
    <row r="289" spans="1:9" x14ac:dyDescent="0.35">
      <c r="A289">
        <v>288</v>
      </c>
      <c r="B289" t="s">
        <v>11</v>
      </c>
      <c r="C289" s="2">
        <v>38606</v>
      </c>
      <c r="D289">
        <f>YEAR(ProductLine[[#This Row],[Date]])</f>
        <v>2005</v>
      </c>
      <c r="E289">
        <f>MONTH(ProductLine[[#This Row],[Date]])</f>
        <v>9</v>
      </c>
      <c r="F289" t="s">
        <v>25</v>
      </c>
      <c r="G289">
        <v>-8</v>
      </c>
      <c r="H289" s="3">
        <v>-21.912545800386049</v>
      </c>
      <c r="I289" s="3">
        <f>ProductLine[[#This Row],[Units]]*ProductLine[[#This Row],[Dollars]]</f>
        <v>175.30036640308839</v>
      </c>
    </row>
    <row r="290" spans="1:9" x14ac:dyDescent="0.35">
      <c r="A290">
        <v>289</v>
      </c>
      <c r="B290" t="s">
        <v>16</v>
      </c>
      <c r="C290" s="2">
        <v>38540</v>
      </c>
      <c r="D290">
        <f>YEAR(ProductLine[[#This Row],[Date]])</f>
        <v>2005</v>
      </c>
      <c r="E290">
        <f>MONTH(ProductLine[[#This Row],[Date]])</f>
        <v>7</v>
      </c>
      <c r="F290" t="s">
        <v>25</v>
      </c>
      <c r="G290">
        <v>88</v>
      </c>
      <c r="H290" s="3">
        <v>266.0518691009172</v>
      </c>
      <c r="I290" s="3">
        <f>ProductLine[[#This Row],[Units]]*ProductLine[[#This Row],[Dollars]]</f>
        <v>23412.564480880712</v>
      </c>
    </row>
    <row r="291" spans="1:9" x14ac:dyDescent="0.35">
      <c r="A291">
        <v>290</v>
      </c>
      <c r="B291" t="s">
        <v>15</v>
      </c>
      <c r="C291" s="2">
        <v>38672</v>
      </c>
      <c r="D291">
        <f>YEAR(ProductLine[[#This Row],[Date]])</f>
        <v>2005</v>
      </c>
      <c r="E291">
        <f>MONTH(ProductLine[[#This Row],[Date]])</f>
        <v>11</v>
      </c>
      <c r="F291" t="s">
        <v>24</v>
      </c>
      <c r="G291">
        <v>94</v>
      </c>
      <c r="H291" s="3">
        <v>283.84678757282279</v>
      </c>
      <c r="I291" s="3">
        <f>ProductLine[[#This Row],[Units]]*ProductLine[[#This Row],[Dollars]]</f>
        <v>26681.598031845344</v>
      </c>
    </row>
    <row r="292" spans="1:9" x14ac:dyDescent="0.35">
      <c r="A292">
        <v>291</v>
      </c>
      <c r="B292" t="s">
        <v>12</v>
      </c>
      <c r="C292" s="2">
        <v>38991</v>
      </c>
      <c r="D292">
        <f>YEAR(ProductLine[[#This Row],[Date]])</f>
        <v>2006</v>
      </c>
      <c r="E292">
        <f>MONTH(ProductLine[[#This Row],[Date]])</f>
        <v>10</v>
      </c>
      <c r="F292" t="s">
        <v>27</v>
      </c>
      <c r="G292">
        <v>83</v>
      </c>
      <c r="H292" s="3">
        <v>251.49840546378712</v>
      </c>
      <c r="I292" s="3">
        <f>ProductLine[[#This Row],[Units]]*ProductLine[[#This Row],[Dollars]]</f>
        <v>20874.36765349433</v>
      </c>
    </row>
    <row r="293" spans="1:9" x14ac:dyDescent="0.35">
      <c r="A293">
        <v>292</v>
      </c>
      <c r="B293" t="s">
        <v>11</v>
      </c>
      <c r="C293" s="2">
        <v>38210</v>
      </c>
      <c r="D293">
        <f>YEAR(ProductLine[[#This Row],[Date]])</f>
        <v>2004</v>
      </c>
      <c r="E293">
        <f>MONTH(ProductLine[[#This Row],[Date]])</f>
        <v>8</v>
      </c>
      <c r="F293" t="s">
        <v>27</v>
      </c>
      <c r="G293">
        <v>16</v>
      </c>
      <c r="H293" s="3">
        <v>49.955539493154028</v>
      </c>
      <c r="I293" s="3">
        <f>ProductLine[[#This Row],[Units]]*ProductLine[[#This Row],[Dollars]]</f>
        <v>799.28863189046444</v>
      </c>
    </row>
    <row r="294" spans="1:9" x14ac:dyDescent="0.35">
      <c r="A294">
        <v>293</v>
      </c>
      <c r="B294" t="s">
        <v>9</v>
      </c>
      <c r="C294" s="2">
        <v>38936</v>
      </c>
      <c r="D294">
        <f>YEAR(ProductLine[[#This Row],[Date]])</f>
        <v>2006</v>
      </c>
      <c r="E294">
        <f>MONTH(ProductLine[[#This Row],[Date]])</f>
        <v>8</v>
      </c>
      <c r="F294" t="s">
        <v>27</v>
      </c>
      <c r="G294">
        <v>33</v>
      </c>
      <c r="H294" s="3">
        <v>100.51753262027832</v>
      </c>
      <c r="I294" s="3">
        <f>ProductLine[[#This Row],[Units]]*ProductLine[[#This Row],[Dollars]]</f>
        <v>3317.0785764691846</v>
      </c>
    </row>
    <row r="295" spans="1:9" x14ac:dyDescent="0.35">
      <c r="A295">
        <v>294</v>
      </c>
      <c r="B295" t="s">
        <v>9</v>
      </c>
      <c r="C295" s="2">
        <v>38045</v>
      </c>
      <c r="D295">
        <f>YEAR(ProductLine[[#This Row],[Date]])</f>
        <v>2004</v>
      </c>
      <c r="E295">
        <f>MONTH(ProductLine[[#This Row],[Date]])</f>
        <v>2</v>
      </c>
      <c r="F295" t="s">
        <v>26</v>
      </c>
      <c r="G295">
        <v>-1</v>
      </c>
      <c r="H295" s="3">
        <v>-0.90814028681463199</v>
      </c>
      <c r="I295" s="3">
        <f>ProductLine[[#This Row],[Units]]*ProductLine[[#This Row],[Dollars]]</f>
        <v>0.90814028681463199</v>
      </c>
    </row>
    <row r="296" spans="1:9" x14ac:dyDescent="0.35">
      <c r="A296">
        <v>295</v>
      </c>
      <c r="B296" t="s">
        <v>9</v>
      </c>
      <c r="C296" s="2">
        <v>38925</v>
      </c>
      <c r="D296">
        <f>YEAR(ProductLine[[#This Row],[Date]])</f>
        <v>2006</v>
      </c>
      <c r="E296">
        <f>MONTH(ProductLine[[#This Row],[Date]])</f>
        <v>7</v>
      </c>
      <c r="F296" t="s">
        <v>27</v>
      </c>
      <c r="G296">
        <v>94</v>
      </c>
      <c r="H296" s="3">
        <v>284.13590593464426</v>
      </c>
      <c r="I296" s="3">
        <f>ProductLine[[#This Row],[Units]]*ProductLine[[#This Row],[Dollars]]</f>
        <v>26708.775157856559</v>
      </c>
    </row>
    <row r="297" spans="1:9" x14ac:dyDescent="0.35">
      <c r="A297">
        <v>296</v>
      </c>
      <c r="B297" t="s">
        <v>16</v>
      </c>
      <c r="C297" s="2">
        <v>38463</v>
      </c>
      <c r="D297">
        <f>YEAR(ProductLine[[#This Row],[Date]])</f>
        <v>2005</v>
      </c>
      <c r="E297">
        <f>MONTH(ProductLine[[#This Row],[Date]])</f>
        <v>4</v>
      </c>
      <c r="F297" t="s">
        <v>24</v>
      </c>
      <c r="G297">
        <v>76</v>
      </c>
      <c r="H297" s="3">
        <v>230.25557022435729</v>
      </c>
      <c r="I297" s="3">
        <f>ProductLine[[#This Row],[Units]]*ProductLine[[#This Row],[Dollars]]</f>
        <v>17499.423337051154</v>
      </c>
    </row>
    <row r="298" spans="1:9" x14ac:dyDescent="0.35">
      <c r="A298">
        <v>297</v>
      </c>
      <c r="B298" t="s">
        <v>9</v>
      </c>
      <c r="C298" s="2">
        <v>38782</v>
      </c>
      <c r="D298">
        <f>YEAR(ProductLine[[#This Row],[Date]])</f>
        <v>2006</v>
      </c>
      <c r="E298">
        <f>MONTH(ProductLine[[#This Row],[Date]])</f>
        <v>3</v>
      </c>
      <c r="F298" t="s">
        <v>24</v>
      </c>
      <c r="G298">
        <v>71</v>
      </c>
      <c r="H298" s="3">
        <v>215.15645769752564</v>
      </c>
      <c r="I298" s="3">
        <f>ProductLine[[#This Row],[Units]]*ProductLine[[#This Row],[Dollars]]</f>
        <v>15276.108496524321</v>
      </c>
    </row>
    <row r="299" spans="1:9" x14ac:dyDescent="0.35">
      <c r="A299">
        <v>298</v>
      </c>
      <c r="B299" t="s">
        <v>12</v>
      </c>
      <c r="C299" s="2">
        <v>38133</v>
      </c>
      <c r="D299">
        <f>YEAR(ProductLine[[#This Row],[Date]])</f>
        <v>2004</v>
      </c>
      <c r="E299">
        <f>MONTH(ProductLine[[#This Row],[Date]])</f>
        <v>5</v>
      </c>
      <c r="F299" t="s">
        <v>25</v>
      </c>
      <c r="G299">
        <v>56</v>
      </c>
      <c r="H299" s="3">
        <v>169.19487194523822</v>
      </c>
      <c r="I299" s="3">
        <f>ProductLine[[#This Row],[Units]]*ProductLine[[#This Row],[Dollars]]</f>
        <v>9474.9128289333403</v>
      </c>
    </row>
    <row r="300" spans="1:9" x14ac:dyDescent="0.35">
      <c r="A300">
        <v>299</v>
      </c>
      <c r="B300" t="s">
        <v>10</v>
      </c>
      <c r="C300" s="2">
        <v>38595</v>
      </c>
      <c r="D300">
        <f>YEAR(ProductLine[[#This Row],[Date]])</f>
        <v>2005</v>
      </c>
      <c r="E300">
        <f>MONTH(ProductLine[[#This Row],[Date]])</f>
        <v>8</v>
      </c>
      <c r="F300" t="s">
        <v>23</v>
      </c>
      <c r="G300">
        <v>81</v>
      </c>
      <c r="H300" s="3">
        <v>245.58577912839797</v>
      </c>
      <c r="I300" s="3">
        <f>ProductLine[[#This Row],[Units]]*ProductLine[[#This Row],[Dollars]]</f>
        <v>19892.448109400237</v>
      </c>
    </row>
    <row r="301" spans="1:9" x14ac:dyDescent="0.35">
      <c r="A301">
        <v>300</v>
      </c>
      <c r="B301" t="s">
        <v>12</v>
      </c>
      <c r="C301" s="2">
        <v>38166</v>
      </c>
      <c r="D301">
        <f>YEAR(ProductLine[[#This Row],[Date]])</f>
        <v>2004</v>
      </c>
      <c r="E301">
        <f>MONTH(ProductLine[[#This Row],[Date]])</f>
        <v>6</v>
      </c>
      <c r="F301" t="s">
        <v>26</v>
      </c>
      <c r="G301">
        <v>3</v>
      </c>
      <c r="H301" s="3">
        <v>11.162502018809288</v>
      </c>
      <c r="I301" s="3">
        <f>ProductLine[[#This Row],[Units]]*ProductLine[[#This Row],[Dollars]]</f>
        <v>33.487506056427861</v>
      </c>
    </row>
    <row r="302" spans="1:9" x14ac:dyDescent="0.35">
      <c r="A302">
        <v>301</v>
      </c>
      <c r="B302" t="s">
        <v>12</v>
      </c>
      <c r="C302" s="2">
        <v>38463</v>
      </c>
      <c r="D302">
        <f>YEAR(ProductLine[[#This Row],[Date]])</f>
        <v>2005</v>
      </c>
      <c r="E302">
        <f>MONTH(ProductLine[[#This Row],[Date]])</f>
        <v>4</v>
      </c>
      <c r="F302" t="s">
        <v>23</v>
      </c>
      <c r="G302">
        <v>60</v>
      </c>
      <c r="H302" s="3">
        <v>182.21269449394873</v>
      </c>
      <c r="I302" s="3">
        <f>ProductLine[[#This Row],[Units]]*ProductLine[[#This Row],[Dollars]]</f>
        <v>10932.761669636924</v>
      </c>
    </row>
    <row r="303" spans="1:9" x14ac:dyDescent="0.35">
      <c r="A303">
        <v>302</v>
      </c>
      <c r="B303" t="s">
        <v>16</v>
      </c>
      <c r="C303" s="2">
        <v>39013</v>
      </c>
      <c r="D303">
        <f>YEAR(ProductLine[[#This Row],[Date]])</f>
        <v>2006</v>
      </c>
      <c r="E303">
        <f>MONTH(ProductLine[[#This Row],[Date]])</f>
        <v>10</v>
      </c>
      <c r="F303" t="s">
        <v>24</v>
      </c>
      <c r="G303">
        <v>81</v>
      </c>
      <c r="H303" s="3">
        <v>245.54232115102224</v>
      </c>
      <c r="I303" s="3">
        <f>ProductLine[[#This Row],[Units]]*ProductLine[[#This Row],[Dollars]]</f>
        <v>19888.928013232802</v>
      </c>
    </row>
    <row r="304" spans="1:9" x14ac:dyDescent="0.35">
      <c r="A304">
        <v>303</v>
      </c>
      <c r="B304" t="s">
        <v>13</v>
      </c>
      <c r="C304" s="2">
        <v>38111</v>
      </c>
      <c r="D304">
        <f>YEAR(ProductLine[[#This Row],[Date]])</f>
        <v>2004</v>
      </c>
      <c r="E304">
        <f>MONTH(ProductLine[[#This Row],[Date]])</f>
        <v>5</v>
      </c>
      <c r="F304" t="s">
        <v>24</v>
      </c>
      <c r="G304">
        <v>70</v>
      </c>
      <c r="H304" s="3">
        <v>211.43323649343893</v>
      </c>
      <c r="I304" s="3">
        <f>ProductLine[[#This Row],[Units]]*ProductLine[[#This Row],[Dollars]]</f>
        <v>14800.326554540725</v>
      </c>
    </row>
    <row r="305" spans="1:9" x14ac:dyDescent="0.35">
      <c r="A305">
        <v>304</v>
      </c>
      <c r="B305" t="s">
        <v>17</v>
      </c>
      <c r="C305" s="2">
        <v>38859</v>
      </c>
      <c r="D305">
        <f>YEAR(ProductLine[[#This Row],[Date]])</f>
        <v>2006</v>
      </c>
      <c r="E305">
        <f>MONTH(ProductLine[[#This Row],[Date]])</f>
        <v>5</v>
      </c>
      <c r="F305" t="s">
        <v>27</v>
      </c>
      <c r="G305">
        <v>18</v>
      </c>
      <c r="H305" s="3">
        <v>56.272584064658759</v>
      </c>
      <c r="I305" s="3">
        <f>ProductLine[[#This Row],[Units]]*ProductLine[[#This Row],[Dollars]]</f>
        <v>1012.9065131638577</v>
      </c>
    </row>
    <row r="306" spans="1:9" x14ac:dyDescent="0.35">
      <c r="A306">
        <v>305</v>
      </c>
      <c r="B306" t="s">
        <v>10</v>
      </c>
      <c r="C306" s="2">
        <v>38397</v>
      </c>
      <c r="D306">
        <f>YEAR(ProductLine[[#This Row],[Date]])</f>
        <v>2005</v>
      </c>
      <c r="E306">
        <f>MONTH(ProductLine[[#This Row],[Date]])</f>
        <v>2</v>
      </c>
      <c r="F306" t="s">
        <v>25</v>
      </c>
      <c r="G306">
        <v>73</v>
      </c>
      <c r="H306" s="3">
        <v>221.17007144401961</v>
      </c>
      <c r="I306" s="3">
        <f>ProductLine[[#This Row],[Units]]*ProductLine[[#This Row],[Dollars]]</f>
        <v>16145.415215413432</v>
      </c>
    </row>
    <row r="307" spans="1:9" x14ac:dyDescent="0.35">
      <c r="A307">
        <v>306</v>
      </c>
      <c r="B307" t="s">
        <v>12</v>
      </c>
      <c r="C307" s="2">
        <v>38408</v>
      </c>
      <c r="D307">
        <f>YEAR(ProductLine[[#This Row],[Date]])</f>
        <v>2005</v>
      </c>
      <c r="E307">
        <f>MONTH(ProductLine[[#This Row],[Date]])</f>
        <v>2</v>
      </c>
      <c r="F307" t="s">
        <v>24</v>
      </c>
      <c r="G307">
        <v>-7</v>
      </c>
      <c r="H307" s="3">
        <v>-18.782320494671733</v>
      </c>
      <c r="I307" s="3">
        <f>ProductLine[[#This Row],[Units]]*ProductLine[[#This Row],[Dollars]]</f>
        <v>131.47624346270214</v>
      </c>
    </row>
    <row r="308" spans="1:9" x14ac:dyDescent="0.35">
      <c r="A308">
        <v>307</v>
      </c>
      <c r="B308" t="s">
        <v>12</v>
      </c>
      <c r="C308" s="2">
        <v>38584</v>
      </c>
      <c r="D308">
        <f>YEAR(ProductLine[[#This Row],[Date]])</f>
        <v>2005</v>
      </c>
      <c r="E308">
        <f>MONTH(ProductLine[[#This Row],[Date]])</f>
        <v>8</v>
      </c>
      <c r="F308" t="s">
        <v>24</v>
      </c>
      <c r="G308">
        <v>55</v>
      </c>
      <c r="H308" s="3">
        <v>166.60609215413587</v>
      </c>
      <c r="I308" s="3">
        <f>ProductLine[[#This Row],[Units]]*ProductLine[[#This Row],[Dollars]]</f>
        <v>9163.3350684774723</v>
      </c>
    </row>
    <row r="309" spans="1:9" x14ac:dyDescent="0.35">
      <c r="A309">
        <v>308</v>
      </c>
      <c r="B309" t="s">
        <v>17</v>
      </c>
      <c r="C309" s="2">
        <v>38122</v>
      </c>
      <c r="D309">
        <f>YEAR(ProductLine[[#This Row],[Date]])</f>
        <v>2004</v>
      </c>
      <c r="E309">
        <f>MONTH(ProductLine[[#This Row],[Date]])</f>
        <v>5</v>
      </c>
      <c r="F309" t="s">
        <v>23</v>
      </c>
      <c r="G309">
        <v>7</v>
      </c>
      <c r="H309" s="3">
        <v>23.387374937264937</v>
      </c>
      <c r="I309" s="3">
        <f>ProductLine[[#This Row],[Units]]*ProductLine[[#This Row],[Dollars]]</f>
        <v>163.71162456085455</v>
      </c>
    </row>
    <row r="310" spans="1:9" x14ac:dyDescent="0.35">
      <c r="A310">
        <v>309</v>
      </c>
      <c r="B310" t="s">
        <v>17</v>
      </c>
      <c r="C310" s="2">
        <v>38309</v>
      </c>
      <c r="D310">
        <f>YEAR(ProductLine[[#This Row],[Date]])</f>
        <v>2004</v>
      </c>
      <c r="E310">
        <f>MONTH(ProductLine[[#This Row],[Date]])</f>
        <v>11</v>
      </c>
      <c r="F310" t="s">
        <v>26</v>
      </c>
      <c r="G310">
        <v>63</v>
      </c>
      <c r="H310" s="3">
        <v>191.44929977621479</v>
      </c>
      <c r="I310" s="3">
        <f>ProductLine[[#This Row],[Units]]*ProductLine[[#This Row],[Dollars]]</f>
        <v>12061.305885901531</v>
      </c>
    </row>
    <row r="311" spans="1:9" x14ac:dyDescent="0.35">
      <c r="A311">
        <v>310</v>
      </c>
      <c r="B311" t="s">
        <v>12</v>
      </c>
      <c r="C311" s="2">
        <v>38540</v>
      </c>
      <c r="D311">
        <f>YEAR(ProductLine[[#This Row],[Date]])</f>
        <v>2005</v>
      </c>
      <c r="E311">
        <f>MONTH(ProductLine[[#This Row],[Date]])</f>
        <v>7</v>
      </c>
      <c r="F311" t="s">
        <v>23</v>
      </c>
      <c r="G311">
        <v>83</v>
      </c>
      <c r="H311" s="3">
        <v>251.62937525083981</v>
      </c>
      <c r="I311" s="3">
        <f>ProductLine[[#This Row],[Units]]*ProductLine[[#This Row],[Dollars]]</f>
        <v>20885.238145819705</v>
      </c>
    </row>
    <row r="312" spans="1:9" x14ac:dyDescent="0.35">
      <c r="A312">
        <v>311</v>
      </c>
      <c r="B312" t="s">
        <v>9</v>
      </c>
      <c r="C312" s="2">
        <v>38045</v>
      </c>
      <c r="D312">
        <f>YEAR(ProductLine[[#This Row],[Date]])</f>
        <v>2004</v>
      </c>
      <c r="E312">
        <f>MONTH(ProductLine[[#This Row],[Date]])</f>
        <v>2</v>
      </c>
      <c r="F312" t="s">
        <v>23</v>
      </c>
      <c r="G312">
        <v>43</v>
      </c>
      <c r="H312" s="3">
        <v>130.971908096161</v>
      </c>
      <c r="I312" s="3">
        <f>ProductLine[[#This Row],[Units]]*ProductLine[[#This Row],[Dollars]]</f>
        <v>5631.7920481349229</v>
      </c>
    </row>
    <row r="313" spans="1:9" x14ac:dyDescent="0.35">
      <c r="A313">
        <v>312</v>
      </c>
      <c r="B313" t="s">
        <v>12</v>
      </c>
      <c r="C313" s="2">
        <v>38199</v>
      </c>
      <c r="D313">
        <f>YEAR(ProductLine[[#This Row],[Date]])</f>
        <v>2004</v>
      </c>
      <c r="E313">
        <f>MONTH(ProductLine[[#This Row],[Date]])</f>
        <v>7</v>
      </c>
      <c r="F313" t="s">
        <v>26</v>
      </c>
      <c r="G313">
        <v>67</v>
      </c>
      <c r="H313" s="3">
        <v>203.30298779689218</v>
      </c>
      <c r="I313" s="3">
        <f>ProductLine[[#This Row],[Units]]*ProductLine[[#This Row],[Dollars]]</f>
        <v>13621.300182391777</v>
      </c>
    </row>
    <row r="314" spans="1:9" x14ac:dyDescent="0.35">
      <c r="A314">
        <v>313</v>
      </c>
      <c r="B314" t="s">
        <v>13</v>
      </c>
      <c r="C314" s="2">
        <v>38716</v>
      </c>
      <c r="D314">
        <f>YEAR(ProductLine[[#This Row],[Date]])</f>
        <v>2005</v>
      </c>
      <c r="E314">
        <f>MONTH(ProductLine[[#This Row],[Date]])</f>
        <v>12</v>
      </c>
      <c r="F314" t="s">
        <v>26</v>
      </c>
      <c r="G314">
        <v>-9</v>
      </c>
      <c r="H314" s="3">
        <v>-24.966227969201331</v>
      </c>
      <c r="I314" s="3">
        <f>ProductLine[[#This Row],[Units]]*ProductLine[[#This Row],[Dollars]]</f>
        <v>224.69605172281197</v>
      </c>
    </row>
    <row r="315" spans="1:9" x14ac:dyDescent="0.35">
      <c r="A315">
        <v>314</v>
      </c>
      <c r="B315" t="s">
        <v>17</v>
      </c>
      <c r="C315" s="2">
        <v>38166</v>
      </c>
      <c r="D315">
        <f>YEAR(ProductLine[[#This Row],[Date]])</f>
        <v>2004</v>
      </c>
      <c r="E315">
        <f>MONTH(ProductLine[[#This Row],[Date]])</f>
        <v>6</v>
      </c>
      <c r="F315" t="s">
        <v>24</v>
      </c>
      <c r="G315">
        <v>-1</v>
      </c>
      <c r="H315" s="3">
        <v>-1.475132378251053</v>
      </c>
      <c r="I315" s="3">
        <f>ProductLine[[#This Row],[Units]]*ProductLine[[#This Row],[Dollars]]</f>
        <v>1.475132378251053</v>
      </c>
    </row>
    <row r="316" spans="1:9" x14ac:dyDescent="0.35">
      <c r="A316">
        <v>315</v>
      </c>
      <c r="B316" t="s">
        <v>9</v>
      </c>
      <c r="C316" s="2">
        <v>38364</v>
      </c>
      <c r="D316">
        <f>YEAR(ProductLine[[#This Row],[Date]])</f>
        <v>2005</v>
      </c>
      <c r="E316">
        <f>MONTH(ProductLine[[#This Row],[Date]])</f>
        <v>1</v>
      </c>
      <c r="F316" t="s">
        <v>24</v>
      </c>
      <c r="G316">
        <v>21</v>
      </c>
      <c r="H316" s="3">
        <v>65.196598797725159</v>
      </c>
      <c r="I316" s="3">
        <f>ProductLine[[#This Row],[Units]]*ProductLine[[#This Row],[Dollars]]</f>
        <v>1369.1285747522284</v>
      </c>
    </row>
    <row r="317" spans="1:9" x14ac:dyDescent="0.35">
      <c r="A317">
        <v>316</v>
      </c>
      <c r="B317" t="s">
        <v>14</v>
      </c>
      <c r="C317" s="2">
        <v>38661</v>
      </c>
      <c r="D317">
        <f>YEAR(ProductLine[[#This Row],[Date]])</f>
        <v>2005</v>
      </c>
      <c r="E317">
        <f>MONTH(ProductLine[[#This Row],[Date]])</f>
        <v>11</v>
      </c>
      <c r="F317" t="s">
        <v>27</v>
      </c>
      <c r="G317">
        <v>6</v>
      </c>
      <c r="H317" s="3">
        <v>20.103063549411871</v>
      </c>
      <c r="I317" s="3">
        <f>ProductLine[[#This Row],[Units]]*ProductLine[[#This Row],[Dollars]]</f>
        <v>120.61838129647123</v>
      </c>
    </row>
    <row r="318" spans="1:9" x14ac:dyDescent="0.35">
      <c r="A318">
        <v>317</v>
      </c>
      <c r="B318" t="s">
        <v>14</v>
      </c>
      <c r="C318" s="2">
        <v>38001</v>
      </c>
      <c r="D318">
        <f>YEAR(ProductLine[[#This Row],[Date]])</f>
        <v>2004</v>
      </c>
      <c r="E318">
        <f>MONTH(ProductLine[[#This Row],[Date]])</f>
        <v>1</v>
      </c>
      <c r="F318" t="s">
        <v>26</v>
      </c>
      <c r="G318">
        <v>0</v>
      </c>
      <c r="H318" s="3">
        <v>1.6052060341349688</v>
      </c>
      <c r="I318" s="3">
        <f>ProductLine[[#This Row],[Units]]*ProductLine[[#This Row],[Dollars]]</f>
        <v>0</v>
      </c>
    </row>
    <row r="319" spans="1:9" x14ac:dyDescent="0.35">
      <c r="A319">
        <v>318</v>
      </c>
      <c r="B319" t="s">
        <v>16</v>
      </c>
      <c r="C319" s="2">
        <v>38276</v>
      </c>
      <c r="D319">
        <f>YEAR(ProductLine[[#This Row],[Date]])</f>
        <v>2004</v>
      </c>
      <c r="E319">
        <f>MONTH(ProductLine[[#This Row],[Date]])</f>
        <v>10</v>
      </c>
      <c r="F319" t="s">
        <v>26</v>
      </c>
      <c r="G319">
        <v>20</v>
      </c>
      <c r="H319" s="3">
        <v>61.994811968474004</v>
      </c>
      <c r="I319" s="3">
        <f>ProductLine[[#This Row],[Units]]*ProductLine[[#This Row],[Dollars]]</f>
        <v>1239.8962393694801</v>
      </c>
    </row>
    <row r="320" spans="1:9" x14ac:dyDescent="0.35">
      <c r="A320">
        <v>319</v>
      </c>
      <c r="B320" t="s">
        <v>11</v>
      </c>
      <c r="C320" s="2">
        <v>38298</v>
      </c>
      <c r="D320">
        <f>YEAR(ProductLine[[#This Row],[Date]])</f>
        <v>2004</v>
      </c>
      <c r="E320">
        <f>MONTH(ProductLine[[#This Row],[Date]])</f>
        <v>11</v>
      </c>
      <c r="F320" t="s">
        <v>24</v>
      </c>
      <c r="G320">
        <v>70</v>
      </c>
      <c r="H320" s="3">
        <v>212.50263306463722</v>
      </c>
      <c r="I320" s="3">
        <f>ProductLine[[#This Row],[Units]]*ProductLine[[#This Row],[Dollars]]</f>
        <v>14875.184314524606</v>
      </c>
    </row>
    <row r="321" spans="1:9" x14ac:dyDescent="0.35">
      <c r="A321">
        <v>320</v>
      </c>
      <c r="B321" t="s">
        <v>16</v>
      </c>
      <c r="C321" s="2">
        <v>38122</v>
      </c>
      <c r="D321">
        <f>YEAR(ProductLine[[#This Row],[Date]])</f>
        <v>2004</v>
      </c>
      <c r="E321">
        <f>MONTH(ProductLine[[#This Row],[Date]])</f>
        <v>5</v>
      </c>
      <c r="F321" t="s">
        <v>26</v>
      </c>
      <c r="G321">
        <v>94</v>
      </c>
      <c r="H321" s="3">
        <v>283.88166832886924</v>
      </c>
      <c r="I321" s="3">
        <f>ProductLine[[#This Row],[Units]]*ProductLine[[#This Row],[Dollars]]</f>
        <v>26684.876822913709</v>
      </c>
    </row>
    <row r="322" spans="1:9" x14ac:dyDescent="0.35">
      <c r="A322">
        <v>321</v>
      </c>
      <c r="B322" t="s">
        <v>10</v>
      </c>
      <c r="C322" s="2">
        <v>38276</v>
      </c>
      <c r="D322">
        <f>YEAR(ProductLine[[#This Row],[Date]])</f>
        <v>2004</v>
      </c>
      <c r="E322">
        <f>MONTH(ProductLine[[#This Row],[Date]])</f>
        <v>10</v>
      </c>
      <c r="F322" t="s">
        <v>23</v>
      </c>
      <c r="G322">
        <v>9</v>
      </c>
      <c r="H322" s="3">
        <v>28.830512766101304</v>
      </c>
      <c r="I322" s="3">
        <f>ProductLine[[#This Row],[Units]]*ProductLine[[#This Row],[Dollars]]</f>
        <v>259.47461489491172</v>
      </c>
    </row>
    <row r="323" spans="1:9" x14ac:dyDescent="0.35">
      <c r="A323">
        <v>322</v>
      </c>
      <c r="B323" t="s">
        <v>16</v>
      </c>
      <c r="C323" s="2">
        <v>38529</v>
      </c>
      <c r="D323">
        <f>YEAR(ProductLine[[#This Row],[Date]])</f>
        <v>2005</v>
      </c>
      <c r="E323">
        <f>MONTH(ProductLine[[#This Row],[Date]])</f>
        <v>6</v>
      </c>
      <c r="F323" t="s">
        <v>27</v>
      </c>
      <c r="G323">
        <v>27</v>
      </c>
      <c r="H323" s="3">
        <v>83.64015403043436</v>
      </c>
      <c r="I323" s="3">
        <f>ProductLine[[#This Row],[Units]]*ProductLine[[#This Row],[Dollars]]</f>
        <v>2258.2841588217279</v>
      </c>
    </row>
    <row r="324" spans="1:9" x14ac:dyDescent="0.35">
      <c r="A324">
        <v>323</v>
      </c>
      <c r="B324" t="s">
        <v>13</v>
      </c>
      <c r="C324" s="2">
        <v>38793</v>
      </c>
      <c r="D324">
        <f>YEAR(ProductLine[[#This Row],[Date]])</f>
        <v>2006</v>
      </c>
      <c r="E324">
        <f>MONTH(ProductLine[[#This Row],[Date]])</f>
        <v>3</v>
      </c>
      <c r="F324" t="s">
        <v>25</v>
      </c>
      <c r="G324">
        <v>43</v>
      </c>
      <c r="H324" s="3">
        <v>130.94656180680516</v>
      </c>
      <c r="I324" s="3">
        <f>ProductLine[[#This Row],[Units]]*ProductLine[[#This Row],[Dollars]]</f>
        <v>5630.7021576926218</v>
      </c>
    </row>
    <row r="325" spans="1:9" x14ac:dyDescent="0.35">
      <c r="A325">
        <v>324</v>
      </c>
      <c r="B325" t="s">
        <v>15</v>
      </c>
      <c r="C325" s="2">
        <v>38980</v>
      </c>
      <c r="D325">
        <f>YEAR(ProductLine[[#This Row],[Date]])</f>
        <v>2006</v>
      </c>
      <c r="E325">
        <f>MONTH(ProductLine[[#This Row],[Date]])</f>
        <v>9</v>
      </c>
      <c r="F325" t="s">
        <v>24</v>
      </c>
      <c r="G325">
        <v>84</v>
      </c>
      <c r="H325" s="3">
        <v>254.38984191598573</v>
      </c>
      <c r="I325" s="3">
        <f>ProductLine[[#This Row],[Units]]*ProductLine[[#This Row],[Dollars]]</f>
        <v>21368.7467209428</v>
      </c>
    </row>
    <row r="326" spans="1:9" x14ac:dyDescent="0.35">
      <c r="A326">
        <v>325</v>
      </c>
      <c r="B326" t="s">
        <v>10</v>
      </c>
      <c r="C326" s="2">
        <v>38144</v>
      </c>
      <c r="D326">
        <f>YEAR(ProductLine[[#This Row],[Date]])</f>
        <v>2004</v>
      </c>
      <c r="E326">
        <f>MONTH(ProductLine[[#This Row],[Date]])</f>
        <v>6</v>
      </c>
      <c r="F326" t="s">
        <v>26</v>
      </c>
      <c r="G326">
        <v>83</v>
      </c>
      <c r="H326" s="3">
        <v>251.63175698562648</v>
      </c>
      <c r="I326" s="3">
        <f>ProductLine[[#This Row],[Units]]*ProductLine[[#This Row],[Dollars]]</f>
        <v>20885.435829806996</v>
      </c>
    </row>
    <row r="327" spans="1:9" x14ac:dyDescent="0.35">
      <c r="A327">
        <v>326</v>
      </c>
      <c r="B327" t="s">
        <v>10</v>
      </c>
      <c r="C327" s="2">
        <v>38210</v>
      </c>
      <c r="D327">
        <f>YEAR(ProductLine[[#This Row],[Date]])</f>
        <v>2004</v>
      </c>
      <c r="E327">
        <f>MONTH(ProductLine[[#This Row],[Date]])</f>
        <v>8</v>
      </c>
      <c r="F327" t="s">
        <v>25</v>
      </c>
      <c r="G327">
        <v>89</v>
      </c>
      <c r="H327" s="3">
        <v>268.67182931807514</v>
      </c>
      <c r="I327" s="3">
        <f>ProductLine[[#This Row],[Units]]*ProductLine[[#This Row],[Dollars]]</f>
        <v>23911.792809308688</v>
      </c>
    </row>
    <row r="328" spans="1:9" x14ac:dyDescent="0.35">
      <c r="A328">
        <v>327</v>
      </c>
      <c r="B328" t="s">
        <v>15</v>
      </c>
      <c r="C328" s="2">
        <v>39002</v>
      </c>
      <c r="D328">
        <f>YEAR(ProductLine[[#This Row],[Date]])</f>
        <v>2006</v>
      </c>
      <c r="E328">
        <f>MONTH(ProductLine[[#This Row],[Date]])</f>
        <v>10</v>
      </c>
      <c r="F328" t="s">
        <v>23</v>
      </c>
      <c r="G328">
        <v>7</v>
      </c>
      <c r="H328" s="3">
        <v>22.668540241379059</v>
      </c>
      <c r="I328" s="3">
        <f>ProductLine[[#This Row],[Units]]*ProductLine[[#This Row],[Dollars]]</f>
        <v>158.67978168965342</v>
      </c>
    </row>
    <row r="329" spans="1:9" x14ac:dyDescent="0.35">
      <c r="A329">
        <v>328</v>
      </c>
      <c r="B329" t="s">
        <v>10</v>
      </c>
      <c r="C329" s="2">
        <v>38177</v>
      </c>
      <c r="D329">
        <f>YEAR(ProductLine[[#This Row],[Date]])</f>
        <v>2004</v>
      </c>
      <c r="E329">
        <f>MONTH(ProductLine[[#This Row],[Date]])</f>
        <v>7</v>
      </c>
      <c r="F329" t="s">
        <v>24</v>
      </c>
      <c r="G329">
        <v>68</v>
      </c>
      <c r="H329" s="3">
        <v>205.75644454699685</v>
      </c>
      <c r="I329" s="3">
        <f>ProductLine[[#This Row],[Units]]*ProductLine[[#This Row],[Dollars]]</f>
        <v>13991.438229195786</v>
      </c>
    </row>
    <row r="330" spans="1:9" x14ac:dyDescent="0.35">
      <c r="A330">
        <v>329</v>
      </c>
      <c r="B330" t="s">
        <v>15</v>
      </c>
      <c r="C330" s="2">
        <v>38639</v>
      </c>
      <c r="D330">
        <f>YEAR(ProductLine[[#This Row],[Date]])</f>
        <v>2005</v>
      </c>
      <c r="E330">
        <f>MONTH(ProductLine[[#This Row],[Date]])</f>
        <v>10</v>
      </c>
      <c r="F330" t="s">
        <v>26</v>
      </c>
      <c r="G330">
        <v>38</v>
      </c>
      <c r="H330" s="3">
        <v>116.14288251700734</v>
      </c>
      <c r="I330" s="3">
        <f>ProductLine[[#This Row],[Units]]*ProductLine[[#This Row],[Dollars]]</f>
        <v>4413.429535646279</v>
      </c>
    </row>
    <row r="331" spans="1:9" x14ac:dyDescent="0.35">
      <c r="A331">
        <v>330</v>
      </c>
      <c r="B331" t="s">
        <v>17</v>
      </c>
      <c r="C331" s="2">
        <v>38012</v>
      </c>
      <c r="D331">
        <f>YEAR(ProductLine[[#This Row],[Date]])</f>
        <v>2004</v>
      </c>
      <c r="E331">
        <f>MONTH(ProductLine[[#This Row],[Date]])</f>
        <v>1</v>
      </c>
      <c r="F331" t="s">
        <v>26</v>
      </c>
      <c r="G331">
        <v>90</v>
      </c>
      <c r="H331" s="3">
        <v>271.3332095451583</v>
      </c>
      <c r="I331" s="3">
        <f>ProductLine[[#This Row],[Units]]*ProductLine[[#This Row],[Dollars]]</f>
        <v>24419.988859064248</v>
      </c>
    </row>
    <row r="332" spans="1:9" x14ac:dyDescent="0.35">
      <c r="A332">
        <v>331</v>
      </c>
      <c r="B332" t="s">
        <v>17</v>
      </c>
      <c r="C332" s="2">
        <v>38210</v>
      </c>
      <c r="D332">
        <f>YEAR(ProductLine[[#This Row],[Date]])</f>
        <v>2004</v>
      </c>
      <c r="E332">
        <f>MONTH(ProductLine[[#This Row],[Date]])</f>
        <v>8</v>
      </c>
      <c r="F332" t="s">
        <v>26</v>
      </c>
      <c r="G332">
        <v>10</v>
      </c>
      <c r="H332" s="3">
        <v>31.740063454597557</v>
      </c>
      <c r="I332" s="3">
        <f>ProductLine[[#This Row],[Units]]*ProductLine[[#This Row],[Dollars]]</f>
        <v>317.40063454597555</v>
      </c>
    </row>
    <row r="333" spans="1:9" x14ac:dyDescent="0.35">
      <c r="A333">
        <v>332</v>
      </c>
      <c r="B333" t="s">
        <v>14</v>
      </c>
      <c r="C333" s="2">
        <v>39024</v>
      </c>
      <c r="D333">
        <f>YEAR(ProductLine[[#This Row],[Date]])</f>
        <v>2006</v>
      </c>
      <c r="E333">
        <f>MONTH(ProductLine[[#This Row],[Date]])</f>
        <v>11</v>
      </c>
      <c r="F333" t="s">
        <v>24</v>
      </c>
      <c r="G333">
        <v>13</v>
      </c>
      <c r="H333" s="3">
        <v>40.182824201163783</v>
      </c>
      <c r="I333" s="3">
        <f>ProductLine[[#This Row],[Units]]*ProductLine[[#This Row],[Dollars]]</f>
        <v>522.37671461512923</v>
      </c>
    </row>
    <row r="334" spans="1:9" x14ac:dyDescent="0.35">
      <c r="A334">
        <v>333</v>
      </c>
      <c r="B334" t="s">
        <v>16</v>
      </c>
      <c r="C334" s="2">
        <v>38155</v>
      </c>
      <c r="D334">
        <f>YEAR(ProductLine[[#This Row],[Date]])</f>
        <v>2004</v>
      </c>
      <c r="E334">
        <f>MONTH(ProductLine[[#This Row],[Date]])</f>
        <v>6</v>
      </c>
      <c r="F334" t="s">
        <v>23</v>
      </c>
      <c r="G334">
        <v>68</v>
      </c>
      <c r="H334" s="3">
        <v>206.37862292228638</v>
      </c>
      <c r="I334" s="3">
        <f>ProductLine[[#This Row],[Units]]*ProductLine[[#This Row],[Dollars]]</f>
        <v>14033.746358715474</v>
      </c>
    </row>
    <row r="335" spans="1:9" x14ac:dyDescent="0.35">
      <c r="A335">
        <v>334</v>
      </c>
      <c r="B335" t="s">
        <v>12</v>
      </c>
      <c r="C335" s="2">
        <v>38144</v>
      </c>
      <c r="D335">
        <f>YEAR(ProductLine[[#This Row],[Date]])</f>
        <v>2004</v>
      </c>
      <c r="E335">
        <f>MONTH(ProductLine[[#This Row],[Date]])</f>
        <v>6</v>
      </c>
      <c r="F335" t="s">
        <v>24</v>
      </c>
      <c r="G335">
        <v>40</v>
      </c>
      <c r="H335" s="3">
        <v>122.17079112578179</v>
      </c>
      <c r="I335" s="3">
        <f>ProductLine[[#This Row],[Units]]*ProductLine[[#This Row],[Dollars]]</f>
        <v>4886.8316450312714</v>
      </c>
    </row>
    <row r="336" spans="1:9" x14ac:dyDescent="0.35">
      <c r="A336">
        <v>335</v>
      </c>
      <c r="B336" t="s">
        <v>16</v>
      </c>
      <c r="C336" s="2">
        <v>38507</v>
      </c>
      <c r="D336">
        <f>YEAR(ProductLine[[#This Row],[Date]])</f>
        <v>2005</v>
      </c>
      <c r="E336">
        <f>MONTH(ProductLine[[#This Row],[Date]])</f>
        <v>6</v>
      </c>
      <c r="F336" t="s">
        <v>24</v>
      </c>
      <c r="G336">
        <v>17</v>
      </c>
      <c r="H336" s="3">
        <v>52.575815801836917</v>
      </c>
      <c r="I336" s="3">
        <f>ProductLine[[#This Row],[Units]]*ProductLine[[#This Row],[Dollars]]</f>
        <v>893.78886863122761</v>
      </c>
    </row>
    <row r="337" spans="1:9" x14ac:dyDescent="0.35">
      <c r="A337">
        <v>336</v>
      </c>
      <c r="B337" t="s">
        <v>14</v>
      </c>
      <c r="C337" s="2">
        <v>38320</v>
      </c>
      <c r="D337">
        <f>YEAR(ProductLine[[#This Row],[Date]])</f>
        <v>2004</v>
      </c>
      <c r="E337">
        <f>MONTH(ProductLine[[#This Row],[Date]])</f>
        <v>11</v>
      </c>
      <c r="F337" t="s">
        <v>24</v>
      </c>
      <c r="G337">
        <v>6</v>
      </c>
      <c r="H337" s="3">
        <v>19.233532374060513</v>
      </c>
      <c r="I337" s="3">
        <f>ProductLine[[#This Row],[Units]]*ProductLine[[#This Row],[Dollars]]</f>
        <v>115.40119424436307</v>
      </c>
    </row>
    <row r="338" spans="1:9" x14ac:dyDescent="0.35">
      <c r="A338">
        <v>337</v>
      </c>
      <c r="B338" t="s">
        <v>14</v>
      </c>
      <c r="C338" s="2">
        <v>38848</v>
      </c>
      <c r="D338">
        <f>YEAR(ProductLine[[#This Row],[Date]])</f>
        <v>2006</v>
      </c>
      <c r="E338">
        <f>MONTH(ProductLine[[#This Row],[Date]])</f>
        <v>5</v>
      </c>
      <c r="F338" t="s">
        <v>24</v>
      </c>
      <c r="G338">
        <v>27</v>
      </c>
      <c r="H338" s="3">
        <v>83.786086457485794</v>
      </c>
      <c r="I338" s="3">
        <f>ProductLine[[#This Row],[Units]]*ProductLine[[#This Row],[Dollars]]</f>
        <v>2262.2243343521163</v>
      </c>
    </row>
    <row r="339" spans="1:9" x14ac:dyDescent="0.35">
      <c r="A339">
        <v>338</v>
      </c>
      <c r="B339" t="s">
        <v>12</v>
      </c>
      <c r="C339" s="2">
        <v>38925</v>
      </c>
      <c r="D339">
        <f>YEAR(ProductLine[[#This Row],[Date]])</f>
        <v>2006</v>
      </c>
      <c r="E339">
        <f>MONTH(ProductLine[[#This Row],[Date]])</f>
        <v>7</v>
      </c>
      <c r="F339" t="s">
        <v>24</v>
      </c>
      <c r="G339">
        <v>80</v>
      </c>
      <c r="H339" s="3">
        <v>242.1940649977725</v>
      </c>
      <c r="I339" s="3">
        <f>ProductLine[[#This Row],[Units]]*ProductLine[[#This Row],[Dollars]]</f>
        <v>19375.525199821801</v>
      </c>
    </row>
    <row r="340" spans="1:9" x14ac:dyDescent="0.35">
      <c r="A340">
        <v>339</v>
      </c>
      <c r="B340" t="s">
        <v>13</v>
      </c>
      <c r="C340" s="2">
        <v>38210</v>
      </c>
      <c r="D340">
        <f>YEAR(ProductLine[[#This Row],[Date]])</f>
        <v>2004</v>
      </c>
      <c r="E340">
        <f>MONTH(ProductLine[[#This Row],[Date]])</f>
        <v>8</v>
      </c>
      <c r="F340" t="s">
        <v>27</v>
      </c>
      <c r="G340">
        <v>-1</v>
      </c>
      <c r="H340" s="3">
        <v>-0.92679798413568193</v>
      </c>
      <c r="I340" s="3">
        <f>ProductLine[[#This Row],[Units]]*ProductLine[[#This Row],[Dollars]]</f>
        <v>0.92679798413568193</v>
      </c>
    </row>
    <row r="341" spans="1:9" x14ac:dyDescent="0.35">
      <c r="A341">
        <v>340</v>
      </c>
      <c r="B341" t="s">
        <v>10</v>
      </c>
      <c r="C341" s="2">
        <v>38804</v>
      </c>
      <c r="D341">
        <f>YEAR(ProductLine[[#This Row],[Date]])</f>
        <v>2006</v>
      </c>
      <c r="E341">
        <f>MONTH(ProductLine[[#This Row],[Date]])</f>
        <v>3</v>
      </c>
      <c r="F341" t="s">
        <v>27</v>
      </c>
      <c r="G341">
        <v>89</v>
      </c>
      <c r="H341" s="3">
        <v>269.26351673512869</v>
      </c>
      <c r="I341" s="3">
        <f>ProductLine[[#This Row],[Units]]*ProductLine[[#This Row],[Dollars]]</f>
        <v>23964.452989426452</v>
      </c>
    </row>
    <row r="342" spans="1:9" x14ac:dyDescent="0.35">
      <c r="A342">
        <v>341</v>
      </c>
      <c r="B342" t="s">
        <v>10</v>
      </c>
      <c r="C342" s="2">
        <v>38441</v>
      </c>
      <c r="D342">
        <f>YEAR(ProductLine[[#This Row],[Date]])</f>
        <v>2005</v>
      </c>
      <c r="E342">
        <f>MONTH(ProductLine[[#This Row],[Date]])</f>
        <v>3</v>
      </c>
      <c r="F342" t="s">
        <v>26</v>
      </c>
      <c r="G342">
        <v>21</v>
      </c>
      <c r="H342" s="3">
        <v>65.224154633884041</v>
      </c>
      <c r="I342" s="3">
        <f>ProductLine[[#This Row],[Units]]*ProductLine[[#This Row],[Dollars]]</f>
        <v>1369.707247311565</v>
      </c>
    </row>
    <row r="343" spans="1:9" x14ac:dyDescent="0.35">
      <c r="A343">
        <v>342</v>
      </c>
      <c r="B343" t="s">
        <v>14</v>
      </c>
      <c r="C343" s="2">
        <v>39068</v>
      </c>
      <c r="D343">
        <f>YEAR(ProductLine[[#This Row],[Date]])</f>
        <v>2006</v>
      </c>
      <c r="E343">
        <f>MONTH(ProductLine[[#This Row],[Date]])</f>
        <v>12</v>
      </c>
      <c r="F343" t="s">
        <v>23</v>
      </c>
      <c r="G343">
        <v>37</v>
      </c>
      <c r="H343" s="3">
        <v>113.11652988941213</v>
      </c>
      <c r="I343" s="3">
        <f>ProductLine[[#This Row],[Units]]*ProductLine[[#This Row],[Dollars]]</f>
        <v>4185.3116059082486</v>
      </c>
    </row>
    <row r="344" spans="1:9" x14ac:dyDescent="0.35">
      <c r="A344">
        <v>343</v>
      </c>
      <c r="B344" t="s">
        <v>13</v>
      </c>
      <c r="C344" s="2">
        <v>38397</v>
      </c>
      <c r="D344">
        <f>YEAR(ProductLine[[#This Row],[Date]])</f>
        <v>2005</v>
      </c>
      <c r="E344">
        <f>MONTH(ProductLine[[#This Row],[Date]])</f>
        <v>2</v>
      </c>
      <c r="F344" t="s">
        <v>25</v>
      </c>
      <c r="G344">
        <v>15</v>
      </c>
      <c r="H344" s="3">
        <v>46.637898863261832</v>
      </c>
      <c r="I344" s="3">
        <f>ProductLine[[#This Row],[Units]]*ProductLine[[#This Row],[Dollars]]</f>
        <v>699.56848294892745</v>
      </c>
    </row>
    <row r="345" spans="1:9" x14ac:dyDescent="0.35">
      <c r="A345">
        <v>344</v>
      </c>
      <c r="B345" t="s">
        <v>11</v>
      </c>
      <c r="C345" s="2">
        <v>38133</v>
      </c>
      <c r="D345">
        <f>YEAR(ProductLine[[#This Row],[Date]])</f>
        <v>2004</v>
      </c>
      <c r="E345">
        <f>MONTH(ProductLine[[#This Row],[Date]])</f>
        <v>5</v>
      </c>
      <c r="F345" t="s">
        <v>27</v>
      </c>
      <c r="G345">
        <v>94</v>
      </c>
      <c r="H345" s="3">
        <v>283.62009758002927</v>
      </c>
      <c r="I345" s="3">
        <f>ProductLine[[#This Row],[Units]]*ProductLine[[#This Row],[Dollars]]</f>
        <v>26660.289172522753</v>
      </c>
    </row>
    <row r="346" spans="1:9" x14ac:dyDescent="0.35">
      <c r="A346">
        <v>345</v>
      </c>
      <c r="B346" t="s">
        <v>17</v>
      </c>
      <c r="C346" s="2">
        <v>38551</v>
      </c>
      <c r="D346">
        <f>YEAR(ProductLine[[#This Row],[Date]])</f>
        <v>2005</v>
      </c>
      <c r="E346">
        <f>MONTH(ProductLine[[#This Row],[Date]])</f>
        <v>7</v>
      </c>
      <c r="F346" t="s">
        <v>27</v>
      </c>
      <c r="G346">
        <v>85</v>
      </c>
      <c r="H346" s="3">
        <v>257.28530472715238</v>
      </c>
      <c r="I346" s="3">
        <f>ProductLine[[#This Row],[Units]]*ProductLine[[#This Row],[Dollars]]</f>
        <v>21869.250901807951</v>
      </c>
    </row>
    <row r="347" spans="1:9" x14ac:dyDescent="0.35">
      <c r="A347">
        <v>346</v>
      </c>
      <c r="B347" t="s">
        <v>13</v>
      </c>
      <c r="C347" s="2">
        <v>38309</v>
      </c>
      <c r="D347">
        <f>YEAR(ProductLine[[#This Row],[Date]])</f>
        <v>2004</v>
      </c>
      <c r="E347">
        <f>MONTH(ProductLine[[#This Row],[Date]])</f>
        <v>11</v>
      </c>
      <c r="F347" t="s">
        <v>23</v>
      </c>
      <c r="G347">
        <v>95</v>
      </c>
      <c r="H347" s="3">
        <v>286.86402627293558</v>
      </c>
      <c r="I347" s="3">
        <f>ProductLine[[#This Row],[Units]]*ProductLine[[#This Row],[Dollars]]</f>
        <v>27252.08249592888</v>
      </c>
    </row>
    <row r="348" spans="1:9" x14ac:dyDescent="0.35">
      <c r="A348">
        <v>347</v>
      </c>
      <c r="B348" t="s">
        <v>15</v>
      </c>
      <c r="C348" s="2">
        <v>38496</v>
      </c>
      <c r="D348">
        <f>YEAR(ProductLine[[#This Row],[Date]])</f>
        <v>2005</v>
      </c>
      <c r="E348">
        <f>MONTH(ProductLine[[#This Row],[Date]])</f>
        <v>5</v>
      </c>
      <c r="F348" t="s">
        <v>25</v>
      </c>
      <c r="G348">
        <v>25</v>
      </c>
      <c r="H348" s="3">
        <v>76.368933708358369</v>
      </c>
      <c r="I348" s="3">
        <f>ProductLine[[#This Row],[Units]]*ProductLine[[#This Row],[Dollars]]</f>
        <v>1909.2233427089593</v>
      </c>
    </row>
    <row r="349" spans="1:9" x14ac:dyDescent="0.35">
      <c r="A349">
        <v>348</v>
      </c>
      <c r="B349" t="s">
        <v>10</v>
      </c>
      <c r="C349" s="2">
        <v>38826</v>
      </c>
      <c r="D349">
        <f>YEAR(ProductLine[[#This Row],[Date]])</f>
        <v>2006</v>
      </c>
      <c r="E349">
        <f>MONTH(ProductLine[[#This Row],[Date]])</f>
        <v>4</v>
      </c>
      <c r="F349" t="s">
        <v>27</v>
      </c>
      <c r="G349">
        <v>69</v>
      </c>
      <c r="H349" s="3">
        <v>208.60710544458851</v>
      </c>
      <c r="I349" s="3">
        <f>ProductLine[[#This Row],[Units]]*ProductLine[[#This Row],[Dollars]]</f>
        <v>14393.890275676607</v>
      </c>
    </row>
    <row r="350" spans="1:9" x14ac:dyDescent="0.35">
      <c r="A350">
        <v>349</v>
      </c>
      <c r="B350" t="s">
        <v>16</v>
      </c>
      <c r="C350" s="2">
        <v>38595</v>
      </c>
      <c r="D350">
        <f>YEAR(ProductLine[[#This Row],[Date]])</f>
        <v>2005</v>
      </c>
      <c r="E350">
        <f>MONTH(ProductLine[[#This Row],[Date]])</f>
        <v>8</v>
      </c>
      <c r="F350" t="s">
        <v>24</v>
      </c>
      <c r="G350">
        <v>72</v>
      </c>
      <c r="H350" s="3">
        <v>218.66914833137886</v>
      </c>
      <c r="I350" s="3">
        <f>ProductLine[[#This Row],[Units]]*ProductLine[[#This Row],[Dollars]]</f>
        <v>15744.178679859278</v>
      </c>
    </row>
    <row r="351" spans="1:9" x14ac:dyDescent="0.35">
      <c r="A351">
        <v>350</v>
      </c>
      <c r="B351" t="s">
        <v>12</v>
      </c>
      <c r="C351" s="2">
        <v>38760</v>
      </c>
      <c r="D351">
        <f>YEAR(ProductLine[[#This Row],[Date]])</f>
        <v>2006</v>
      </c>
      <c r="E351">
        <f>MONTH(ProductLine[[#This Row],[Date]])</f>
        <v>2</v>
      </c>
      <c r="F351" t="s">
        <v>25</v>
      </c>
      <c r="G351">
        <v>-4</v>
      </c>
      <c r="H351" s="3">
        <v>-9.5040489301123898</v>
      </c>
      <c r="I351" s="3">
        <f>ProductLine[[#This Row],[Units]]*ProductLine[[#This Row],[Dollars]]</f>
        <v>38.016195720449559</v>
      </c>
    </row>
    <row r="352" spans="1:9" x14ac:dyDescent="0.35">
      <c r="A352">
        <v>351</v>
      </c>
      <c r="B352" t="s">
        <v>13</v>
      </c>
      <c r="C352" s="2">
        <v>38529</v>
      </c>
      <c r="D352">
        <f>YEAR(ProductLine[[#This Row],[Date]])</f>
        <v>2005</v>
      </c>
      <c r="E352">
        <f>MONTH(ProductLine[[#This Row],[Date]])</f>
        <v>6</v>
      </c>
      <c r="F352" t="s">
        <v>25</v>
      </c>
      <c r="G352">
        <v>21</v>
      </c>
      <c r="H352" s="3">
        <v>64.847838929147329</v>
      </c>
      <c r="I352" s="3">
        <f>ProductLine[[#This Row],[Units]]*ProductLine[[#This Row],[Dollars]]</f>
        <v>1361.804617512094</v>
      </c>
    </row>
    <row r="353" spans="1:9" x14ac:dyDescent="0.35">
      <c r="A353">
        <v>352</v>
      </c>
      <c r="B353" t="s">
        <v>13</v>
      </c>
      <c r="C353" s="2">
        <v>38364</v>
      </c>
      <c r="D353">
        <f>YEAR(ProductLine[[#This Row],[Date]])</f>
        <v>2005</v>
      </c>
      <c r="E353">
        <f>MONTH(ProductLine[[#This Row],[Date]])</f>
        <v>1</v>
      </c>
      <c r="F353" t="s">
        <v>26</v>
      </c>
      <c r="G353">
        <v>85</v>
      </c>
      <c r="H353" s="3">
        <v>256.96799909003533</v>
      </c>
      <c r="I353" s="3">
        <f>ProductLine[[#This Row],[Units]]*ProductLine[[#This Row],[Dollars]]</f>
        <v>21842.279922653004</v>
      </c>
    </row>
    <row r="354" spans="1:9" x14ac:dyDescent="0.35">
      <c r="A354">
        <v>353</v>
      </c>
      <c r="B354" t="s">
        <v>15</v>
      </c>
      <c r="C354" s="2">
        <v>38606</v>
      </c>
      <c r="D354">
        <f>YEAR(ProductLine[[#This Row],[Date]])</f>
        <v>2005</v>
      </c>
      <c r="E354">
        <f>MONTH(ProductLine[[#This Row],[Date]])</f>
        <v>9</v>
      </c>
      <c r="F354" t="s">
        <v>26</v>
      </c>
      <c r="G354">
        <v>85</v>
      </c>
      <c r="H354" s="3">
        <v>257.09598807037378</v>
      </c>
      <c r="I354" s="3">
        <f>ProductLine[[#This Row],[Units]]*ProductLine[[#This Row],[Dollars]]</f>
        <v>21853.158985981772</v>
      </c>
    </row>
    <row r="355" spans="1:9" x14ac:dyDescent="0.35">
      <c r="A355">
        <v>354</v>
      </c>
      <c r="B355" t="s">
        <v>11</v>
      </c>
      <c r="C355" s="2">
        <v>38639</v>
      </c>
      <c r="D355">
        <f>YEAR(ProductLine[[#This Row],[Date]])</f>
        <v>2005</v>
      </c>
      <c r="E355">
        <f>MONTH(ProductLine[[#This Row],[Date]])</f>
        <v>10</v>
      </c>
      <c r="F355" t="s">
        <v>23</v>
      </c>
      <c r="G355">
        <v>79</v>
      </c>
      <c r="H355" s="3">
        <v>239.75589662492749</v>
      </c>
      <c r="I355" s="3">
        <f>ProductLine[[#This Row],[Units]]*ProductLine[[#This Row],[Dollars]]</f>
        <v>18940.715833369271</v>
      </c>
    </row>
    <row r="356" spans="1:9" x14ac:dyDescent="0.35">
      <c r="A356">
        <v>355</v>
      </c>
      <c r="B356" t="s">
        <v>16</v>
      </c>
      <c r="C356" s="2">
        <v>38969</v>
      </c>
      <c r="D356">
        <f>YEAR(ProductLine[[#This Row],[Date]])</f>
        <v>2006</v>
      </c>
      <c r="E356">
        <f>MONTH(ProductLine[[#This Row],[Date]])</f>
        <v>9</v>
      </c>
      <c r="F356" t="s">
        <v>23</v>
      </c>
      <c r="G356">
        <v>81</v>
      </c>
      <c r="H356" s="3">
        <v>245.01127594931819</v>
      </c>
      <c r="I356" s="3">
        <f>ProductLine[[#This Row],[Units]]*ProductLine[[#This Row],[Dollars]]</f>
        <v>19845.913351894775</v>
      </c>
    </row>
    <row r="357" spans="1:9" x14ac:dyDescent="0.35">
      <c r="A357">
        <v>356</v>
      </c>
      <c r="B357" t="s">
        <v>11</v>
      </c>
      <c r="C357" s="2">
        <v>38958</v>
      </c>
      <c r="D357">
        <f>YEAR(ProductLine[[#This Row],[Date]])</f>
        <v>2006</v>
      </c>
      <c r="E357">
        <f>MONTH(ProductLine[[#This Row],[Date]])</f>
        <v>8</v>
      </c>
      <c r="F357" t="s">
        <v>26</v>
      </c>
      <c r="G357">
        <v>76</v>
      </c>
      <c r="H357" s="3">
        <v>229.57757100656295</v>
      </c>
      <c r="I357" s="3">
        <f>ProductLine[[#This Row],[Units]]*ProductLine[[#This Row],[Dollars]]</f>
        <v>17447.895396498785</v>
      </c>
    </row>
    <row r="358" spans="1:9" x14ac:dyDescent="0.35">
      <c r="A358">
        <v>357</v>
      </c>
      <c r="B358" t="s">
        <v>11</v>
      </c>
      <c r="C358" s="2">
        <v>38518</v>
      </c>
      <c r="D358">
        <f>YEAR(ProductLine[[#This Row],[Date]])</f>
        <v>2005</v>
      </c>
      <c r="E358">
        <f>MONTH(ProductLine[[#This Row],[Date]])</f>
        <v>6</v>
      </c>
      <c r="F358" t="s">
        <v>23</v>
      </c>
      <c r="G358">
        <v>31</v>
      </c>
      <c r="H358" s="3">
        <v>95.411837871052697</v>
      </c>
      <c r="I358" s="3">
        <f>ProductLine[[#This Row],[Units]]*ProductLine[[#This Row],[Dollars]]</f>
        <v>2957.7669740026336</v>
      </c>
    </row>
    <row r="359" spans="1:9" x14ac:dyDescent="0.35">
      <c r="A359">
        <v>358</v>
      </c>
      <c r="B359" t="s">
        <v>12</v>
      </c>
      <c r="C359" s="2">
        <v>38617</v>
      </c>
      <c r="D359">
        <f>YEAR(ProductLine[[#This Row],[Date]])</f>
        <v>2005</v>
      </c>
      <c r="E359">
        <f>MONTH(ProductLine[[#This Row],[Date]])</f>
        <v>9</v>
      </c>
      <c r="F359" t="s">
        <v>26</v>
      </c>
      <c r="G359">
        <v>44</v>
      </c>
      <c r="H359" s="3">
        <v>133.84155746359221</v>
      </c>
      <c r="I359" s="3">
        <f>ProductLine[[#This Row],[Units]]*ProductLine[[#This Row],[Dollars]]</f>
        <v>5889.0285283980575</v>
      </c>
    </row>
    <row r="360" spans="1:9" x14ac:dyDescent="0.35">
      <c r="A360">
        <v>359</v>
      </c>
      <c r="B360" t="s">
        <v>9</v>
      </c>
      <c r="C360" s="2">
        <v>39068</v>
      </c>
      <c r="D360">
        <f>YEAR(ProductLine[[#This Row],[Date]])</f>
        <v>2006</v>
      </c>
      <c r="E360">
        <f>MONTH(ProductLine[[#This Row],[Date]])</f>
        <v>12</v>
      </c>
      <c r="F360" t="s">
        <v>25</v>
      </c>
      <c r="G360">
        <v>44</v>
      </c>
      <c r="H360" s="3">
        <v>133.90724137081764</v>
      </c>
      <c r="I360" s="3">
        <f>ProductLine[[#This Row],[Units]]*ProductLine[[#This Row],[Dollars]]</f>
        <v>5891.9186203159761</v>
      </c>
    </row>
    <row r="361" spans="1:9" x14ac:dyDescent="0.35">
      <c r="A361">
        <v>360</v>
      </c>
      <c r="B361" t="s">
        <v>14</v>
      </c>
      <c r="C361" s="2">
        <v>38133</v>
      </c>
      <c r="D361">
        <f>YEAR(ProductLine[[#This Row],[Date]])</f>
        <v>2004</v>
      </c>
      <c r="E361">
        <f>MONTH(ProductLine[[#This Row],[Date]])</f>
        <v>5</v>
      </c>
      <c r="F361" t="s">
        <v>27</v>
      </c>
      <c r="G361">
        <v>70</v>
      </c>
      <c r="H361" s="3">
        <v>211.68588054687572</v>
      </c>
      <c r="I361" s="3">
        <f>ProductLine[[#This Row],[Units]]*ProductLine[[#This Row],[Dollars]]</f>
        <v>14818.011638281301</v>
      </c>
    </row>
    <row r="362" spans="1:9" x14ac:dyDescent="0.35">
      <c r="A362">
        <v>361</v>
      </c>
      <c r="B362" t="s">
        <v>14</v>
      </c>
      <c r="C362" s="2">
        <v>38320</v>
      </c>
      <c r="D362">
        <f>YEAR(ProductLine[[#This Row],[Date]])</f>
        <v>2004</v>
      </c>
      <c r="E362">
        <f>MONTH(ProductLine[[#This Row],[Date]])</f>
        <v>11</v>
      </c>
      <c r="F362" t="s">
        <v>24</v>
      </c>
      <c r="G362">
        <v>-4</v>
      </c>
      <c r="H362" s="3">
        <v>-9.4531080152815825</v>
      </c>
      <c r="I362" s="3">
        <f>ProductLine[[#This Row],[Units]]*ProductLine[[#This Row],[Dollars]]</f>
        <v>37.81243206112633</v>
      </c>
    </row>
    <row r="363" spans="1:9" x14ac:dyDescent="0.35">
      <c r="A363">
        <v>362</v>
      </c>
      <c r="B363" t="s">
        <v>16</v>
      </c>
      <c r="C363" s="2">
        <v>38672</v>
      </c>
      <c r="D363">
        <f>YEAR(ProductLine[[#This Row],[Date]])</f>
        <v>2005</v>
      </c>
      <c r="E363">
        <f>MONTH(ProductLine[[#This Row],[Date]])</f>
        <v>11</v>
      </c>
      <c r="F363" t="s">
        <v>23</v>
      </c>
      <c r="G363">
        <v>28</v>
      </c>
      <c r="H363" s="3">
        <v>86.334638190049276</v>
      </c>
      <c r="I363" s="3">
        <f>ProductLine[[#This Row],[Units]]*ProductLine[[#This Row],[Dollars]]</f>
        <v>2417.3698693213796</v>
      </c>
    </row>
    <row r="364" spans="1:9" x14ac:dyDescent="0.35">
      <c r="A364">
        <v>363</v>
      </c>
      <c r="B364" t="s">
        <v>11</v>
      </c>
      <c r="C364" s="2">
        <v>39002</v>
      </c>
      <c r="D364">
        <f>YEAR(ProductLine[[#This Row],[Date]])</f>
        <v>2006</v>
      </c>
      <c r="E364">
        <f>MONTH(ProductLine[[#This Row],[Date]])</f>
        <v>10</v>
      </c>
      <c r="F364" t="s">
        <v>27</v>
      </c>
      <c r="G364">
        <v>83</v>
      </c>
      <c r="H364" s="3">
        <v>250.60923862889706</v>
      </c>
      <c r="I364" s="3">
        <f>ProductLine[[#This Row],[Units]]*ProductLine[[#This Row],[Dollars]]</f>
        <v>20800.566806198454</v>
      </c>
    </row>
    <row r="365" spans="1:9" x14ac:dyDescent="0.35">
      <c r="A365">
        <v>364</v>
      </c>
      <c r="B365" t="s">
        <v>17</v>
      </c>
      <c r="C365" s="2">
        <v>38903</v>
      </c>
      <c r="D365">
        <f>YEAR(ProductLine[[#This Row],[Date]])</f>
        <v>2006</v>
      </c>
      <c r="E365">
        <f>MONTH(ProductLine[[#This Row],[Date]])</f>
        <v>7</v>
      </c>
      <c r="F365" t="s">
        <v>23</v>
      </c>
      <c r="G365">
        <v>46</v>
      </c>
      <c r="H365" s="3">
        <v>140.47993678432567</v>
      </c>
      <c r="I365" s="3">
        <f>ProductLine[[#This Row],[Units]]*ProductLine[[#This Row],[Dollars]]</f>
        <v>6462.077092078981</v>
      </c>
    </row>
    <row r="366" spans="1:9" x14ac:dyDescent="0.35">
      <c r="A366">
        <v>365</v>
      </c>
      <c r="B366" t="s">
        <v>16</v>
      </c>
      <c r="C366" s="2">
        <v>38859</v>
      </c>
      <c r="D366">
        <f>YEAR(ProductLine[[#This Row],[Date]])</f>
        <v>2006</v>
      </c>
      <c r="E366">
        <f>MONTH(ProductLine[[#This Row],[Date]])</f>
        <v>5</v>
      </c>
      <c r="F366" t="s">
        <v>23</v>
      </c>
      <c r="G366">
        <v>88</v>
      </c>
      <c r="H366" s="3">
        <v>266.35125676130951</v>
      </c>
      <c r="I366" s="3">
        <f>ProductLine[[#This Row],[Units]]*ProductLine[[#This Row],[Dollars]]</f>
        <v>23438.910594995235</v>
      </c>
    </row>
    <row r="367" spans="1:9" x14ac:dyDescent="0.35">
      <c r="A367">
        <v>366</v>
      </c>
      <c r="B367" t="s">
        <v>15</v>
      </c>
      <c r="C367" s="2">
        <v>38639</v>
      </c>
      <c r="D367">
        <f>YEAR(ProductLine[[#This Row],[Date]])</f>
        <v>2005</v>
      </c>
      <c r="E367">
        <f>MONTH(ProductLine[[#This Row],[Date]])</f>
        <v>10</v>
      </c>
      <c r="F367" t="s">
        <v>23</v>
      </c>
      <c r="G367">
        <v>-9</v>
      </c>
      <c r="H367" s="3">
        <v>-24.537461299444743</v>
      </c>
      <c r="I367" s="3">
        <f>ProductLine[[#This Row],[Units]]*ProductLine[[#This Row],[Dollars]]</f>
        <v>220.83715169500269</v>
      </c>
    </row>
    <row r="368" spans="1:9" x14ac:dyDescent="0.35">
      <c r="A368">
        <v>367</v>
      </c>
      <c r="B368" t="s">
        <v>10</v>
      </c>
      <c r="C368" s="2">
        <v>38573</v>
      </c>
      <c r="D368">
        <f>YEAR(ProductLine[[#This Row],[Date]])</f>
        <v>2005</v>
      </c>
      <c r="E368">
        <f>MONTH(ProductLine[[#This Row],[Date]])</f>
        <v>8</v>
      </c>
      <c r="F368" t="s">
        <v>24</v>
      </c>
      <c r="G368">
        <v>-8</v>
      </c>
      <c r="H368" s="3">
        <v>-21.825357589950652</v>
      </c>
      <c r="I368" s="3">
        <f>ProductLine[[#This Row],[Units]]*ProductLine[[#This Row],[Dollars]]</f>
        <v>174.60286071960522</v>
      </c>
    </row>
    <row r="369" spans="1:9" x14ac:dyDescent="0.35">
      <c r="A369">
        <v>368</v>
      </c>
      <c r="B369" t="s">
        <v>13</v>
      </c>
      <c r="C369" s="2">
        <v>38903</v>
      </c>
      <c r="D369">
        <f>YEAR(ProductLine[[#This Row],[Date]])</f>
        <v>2006</v>
      </c>
      <c r="E369">
        <f>MONTH(ProductLine[[#This Row],[Date]])</f>
        <v>7</v>
      </c>
      <c r="F369" t="s">
        <v>24</v>
      </c>
      <c r="G369">
        <v>37</v>
      </c>
      <c r="H369" s="3">
        <v>113.0101592216552</v>
      </c>
      <c r="I369" s="3">
        <f>ProductLine[[#This Row],[Units]]*ProductLine[[#This Row],[Dollars]]</f>
        <v>4181.3758912012427</v>
      </c>
    </row>
    <row r="370" spans="1:9" x14ac:dyDescent="0.35">
      <c r="A370">
        <v>369</v>
      </c>
      <c r="B370" t="s">
        <v>10</v>
      </c>
      <c r="C370" s="2">
        <v>38045</v>
      </c>
      <c r="D370">
        <f>YEAR(ProductLine[[#This Row],[Date]])</f>
        <v>2004</v>
      </c>
      <c r="E370">
        <f>MONTH(ProductLine[[#This Row],[Date]])</f>
        <v>2</v>
      </c>
      <c r="F370" t="s">
        <v>24</v>
      </c>
      <c r="G370">
        <v>20</v>
      </c>
      <c r="H370" s="3">
        <v>61.67879282842005</v>
      </c>
      <c r="I370" s="3">
        <f>ProductLine[[#This Row],[Units]]*ProductLine[[#This Row],[Dollars]]</f>
        <v>1233.5758565684009</v>
      </c>
    </row>
    <row r="371" spans="1:9" x14ac:dyDescent="0.35">
      <c r="A371">
        <v>370</v>
      </c>
      <c r="B371" t="s">
        <v>14</v>
      </c>
      <c r="C371" s="2">
        <v>38606</v>
      </c>
      <c r="D371">
        <f>YEAR(ProductLine[[#This Row],[Date]])</f>
        <v>2005</v>
      </c>
      <c r="E371">
        <f>MONTH(ProductLine[[#This Row],[Date]])</f>
        <v>9</v>
      </c>
      <c r="F371" t="s">
        <v>23</v>
      </c>
      <c r="G371">
        <v>2</v>
      </c>
      <c r="H371" s="3">
        <v>7.7509272810830456</v>
      </c>
      <c r="I371" s="3">
        <f>ProductLine[[#This Row],[Units]]*ProductLine[[#This Row],[Dollars]]</f>
        <v>15.501854562166091</v>
      </c>
    </row>
    <row r="372" spans="1:9" x14ac:dyDescent="0.35">
      <c r="A372">
        <v>371</v>
      </c>
      <c r="B372" t="s">
        <v>11</v>
      </c>
      <c r="C372" s="2">
        <v>38584</v>
      </c>
      <c r="D372">
        <f>YEAR(ProductLine[[#This Row],[Date]])</f>
        <v>2005</v>
      </c>
      <c r="E372">
        <f>MONTH(ProductLine[[#This Row],[Date]])</f>
        <v>8</v>
      </c>
      <c r="F372" t="s">
        <v>26</v>
      </c>
      <c r="G372">
        <v>36</v>
      </c>
      <c r="H372" s="3">
        <v>110.59418125988078</v>
      </c>
      <c r="I372" s="3">
        <f>ProductLine[[#This Row],[Units]]*ProductLine[[#This Row],[Dollars]]</f>
        <v>3981.3905253557082</v>
      </c>
    </row>
    <row r="373" spans="1:9" x14ac:dyDescent="0.35">
      <c r="A373">
        <v>372</v>
      </c>
      <c r="B373" t="s">
        <v>11</v>
      </c>
      <c r="C373" s="2">
        <v>38628</v>
      </c>
      <c r="D373">
        <f>YEAR(ProductLine[[#This Row],[Date]])</f>
        <v>2005</v>
      </c>
      <c r="E373">
        <f>MONTH(ProductLine[[#This Row],[Date]])</f>
        <v>10</v>
      </c>
      <c r="F373" t="s">
        <v>27</v>
      </c>
      <c r="G373">
        <v>34</v>
      </c>
      <c r="H373" s="3">
        <v>103.88965096458593</v>
      </c>
      <c r="I373" s="3">
        <f>ProductLine[[#This Row],[Units]]*ProductLine[[#This Row],[Dollars]]</f>
        <v>3532.2481327959213</v>
      </c>
    </row>
    <row r="374" spans="1:9" x14ac:dyDescent="0.35">
      <c r="A374">
        <v>373</v>
      </c>
      <c r="B374" t="s">
        <v>17</v>
      </c>
      <c r="C374" s="2">
        <v>38837</v>
      </c>
      <c r="D374">
        <f>YEAR(ProductLine[[#This Row],[Date]])</f>
        <v>2006</v>
      </c>
      <c r="E374">
        <f>MONTH(ProductLine[[#This Row],[Date]])</f>
        <v>4</v>
      </c>
      <c r="F374" t="s">
        <v>26</v>
      </c>
      <c r="G374">
        <v>84</v>
      </c>
      <c r="H374" s="3">
        <v>253.89322061575038</v>
      </c>
      <c r="I374" s="3">
        <f>ProductLine[[#This Row],[Units]]*ProductLine[[#This Row],[Dollars]]</f>
        <v>21327.03053172303</v>
      </c>
    </row>
    <row r="375" spans="1:9" x14ac:dyDescent="0.35">
      <c r="A375">
        <v>374</v>
      </c>
      <c r="B375" t="s">
        <v>10</v>
      </c>
      <c r="C375" s="2">
        <v>38947</v>
      </c>
      <c r="D375">
        <f>YEAR(ProductLine[[#This Row],[Date]])</f>
        <v>2006</v>
      </c>
      <c r="E375">
        <f>MONTH(ProductLine[[#This Row],[Date]])</f>
        <v>8</v>
      </c>
      <c r="F375" t="s">
        <v>27</v>
      </c>
      <c r="G375">
        <v>89</v>
      </c>
      <c r="H375" s="3">
        <v>268.47594870423103</v>
      </c>
      <c r="I375" s="3">
        <f>ProductLine[[#This Row],[Units]]*ProductLine[[#This Row],[Dollars]]</f>
        <v>23894.35943467656</v>
      </c>
    </row>
    <row r="376" spans="1:9" x14ac:dyDescent="0.35">
      <c r="A376">
        <v>375</v>
      </c>
      <c r="B376" t="s">
        <v>12</v>
      </c>
      <c r="C376" s="2">
        <v>38749</v>
      </c>
      <c r="D376">
        <f>YEAR(ProductLine[[#This Row],[Date]])</f>
        <v>2006</v>
      </c>
      <c r="E376">
        <f>MONTH(ProductLine[[#This Row],[Date]])</f>
        <v>2</v>
      </c>
      <c r="F376" t="s">
        <v>23</v>
      </c>
      <c r="G376">
        <v>31</v>
      </c>
      <c r="H376" s="3">
        <v>95.680691267513808</v>
      </c>
      <c r="I376" s="3">
        <f>ProductLine[[#This Row],[Units]]*ProductLine[[#This Row],[Dollars]]</f>
        <v>2966.1014292929281</v>
      </c>
    </row>
    <row r="377" spans="1:9" x14ac:dyDescent="0.35">
      <c r="A377">
        <v>376</v>
      </c>
      <c r="B377" t="s">
        <v>17</v>
      </c>
      <c r="C377" s="2">
        <v>38067</v>
      </c>
      <c r="D377">
        <f>YEAR(ProductLine[[#This Row],[Date]])</f>
        <v>2004</v>
      </c>
      <c r="E377">
        <f>MONTH(ProductLine[[#This Row],[Date]])</f>
        <v>3</v>
      </c>
      <c r="F377" t="s">
        <v>23</v>
      </c>
      <c r="G377">
        <v>7</v>
      </c>
      <c r="H377" s="3">
        <v>22.545863255239365</v>
      </c>
      <c r="I377" s="3">
        <f>ProductLine[[#This Row],[Units]]*ProductLine[[#This Row],[Dollars]]</f>
        <v>157.82104278667555</v>
      </c>
    </row>
    <row r="378" spans="1:9" x14ac:dyDescent="0.35">
      <c r="A378">
        <v>377</v>
      </c>
      <c r="B378" t="s">
        <v>10</v>
      </c>
      <c r="C378" s="2">
        <v>38023</v>
      </c>
      <c r="D378">
        <f>YEAR(ProductLine[[#This Row],[Date]])</f>
        <v>2004</v>
      </c>
      <c r="E378">
        <f>MONTH(ProductLine[[#This Row],[Date]])</f>
        <v>2</v>
      </c>
      <c r="F378" t="s">
        <v>23</v>
      </c>
      <c r="G378">
        <v>7</v>
      </c>
      <c r="H378" s="3">
        <v>22.939193343037168</v>
      </c>
      <c r="I378" s="3">
        <f>ProductLine[[#This Row],[Units]]*ProductLine[[#This Row],[Dollars]]</f>
        <v>160.57435340126017</v>
      </c>
    </row>
    <row r="379" spans="1:9" x14ac:dyDescent="0.35">
      <c r="A379">
        <v>378</v>
      </c>
      <c r="B379" t="s">
        <v>15</v>
      </c>
      <c r="C379" s="2">
        <v>38771</v>
      </c>
      <c r="D379">
        <f>YEAR(ProductLine[[#This Row],[Date]])</f>
        <v>2006</v>
      </c>
      <c r="E379">
        <f>MONTH(ProductLine[[#This Row],[Date]])</f>
        <v>2</v>
      </c>
      <c r="F379" t="s">
        <v>26</v>
      </c>
      <c r="G379">
        <v>76</v>
      </c>
      <c r="H379" s="3">
        <v>229.89259006043184</v>
      </c>
      <c r="I379" s="3">
        <f>ProductLine[[#This Row],[Units]]*ProductLine[[#This Row],[Dollars]]</f>
        <v>17471.836844592821</v>
      </c>
    </row>
    <row r="380" spans="1:9" x14ac:dyDescent="0.35">
      <c r="A380">
        <v>379</v>
      </c>
      <c r="B380" t="s">
        <v>12</v>
      </c>
      <c r="C380" s="2">
        <v>38199</v>
      </c>
      <c r="D380">
        <f>YEAR(ProductLine[[#This Row],[Date]])</f>
        <v>2004</v>
      </c>
      <c r="E380">
        <f>MONTH(ProductLine[[#This Row],[Date]])</f>
        <v>7</v>
      </c>
      <c r="F380" t="s">
        <v>24</v>
      </c>
      <c r="G380">
        <v>6</v>
      </c>
      <c r="H380" s="3">
        <v>19.561017308486775</v>
      </c>
      <c r="I380" s="3">
        <f>ProductLine[[#This Row],[Units]]*ProductLine[[#This Row],[Dollars]]</f>
        <v>117.36610385092065</v>
      </c>
    </row>
    <row r="381" spans="1:9" x14ac:dyDescent="0.35">
      <c r="A381">
        <v>380</v>
      </c>
      <c r="B381" t="s">
        <v>14</v>
      </c>
      <c r="C381" s="2">
        <v>39013</v>
      </c>
      <c r="D381">
        <f>YEAR(ProductLine[[#This Row],[Date]])</f>
        <v>2006</v>
      </c>
      <c r="E381">
        <f>MONTH(ProductLine[[#This Row],[Date]])</f>
        <v>10</v>
      </c>
      <c r="F381" t="s">
        <v>23</v>
      </c>
      <c r="G381">
        <v>43</v>
      </c>
      <c r="H381" s="3">
        <v>130.28590210776713</v>
      </c>
      <c r="I381" s="3">
        <f>ProductLine[[#This Row],[Units]]*ProductLine[[#This Row],[Dollars]]</f>
        <v>5602.2937906339866</v>
      </c>
    </row>
    <row r="382" spans="1:9" x14ac:dyDescent="0.35">
      <c r="A382">
        <v>381</v>
      </c>
      <c r="B382" t="s">
        <v>17</v>
      </c>
      <c r="C382" s="2">
        <v>38001</v>
      </c>
      <c r="D382">
        <f>YEAR(ProductLine[[#This Row],[Date]])</f>
        <v>2004</v>
      </c>
      <c r="E382">
        <f>MONTH(ProductLine[[#This Row],[Date]])</f>
        <v>1</v>
      </c>
      <c r="F382" t="s">
        <v>27</v>
      </c>
      <c r="G382">
        <v>20</v>
      </c>
      <c r="H382" s="3">
        <v>62.18277208256027</v>
      </c>
      <c r="I382" s="3">
        <f>ProductLine[[#This Row],[Units]]*ProductLine[[#This Row],[Dollars]]</f>
        <v>1243.6554416512054</v>
      </c>
    </row>
    <row r="383" spans="1:9" x14ac:dyDescent="0.35">
      <c r="A383">
        <v>382</v>
      </c>
      <c r="B383" t="s">
        <v>12</v>
      </c>
      <c r="C383" s="2">
        <v>38793</v>
      </c>
      <c r="D383">
        <f>YEAR(ProductLine[[#This Row],[Date]])</f>
        <v>2006</v>
      </c>
      <c r="E383">
        <f>MONTH(ProductLine[[#This Row],[Date]])</f>
        <v>3</v>
      </c>
      <c r="F383" t="s">
        <v>25</v>
      </c>
      <c r="G383">
        <v>11</v>
      </c>
      <c r="H383" s="3">
        <v>35.076818705440886</v>
      </c>
      <c r="I383" s="3">
        <f>ProductLine[[#This Row],[Units]]*ProductLine[[#This Row],[Dollars]]</f>
        <v>385.84500575984976</v>
      </c>
    </row>
    <row r="384" spans="1:9" x14ac:dyDescent="0.35">
      <c r="A384">
        <v>383</v>
      </c>
      <c r="B384" t="s">
        <v>16</v>
      </c>
      <c r="C384" s="2">
        <v>38529</v>
      </c>
      <c r="D384">
        <f>YEAR(ProductLine[[#This Row],[Date]])</f>
        <v>2005</v>
      </c>
      <c r="E384">
        <f>MONTH(ProductLine[[#This Row],[Date]])</f>
        <v>6</v>
      </c>
      <c r="F384" t="s">
        <v>26</v>
      </c>
      <c r="G384">
        <v>35</v>
      </c>
      <c r="H384" s="3">
        <v>107.05323824700537</v>
      </c>
      <c r="I384" s="3">
        <f>ProductLine[[#This Row],[Units]]*ProductLine[[#This Row],[Dollars]]</f>
        <v>3746.8633386451879</v>
      </c>
    </row>
    <row r="385" spans="1:9" x14ac:dyDescent="0.35">
      <c r="A385">
        <v>384</v>
      </c>
      <c r="B385" t="s">
        <v>15</v>
      </c>
      <c r="C385" s="2">
        <v>38793</v>
      </c>
      <c r="D385">
        <f>YEAR(ProductLine[[#This Row],[Date]])</f>
        <v>2006</v>
      </c>
      <c r="E385">
        <f>MONTH(ProductLine[[#This Row],[Date]])</f>
        <v>3</v>
      </c>
      <c r="F385" t="s">
        <v>24</v>
      </c>
      <c r="G385">
        <v>72</v>
      </c>
      <c r="H385" s="3">
        <v>218.15023917907857</v>
      </c>
      <c r="I385" s="3">
        <f>ProductLine[[#This Row],[Units]]*ProductLine[[#This Row],[Dollars]]</f>
        <v>15706.817220893658</v>
      </c>
    </row>
    <row r="386" spans="1:9" x14ac:dyDescent="0.35">
      <c r="A386">
        <v>385</v>
      </c>
      <c r="B386" t="s">
        <v>17</v>
      </c>
      <c r="C386" s="2">
        <v>38133</v>
      </c>
      <c r="D386">
        <f>YEAR(ProductLine[[#This Row],[Date]])</f>
        <v>2004</v>
      </c>
      <c r="E386">
        <f>MONTH(ProductLine[[#This Row],[Date]])</f>
        <v>5</v>
      </c>
      <c r="F386" t="s">
        <v>24</v>
      </c>
      <c r="G386">
        <v>49</v>
      </c>
      <c r="H386" s="3">
        <v>148.92692975074797</v>
      </c>
      <c r="I386" s="3">
        <f>ProductLine[[#This Row],[Units]]*ProductLine[[#This Row],[Dollars]]</f>
        <v>7297.4195577866503</v>
      </c>
    </row>
    <row r="387" spans="1:9" x14ac:dyDescent="0.35">
      <c r="A387">
        <v>386</v>
      </c>
      <c r="B387" t="s">
        <v>16</v>
      </c>
      <c r="C387" s="2">
        <v>38782</v>
      </c>
      <c r="D387">
        <f>YEAR(ProductLine[[#This Row],[Date]])</f>
        <v>2006</v>
      </c>
      <c r="E387">
        <f>MONTH(ProductLine[[#This Row],[Date]])</f>
        <v>3</v>
      </c>
      <c r="F387" t="s">
        <v>24</v>
      </c>
      <c r="G387">
        <v>88</v>
      </c>
      <c r="H387" s="3">
        <v>266.64631383797939</v>
      </c>
      <c r="I387" s="3">
        <f>ProductLine[[#This Row],[Units]]*ProductLine[[#This Row],[Dollars]]</f>
        <v>23464.875617742186</v>
      </c>
    </row>
    <row r="388" spans="1:9" x14ac:dyDescent="0.35">
      <c r="A388">
        <v>387</v>
      </c>
      <c r="B388" t="s">
        <v>11</v>
      </c>
      <c r="C388" s="2">
        <v>38804</v>
      </c>
      <c r="D388">
        <f>YEAR(ProductLine[[#This Row],[Date]])</f>
        <v>2006</v>
      </c>
      <c r="E388">
        <f>MONTH(ProductLine[[#This Row],[Date]])</f>
        <v>3</v>
      </c>
      <c r="F388" t="s">
        <v>24</v>
      </c>
      <c r="G388">
        <v>45</v>
      </c>
      <c r="H388" s="3">
        <v>136.00734165157533</v>
      </c>
      <c r="I388" s="3">
        <f>ProductLine[[#This Row],[Units]]*ProductLine[[#This Row],[Dollars]]</f>
        <v>6120.3303743208899</v>
      </c>
    </row>
    <row r="389" spans="1:9" x14ac:dyDescent="0.35">
      <c r="A389">
        <v>388</v>
      </c>
      <c r="B389" t="s">
        <v>11</v>
      </c>
      <c r="C389" s="2">
        <v>38067</v>
      </c>
      <c r="D389">
        <f>YEAR(ProductLine[[#This Row],[Date]])</f>
        <v>2004</v>
      </c>
      <c r="E389">
        <f>MONTH(ProductLine[[#This Row],[Date]])</f>
        <v>3</v>
      </c>
      <c r="F389" t="s">
        <v>23</v>
      </c>
      <c r="G389">
        <v>37</v>
      </c>
      <c r="H389" s="3">
        <v>112.92900415721101</v>
      </c>
      <c r="I389" s="3">
        <f>ProductLine[[#This Row],[Units]]*ProductLine[[#This Row],[Dollars]]</f>
        <v>4178.3731538168076</v>
      </c>
    </row>
    <row r="390" spans="1:9" x14ac:dyDescent="0.35">
      <c r="A390">
        <v>389</v>
      </c>
      <c r="B390" t="s">
        <v>13</v>
      </c>
      <c r="C390" s="2">
        <v>38452</v>
      </c>
      <c r="D390">
        <f>YEAR(ProductLine[[#This Row],[Date]])</f>
        <v>2005</v>
      </c>
      <c r="E390">
        <f>MONTH(ProductLine[[#This Row],[Date]])</f>
        <v>4</v>
      </c>
      <c r="F390" t="s">
        <v>23</v>
      </c>
      <c r="G390">
        <v>12</v>
      </c>
      <c r="H390" s="3">
        <v>38.618337900456311</v>
      </c>
      <c r="I390" s="3">
        <f>ProductLine[[#This Row],[Units]]*ProductLine[[#This Row],[Dollars]]</f>
        <v>463.42005480547573</v>
      </c>
    </row>
    <row r="391" spans="1:9" x14ac:dyDescent="0.35">
      <c r="A391">
        <v>390</v>
      </c>
      <c r="B391" t="s">
        <v>16</v>
      </c>
      <c r="C391" s="2">
        <v>38122</v>
      </c>
      <c r="D391">
        <f>YEAR(ProductLine[[#This Row],[Date]])</f>
        <v>2004</v>
      </c>
      <c r="E391">
        <f>MONTH(ProductLine[[#This Row],[Date]])</f>
        <v>5</v>
      </c>
      <c r="F391" t="s">
        <v>27</v>
      </c>
      <c r="G391">
        <v>18</v>
      </c>
      <c r="H391" s="3">
        <v>55.932067779481031</v>
      </c>
      <c r="I391" s="3">
        <f>ProductLine[[#This Row],[Units]]*ProductLine[[#This Row],[Dollars]]</f>
        <v>1006.7772200306586</v>
      </c>
    </row>
    <row r="392" spans="1:9" x14ac:dyDescent="0.35">
      <c r="A392">
        <v>391</v>
      </c>
      <c r="B392" t="s">
        <v>10</v>
      </c>
      <c r="C392" s="2">
        <v>38738</v>
      </c>
      <c r="D392">
        <f>YEAR(ProductLine[[#This Row],[Date]])</f>
        <v>2006</v>
      </c>
      <c r="E392">
        <f>MONTH(ProductLine[[#This Row],[Date]])</f>
        <v>1</v>
      </c>
      <c r="F392" t="s">
        <v>23</v>
      </c>
      <c r="G392">
        <v>75</v>
      </c>
      <c r="H392" s="3">
        <v>226.99796556311475</v>
      </c>
      <c r="I392" s="3">
        <f>ProductLine[[#This Row],[Units]]*ProductLine[[#This Row],[Dollars]]</f>
        <v>17024.847417233606</v>
      </c>
    </row>
    <row r="393" spans="1:9" x14ac:dyDescent="0.35">
      <c r="A393">
        <v>392</v>
      </c>
      <c r="B393" t="s">
        <v>16</v>
      </c>
      <c r="C393" s="2">
        <v>38408</v>
      </c>
      <c r="D393">
        <f>YEAR(ProductLine[[#This Row],[Date]])</f>
        <v>2005</v>
      </c>
      <c r="E393">
        <f>MONTH(ProductLine[[#This Row],[Date]])</f>
        <v>2</v>
      </c>
      <c r="F393" t="s">
        <v>24</v>
      </c>
      <c r="G393">
        <v>8</v>
      </c>
      <c r="H393" s="3">
        <v>26.314204821327241</v>
      </c>
      <c r="I393" s="3">
        <f>ProductLine[[#This Row],[Units]]*ProductLine[[#This Row],[Dollars]]</f>
        <v>210.51363857061793</v>
      </c>
    </row>
    <row r="394" spans="1:9" x14ac:dyDescent="0.35">
      <c r="A394">
        <v>393</v>
      </c>
      <c r="B394" t="s">
        <v>9</v>
      </c>
      <c r="C394" s="2">
        <v>38078</v>
      </c>
      <c r="D394">
        <f>YEAR(ProductLine[[#This Row],[Date]])</f>
        <v>2004</v>
      </c>
      <c r="E394">
        <f>MONTH(ProductLine[[#This Row],[Date]])</f>
        <v>4</v>
      </c>
      <c r="F394" t="s">
        <v>23</v>
      </c>
      <c r="G394">
        <v>37</v>
      </c>
      <c r="H394" s="3">
        <v>112.53534248627696</v>
      </c>
      <c r="I394" s="3">
        <f>ProductLine[[#This Row],[Units]]*ProductLine[[#This Row],[Dollars]]</f>
        <v>4163.8076719922474</v>
      </c>
    </row>
    <row r="395" spans="1:9" x14ac:dyDescent="0.35">
      <c r="A395">
        <v>394</v>
      </c>
      <c r="B395" t="s">
        <v>11</v>
      </c>
      <c r="C395" s="2">
        <v>38342</v>
      </c>
      <c r="D395">
        <f>YEAR(ProductLine[[#This Row],[Date]])</f>
        <v>2004</v>
      </c>
      <c r="E395">
        <f>MONTH(ProductLine[[#This Row],[Date]])</f>
        <v>12</v>
      </c>
      <c r="F395" t="s">
        <v>23</v>
      </c>
      <c r="G395">
        <v>-6</v>
      </c>
      <c r="H395" s="3">
        <v>-16.412365818215765</v>
      </c>
      <c r="I395" s="3">
        <f>ProductLine[[#This Row],[Units]]*ProductLine[[#This Row],[Dollars]]</f>
        <v>98.474194909294596</v>
      </c>
    </row>
    <row r="396" spans="1:9" x14ac:dyDescent="0.35">
      <c r="A396">
        <v>395</v>
      </c>
      <c r="B396" t="s">
        <v>9</v>
      </c>
      <c r="C396" s="2">
        <v>38122</v>
      </c>
      <c r="D396">
        <f>YEAR(ProductLine[[#This Row],[Date]])</f>
        <v>2004</v>
      </c>
      <c r="E396">
        <f>MONTH(ProductLine[[#This Row],[Date]])</f>
        <v>5</v>
      </c>
      <c r="F396" t="s">
        <v>25</v>
      </c>
      <c r="G396">
        <v>56</v>
      </c>
      <c r="H396" s="3">
        <v>169.27515470165261</v>
      </c>
      <c r="I396" s="3">
        <f>ProductLine[[#This Row],[Units]]*ProductLine[[#This Row],[Dollars]]</f>
        <v>9479.4086632925464</v>
      </c>
    </row>
    <row r="397" spans="1:9" x14ac:dyDescent="0.35">
      <c r="A397">
        <v>396</v>
      </c>
      <c r="B397" t="s">
        <v>16</v>
      </c>
      <c r="C397" s="2">
        <v>38331</v>
      </c>
      <c r="D397">
        <f>YEAR(ProductLine[[#This Row],[Date]])</f>
        <v>2004</v>
      </c>
      <c r="E397">
        <f>MONTH(ProductLine[[#This Row],[Date]])</f>
        <v>12</v>
      </c>
      <c r="F397" t="s">
        <v>26</v>
      </c>
      <c r="G397">
        <v>53</v>
      </c>
      <c r="H397" s="3">
        <v>161.32546557795675</v>
      </c>
      <c r="I397" s="3">
        <f>ProductLine[[#This Row],[Units]]*ProductLine[[#This Row],[Dollars]]</f>
        <v>8550.2496756317069</v>
      </c>
    </row>
    <row r="398" spans="1:9" x14ac:dyDescent="0.35">
      <c r="A398">
        <v>397</v>
      </c>
      <c r="B398" t="s">
        <v>14</v>
      </c>
      <c r="C398" s="2">
        <v>38133</v>
      </c>
      <c r="D398">
        <f>YEAR(ProductLine[[#This Row],[Date]])</f>
        <v>2004</v>
      </c>
      <c r="E398">
        <f>MONTH(ProductLine[[#This Row],[Date]])</f>
        <v>5</v>
      </c>
      <c r="F398" t="s">
        <v>23</v>
      </c>
      <c r="G398">
        <v>62</v>
      </c>
      <c r="H398" s="3">
        <v>187.71993550398903</v>
      </c>
      <c r="I398" s="3">
        <f>ProductLine[[#This Row],[Units]]*ProductLine[[#This Row],[Dollars]]</f>
        <v>11638.63600124732</v>
      </c>
    </row>
    <row r="399" spans="1:9" x14ac:dyDescent="0.35">
      <c r="A399">
        <v>398</v>
      </c>
      <c r="B399" t="s">
        <v>11</v>
      </c>
      <c r="C399" s="2">
        <v>38441</v>
      </c>
      <c r="D399">
        <f>YEAR(ProductLine[[#This Row],[Date]])</f>
        <v>2005</v>
      </c>
      <c r="E399">
        <f>MONTH(ProductLine[[#This Row],[Date]])</f>
        <v>3</v>
      </c>
      <c r="F399" t="s">
        <v>27</v>
      </c>
      <c r="G399">
        <v>90</v>
      </c>
      <c r="H399" s="3">
        <v>271.30519777626336</v>
      </c>
      <c r="I399" s="3">
        <f>ProductLine[[#This Row],[Units]]*ProductLine[[#This Row],[Dollars]]</f>
        <v>24417.467799863702</v>
      </c>
    </row>
    <row r="400" spans="1:9" x14ac:dyDescent="0.35">
      <c r="A400">
        <v>399</v>
      </c>
      <c r="B400" t="s">
        <v>11</v>
      </c>
      <c r="C400" s="2">
        <v>38001</v>
      </c>
      <c r="D400">
        <f>YEAR(ProductLine[[#This Row],[Date]])</f>
        <v>2004</v>
      </c>
      <c r="E400">
        <f>MONTH(ProductLine[[#This Row],[Date]])</f>
        <v>1</v>
      </c>
      <c r="F400" t="s">
        <v>26</v>
      </c>
      <c r="G400">
        <v>30</v>
      </c>
      <c r="H400" s="3">
        <v>92.293324121451917</v>
      </c>
      <c r="I400" s="3">
        <f>ProductLine[[#This Row],[Units]]*ProductLine[[#This Row],[Dollars]]</f>
        <v>2768.7997236435576</v>
      </c>
    </row>
    <row r="401" spans="1:9" x14ac:dyDescent="0.35">
      <c r="A401">
        <v>400</v>
      </c>
      <c r="B401" t="s">
        <v>13</v>
      </c>
      <c r="C401" s="2">
        <v>38397</v>
      </c>
      <c r="D401">
        <f>YEAR(ProductLine[[#This Row],[Date]])</f>
        <v>2005</v>
      </c>
      <c r="E401">
        <f>MONTH(ProductLine[[#This Row],[Date]])</f>
        <v>2</v>
      </c>
      <c r="F401" t="s">
        <v>24</v>
      </c>
      <c r="G401">
        <v>36</v>
      </c>
      <c r="H401" s="3">
        <v>110.39391248869612</v>
      </c>
      <c r="I401" s="3">
        <f>ProductLine[[#This Row],[Units]]*ProductLine[[#This Row],[Dollars]]</f>
        <v>3974.18084959306</v>
      </c>
    </row>
    <row r="402" spans="1:9" x14ac:dyDescent="0.35">
      <c r="A402">
        <v>401</v>
      </c>
      <c r="B402" t="s">
        <v>14</v>
      </c>
      <c r="C402" s="2">
        <v>38419</v>
      </c>
      <c r="D402">
        <f>YEAR(ProductLine[[#This Row],[Date]])</f>
        <v>2005</v>
      </c>
      <c r="E402">
        <f>MONTH(ProductLine[[#This Row],[Date]])</f>
        <v>3</v>
      </c>
      <c r="F402" t="s">
        <v>26</v>
      </c>
      <c r="G402">
        <v>76</v>
      </c>
      <c r="H402" s="3">
        <v>230.11911772178482</v>
      </c>
      <c r="I402" s="3">
        <f>ProductLine[[#This Row],[Units]]*ProductLine[[#This Row],[Dollars]]</f>
        <v>17489.052946855645</v>
      </c>
    </row>
    <row r="403" spans="1:9" x14ac:dyDescent="0.35">
      <c r="A403">
        <v>402</v>
      </c>
      <c r="B403" t="s">
        <v>15</v>
      </c>
      <c r="C403" s="2">
        <v>38452</v>
      </c>
      <c r="D403">
        <f>YEAR(ProductLine[[#This Row],[Date]])</f>
        <v>2005</v>
      </c>
      <c r="E403">
        <f>MONTH(ProductLine[[#This Row],[Date]])</f>
        <v>4</v>
      </c>
      <c r="F403" t="s">
        <v>23</v>
      </c>
      <c r="G403">
        <v>-4</v>
      </c>
      <c r="H403" s="3">
        <v>-10.045852408088738</v>
      </c>
      <c r="I403" s="3">
        <f>ProductLine[[#This Row],[Units]]*ProductLine[[#This Row],[Dollars]]</f>
        <v>40.183409632354952</v>
      </c>
    </row>
    <row r="404" spans="1:9" x14ac:dyDescent="0.35">
      <c r="A404">
        <v>403</v>
      </c>
      <c r="B404" t="s">
        <v>13</v>
      </c>
      <c r="C404" s="2">
        <v>38331</v>
      </c>
      <c r="D404">
        <f>YEAR(ProductLine[[#This Row],[Date]])</f>
        <v>2004</v>
      </c>
      <c r="E404">
        <f>MONTH(ProductLine[[#This Row],[Date]])</f>
        <v>12</v>
      </c>
      <c r="F404" t="s">
        <v>25</v>
      </c>
      <c r="G404">
        <v>26</v>
      </c>
      <c r="H404" s="3">
        <v>80.067286712333498</v>
      </c>
      <c r="I404" s="3">
        <f>ProductLine[[#This Row],[Units]]*ProductLine[[#This Row],[Dollars]]</f>
        <v>2081.749454520671</v>
      </c>
    </row>
    <row r="405" spans="1:9" x14ac:dyDescent="0.35">
      <c r="A405">
        <v>404</v>
      </c>
      <c r="B405" t="s">
        <v>14</v>
      </c>
      <c r="C405" s="2">
        <v>38485</v>
      </c>
      <c r="D405">
        <f>YEAR(ProductLine[[#This Row],[Date]])</f>
        <v>2005</v>
      </c>
      <c r="E405">
        <f>MONTH(ProductLine[[#This Row],[Date]])</f>
        <v>5</v>
      </c>
      <c r="F405" t="s">
        <v>23</v>
      </c>
      <c r="G405">
        <v>-5</v>
      </c>
      <c r="H405" s="3">
        <v>-12.799843018696107</v>
      </c>
      <c r="I405" s="3">
        <f>ProductLine[[#This Row],[Units]]*ProductLine[[#This Row],[Dollars]]</f>
        <v>63.999215093480537</v>
      </c>
    </row>
    <row r="406" spans="1:9" x14ac:dyDescent="0.35">
      <c r="A406">
        <v>405</v>
      </c>
      <c r="B406" t="s">
        <v>12</v>
      </c>
      <c r="C406" s="2">
        <v>38111</v>
      </c>
      <c r="D406">
        <f>YEAR(ProductLine[[#This Row],[Date]])</f>
        <v>2004</v>
      </c>
      <c r="E406">
        <f>MONTH(ProductLine[[#This Row],[Date]])</f>
        <v>5</v>
      </c>
      <c r="F406" t="s">
        <v>24</v>
      </c>
      <c r="G406">
        <v>44</v>
      </c>
      <c r="H406" s="3">
        <v>133.92031416884828</v>
      </c>
      <c r="I406" s="3">
        <f>ProductLine[[#This Row],[Units]]*ProductLine[[#This Row],[Dollars]]</f>
        <v>5892.493823429324</v>
      </c>
    </row>
    <row r="407" spans="1:9" x14ac:dyDescent="0.35">
      <c r="A407">
        <v>406</v>
      </c>
      <c r="B407" t="s">
        <v>13</v>
      </c>
      <c r="C407" s="2">
        <v>38034</v>
      </c>
      <c r="D407">
        <f>YEAR(ProductLine[[#This Row],[Date]])</f>
        <v>2004</v>
      </c>
      <c r="E407">
        <f>MONTH(ProductLine[[#This Row],[Date]])</f>
        <v>2</v>
      </c>
      <c r="F407" t="s">
        <v>27</v>
      </c>
      <c r="G407">
        <v>91</v>
      </c>
      <c r="H407" s="3">
        <v>274.81127367201924</v>
      </c>
      <c r="I407" s="3">
        <f>ProductLine[[#This Row],[Units]]*ProductLine[[#This Row],[Dollars]]</f>
        <v>25007.825904153749</v>
      </c>
    </row>
    <row r="408" spans="1:9" x14ac:dyDescent="0.35">
      <c r="A408">
        <v>407</v>
      </c>
      <c r="B408" t="s">
        <v>15</v>
      </c>
      <c r="C408" s="2">
        <v>38056</v>
      </c>
      <c r="D408">
        <f>YEAR(ProductLine[[#This Row],[Date]])</f>
        <v>2004</v>
      </c>
      <c r="E408">
        <f>MONTH(ProductLine[[#This Row],[Date]])</f>
        <v>3</v>
      </c>
      <c r="F408" t="s">
        <v>23</v>
      </c>
      <c r="G408">
        <v>78</v>
      </c>
      <c r="H408" s="3">
        <v>235.98595343131922</v>
      </c>
      <c r="I408" s="3">
        <f>ProductLine[[#This Row],[Units]]*ProductLine[[#This Row],[Dollars]]</f>
        <v>18406.904367642899</v>
      </c>
    </row>
    <row r="409" spans="1:9" x14ac:dyDescent="0.35">
      <c r="A409">
        <v>408</v>
      </c>
      <c r="B409" t="s">
        <v>16</v>
      </c>
      <c r="C409" s="2">
        <v>38859</v>
      </c>
      <c r="D409">
        <f>YEAR(ProductLine[[#This Row],[Date]])</f>
        <v>2006</v>
      </c>
      <c r="E409">
        <f>MONTH(ProductLine[[#This Row],[Date]])</f>
        <v>5</v>
      </c>
      <c r="F409" t="s">
        <v>23</v>
      </c>
      <c r="G409">
        <v>69</v>
      </c>
      <c r="H409" s="3">
        <v>208.58962786585158</v>
      </c>
      <c r="I409" s="3">
        <f>ProductLine[[#This Row],[Units]]*ProductLine[[#This Row],[Dollars]]</f>
        <v>14392.684322743758</v>
      </c>
    </row>
    <row r="410" spans="1:9" x14ac:dyDescent="0.35">
      <c r="A410">
        <v>409</v>
      </c>
      <c r="B410" t="s">
        <v>9</v>
      </c>
      <c r="C410" s="2">
        <v>38276</v>
      </c>
      <c r="D410">
        <f>YEAR(ProductLine[[#This Row],[Date]])</f>
        <v>2004</v>
      </c>
      <c r="E410">
        <f>MONTH(ProductLine[[#This Row],[Date]])</f>
        <v>10</v>
      </c>
      <c r="F410" t="s">
        <v>27</v>
      </c>
      <c r="G410">
        <v>74</v>
      </c>
      <c r="H410" s="3">
        <v>224.0430547727791</v>
      </c>
      <c r="I410" s="3">
        <f>ProductLine[[#This Row],[Units]]*ProductLine[[#This Row],[Dollars]]</f>
        <v>16579.186053185655</v>
      </c>
    </row>
    <row r="411" spans="1:9" x14ac:dyDescent="0.35">
      <c r="A411">
        <v>410</v>
      </c>
      <c r="B411" t="s">
        <v>12</v>
      </c>
      <c r="C411" s="2">
        <v>38562</v>
      </c>
      <c r="D411">
        <f>YEAR(ProductLine[[#This Row],[Date]])</f>
        <v>2005</v>
      </c>
      <c r="E411">
        <f>MONTH(ProductLine[[#This Row],[Date]])</f>
        <v>7</v>
      </c>
      <c r="F411" t="s">
        <v>24</v>
      </c>
      <c r="G411">
        <v>71</v>
      </c>
      <c r="H411" s="3">
        <v>215.12402518996404</v>
      </c>
      <c r="I411" s="3">
        <f>ProductLine[[#This Row],[Units]]*ProductLine[[#This Row],[Dollars]]</f>
        <v>15273.805788487447</v>
      </c>
    </row>
    <row r="412" spans="1:9" x14ac:dyDescent="0.35">
      <c r="A412">
        <v>411</v>
      </c>
      <c r="B412" t="s">
        <v>9</v>
      </c>
      <c r="C412" s="2">
        <v>38969</v>
      </c>
      <c r="D412">
        <f>YEAR(ProductLine[[#This Row],[Date]])</f>
        <v>2006</v>
      </c>
      <c r="E412">
        <f>MONTH(ProductLine[[#This Row],[Date]])</f>
        <v>9</v>
      </c>
      <c r="F412" t="s">
        <v>25</v>
      </c>
      <c r="G412">
        <v>34</v>
      </c>
      <c r="H412" s="3">
        <v>103.84939593855748</v>
      </c>
      <c r="I412" s="3">
        <f>ProductLine[[#This Row],[Units]]*ProductLine[[#This Row],[Dollars]]</f>
        <v>3530.8794619109544</v>
      </c>
    </row>
    <row r="413" spans="1:9" x14ac:dyDescent="0.35">
      <c r="A413">
        <v>412</v>
      </c>
      <c r="B413" t="s">
        <v>16</v>
      </c>
      <c r="C413" s="2">
        <v>38507</v>
      </c>
      <c r="D413">
        <f>YEAR(ProductLine[[#This Row],[Date]])</f>
        <v>2005</v>
      </c>
      <c r="E413">
        <f>MONTH(ProductLine[[#This Row],[Date]])</f>
        <v>6</v>
      </c>
      <c r="F413" t="s">
        <v>27</v>
      </c>
      <c r="G413">
        <v>93</v>
      </c>
      <c r="H413" s="3">
        <v>281.17054419951137</v>
      </c>
      <c r="I413" s="3">
        <f>ProductLine[[#This Row],[Units]]*ProductLine[[#This Row],[Dollars]]</f>
        <v>26148.860610554559</v>
      </c>
    </row>
    <row r="414" spans="1:9" x14ac:dyDescent="0.35">
      <c r="A414">
        <v>413</v>
      </c>
      <c r="B414" t="s">
        <v>10</v>
      </c>
      <c r="C414" s="2">
        <v>38408</v>
      </c>
      <c r="D414">
        <f>YEAR(ProductLine[[#This Row],[Date]])</f>
        <v>2005</v>
      </c>
      <c r="E414">
        <f>MONTH(ProductLine[[#This Row],[Date]])</f>
        <v>2</v>
      </c>
      <c r="F414" t="s">
        <v>24</v>
      </c>
      <c r="G414">
        <v>60</v>
      </c>
      <c r="H414" s="3">
        <v>182.60959965033061</v>
      </c>
      <c r="I414" s="3">
        <f>ProductLine[[#This Row],[Units]]*ProductLine[[#This Row],[Dollars]]</f>
        <v>10956.575979019837</v>
      </c>
    </row>
    <row r="415" spans="1:9" x14ac:dyDescent="0.35">
      <c r="A415">
        <v>414</v>
      </c>
      <c r="B415" t="s">
        <v>17</v>
      </c>
      <c r="C415" s="2">
        <v>38100</v>
      </c>
      <c r="D415">
        <f>YEAR(ProductLine[[#This Row],[Date]])</f>
        <v>2004</v>
      </c>
      <c r="E415">
        <f>MONTH(ProductLine[[#This Row],[Date]])</f>
        <v>4</v>
      </c>
      <c r="F415" t="s">
        <v>24</v>
      </c>
      <c r="G415">
        <v>37</v>
      </c>
      <c r="H415" s="3">
        <v>112.43397722732024</v>
      </c>
      <c r="I415" s="3">
        <f>ProductLine[[#This Row],[Units]]*ProductLine[[#This Row],[Dollars]]</f>
        <v>4160.057157410849</v>
      </c>
    </row>
    <row r="416" spans="1:9" x14ac:dyDescent="0.35">
      <c r="A416">
        <v>415</v>
      </c>
      <c r="B416" t="s">
        <v>16</v>
      </c>
      <c r="C416" s="2">
        <v>38166</v>
      </c>
      <c r="D416">
        <f>YEAR(ProductLine[[#This Row],[Date]])</f>
        <v>2004</v>
      </c>
      <c r="E416">
        <f>MONTH(ProductLine[[#This Row],[Date]])</f>
        <v>6</v>
      </c>
      <c r="F416" t="s">
        <v>26</v>
      </c>
      <c r="G416">
        <v>26</v>
      </c>
      <c r="H416" s="3">
        <v>79.913804333123736</v>
      </c>
      <c r="I416" s="3">
        <f>ProductLine[[#This Row],[Units]]*ProductLine[[#This Row],[Dollars]]</f>
        <v>2077.758912661217</v>
      </c>
    </row>
    <row r="417" spans="1:9" x14ac:dyDescent="0.35">
      <c r="A417">
        <v>416</v>
      </c>
      <c r="B417" t="s">
        <v>12</v>
      </c>
      <c r="C417" s="2">
        <v>38540</v>
      </c>
      <c r="D417">
        <f>YEAR(ProductLine[[#This Row],[Date]])</f>
        <v>2005</v>
      </c>
      <c r="E417">
        <f>MONTH(ProductLine[[#This Row],[Date]])</f>
        <v>7</v>
      </c>
      <c r="F417" t="s">
        <v>26</v>
      </c>
      <c r="G417">
        <v>2</v>
      </c>
      <c r="H417" s="3">
        <v>8.5397555339606015</v>
      </c>
      <c r="I417" s="3">
        <f>ProductLine[[#This Row],[Units]]*ProductLine[[#This Row],[Dollars]]</f>
        <v>17.079511067921203</v>
      </c>
    </row>
    <row r="418" spans="1:9" x14ac:dyDescent="0.35">
      <c r="A418">
        <v>417</v>
      </c>
      <c r="B418" t="s">
        <v>14</v>
      </c>
      <c r="C418" s="2">
        <v>38628</v>
      </c>
      <c r="D418">
        <f>YEAR(ProductLine[[#This Row],[Date]])</f>
        <v>2005</v>
      </c>
      <c r="E418">
        <f>MONTH(ProductLine[[#This Row],[Date]])</f>
        <v>10</v>
      </c>
      <c r="F418" t="s">
        <v>24</v>
      </c>
      <c r="G418">
        <v>-9</v>
      </c>
      <c r="H418" s="3">
        <v>-25.920453761182117</v>
      </c>
      <c r="I418" s="3">
        <f>ProductLine[[#This Row],[Units]]*ProductLine[[#This Row],[Dollars]]</f>
        <v>233.28408385063904</v>
      </c>
    </row>
    <row r="419" spans="1:9" x14ac:dyDescent="0.35">
      <c r="A419">
        <v>418</v>
      </c>
      <c r="B419" t="s">
        <v>9</v>
      </c>
      <c r="C419" s="2">
        <v>38771</v>
      </c>
      <c r="D419">
        <f>YEAR(ProductLine[[#This Row],[Date]])</f>
        <v>2006</v>
      </c>
      <c r="E419">
        <f>MONTH(ProductLine[[#This Row],[Date]])</f>
        <v>2</v>
      </c>
      <c r="F419" t="s">
        <v>24</v>
      </c>
      <c r="G419">
        <v>46</v>
      </c>
      <c r="H419" s="3">
        <v>139.68753059266518</v>
      </c>
      <c r="I419" s="3">
        <f>ProductLine[[#This Row],[Units]]*ProductLine[[#This Row],[Dollars]]</f>
        <v>6425.6264072625981</v>
      </c>
    </row>
    <row r="420" spans="1:9" x14ac:dyDescent="0.35">
      <c r="A420">
        <v>419</v>
      </c>
      <c r="B420" t="s">
        <v>14</v>
      </c>
      <c r="C420" s="2">
        <v>38056</v>
      </c>
      <c r="D420">
        <f>YEAR(ProductLine[[#This Row],[Date]])</f>
        <v>2004</v>
      </c>
      <c r="E420">
        <f>MONTH(ProductLine[[#This Row],[Date]])</f>
        <v>3</v>
      </c>
      <c r="F420" t="s">
        <v>27</v>
      </c>
      <c r="G420">
        <v>0</v>
      </c>
      <c r="H420" s="3">
        <v>2.3470477551262947</v>
      </c>
      <c r="I420" s="3">
        <f>ProductLine[[#This Row],[Units]]*ProductLine[[#This Row],[Dollars]]</f>
        <v>0</v>
      </c>
    </row>
    <row r="421" spans="1:9" x14ac:dyDescent="0.35">
      <c r="A421">
        <v>420</v>
      </c>
      <c r="B421" t="s">
        <v>10</v>
      </c>
      <c r="C421" s="2">
        <v>38320</v>
      </c>
      <c r="D421">
        <f>YEAR(ProductLine[[#This Row],[Date]])</f>
        <v>2004</v>
      </c>
      <c r="E421">
        <f>MONTH(ProductLine[[#This Row],[Date]])</f>
        <v>11</v>
      </c>
      <c r="F421" t="s">
        <v>24</v>
      </c>
      <c r="G421">
        <v>79</v>
      </c>
      <c r="H421" s="3">
        <v>239.2208514522392</v>
      </c>
      <c r="I421" s="3">
        <f>ProductLine[[#This Row],[Units]]*ProductLine[[#This Row],[Dollars]]</f>
        <v>18898.447264726896</v>
      </c>
    </row>
    <row r="422" spans="1:9" x14ac:dyDescent="0.35">
      <c r="A422">
        <v>421</v>
      </c>
      <c r="B422" t="s">
        <v>11</v>
      </c>
      <c r="C422" s="2">
        <v>38364</v>
      </c>
      <c r="D422">
        <f>YEAR(ProductLine[[#This Row],[Date]])</f>
        <v>2005</v>
      </c>
      <c r="E422">
        <f>MONTH(ProductLine[[#This Row],[Date]])</f>
        <v>1</v>
      </c>
      <c r="F422" t="s">
        <v>24</v>
      </c>
      <c r="G422">
        <v>48</v>
      </c>
      <c r="H422" s="3">
        <v>146.50697859164157</v>
      </c>
      <c r="I422" s="3">
        <f>ProductLine[[#This Row],[Units]]*ProductLine[[#This Row],[Dollars]]</f>
        <v>7032.3349723987958</v>
      </c>
    </row>
    <row r="423" spans="1:9" x14ac:dyDescent="0.35">
      <c r="A423">
        <v>422</v>
      </c>
      <c r="B423" t="s">
        <v>12</v>
      </c>
      <c r="C423" s="2">
        <v>38738</v>
      </c>
      <c r="D423">
        <f>YEAR(ProductLine[[#This Row],[Date]])</f>
        <v>2006</v>
      </c>
      <c r="E423">
        <f>MONTH(ProductLine[[#This Row],[Date]])</f>
        <v>1</v>
      </c>
      <c r="F423" t="s">
        <v>26</v>
      </c>
      <c r="G423">
        <v>77</v>
      </c>
      <c r="H423" s="3">
        <v>233.0800910699262</v>
      </c>
      <c r="I423" s="3">
        <f>ProductLine[[#This Row],[Units]]*ProductLine[[#This Row],[Dollars]]</f>
        <v>17947.167012384318</v>
      </c>
    </row>
    <row r="424" spans="1:9" x14ac:dyDescent="0.35">
      <c r="A424">
        <v>423</v>
      </c>
      <c r="B424" t="s">
        <v>16</v>
      </c>
      <c r="C424" s="2">
        <v>38760</v>
      </c>
      <c r="D424">
        <f>YEAR(ProductLine[[#This Row],[Date]])</f>
        <v>2006</v>
      </c>
      <c r="E424">
        <f>MONTH(ProductLine[[#This Row],[Date]])</f>
        <v>2</v>
      </c>
      <c r="F424" t="s">
        <v>24</v>
      </c>
      <c r="G424">
        <v>-10</v>
      </c>
      <c r="H424" s="3">
        <v>-26.967932789902449</v>
      </c>
      <c r="I424" s="3">
        <f>ProductLine[[#This Row],[Units]]*ProductLine[[#This Row],[Dollars]]</f>
        <v>269.67932789902449</v>
      </c>
    </row>
    <row r="425" spans="1:9" x14ac:dyDescent="0.35">
      <c r="A425">
        <v>424</v>
      </c>
      <c r="B425" t="s">
        <v>9</v>
      </c>
      <c r="C425" s="2">
        <v>38573</v>
      </c>
      <c r="D425">
        <f>YEAR(ProductLine[[#This Row],[Date]])</f>
        <v>2005</v>
      </c>
      <c r="E425">
        <f>MONTH(ProductLine[[#This Row],[Date]])</f>
        <v>8</v>
      </c>
      <c r="F425" t="s">
        <v>25</v>
      </c>
      <c r="G425">
        <v>45</v>
      </c>
      <c r="H425" s="3">
        <v>137.23163667167327</v>
      </c>
      <c r="I425" s="3">
        <f>ProductLine[[#This Row],[Units]]*ProductLine[[#This Row],[Dollars]]</f>
        <v>6175.423650225297</v>
      </c>
    </row>
    <row r="426" spans="1:9" x14ac:dyDescent="0.35">
      <c r="A426">
        <v>425</v>
      </c>
      <c r="B426" t="s">
        <v>13</v>
      </c>
      <c r="C426" s="2">
        <v>38375</v>
      </c>
      <c r="D426">
        <f>YEAR(ProductLine[[#This Row],[Date]])</f>
        <v>2005</v>
      </c>
      <c r="E426">
        <f>MONTH(ProductLine[[#This Row],[Date]])</f>
        <v>1</v>
      </c>
      <c r="F426" t="s">
        <v>24</v>
      </c>
      <c r="G426">
        <v>17</v>
      </c>
      <c r="H426" s="3">
        <v>53.565793196028118</v>
      </c>
      <c r="I426" s="3">
        <f>ProductLine[[#This Row],[Units]]*ProductLine[[#This Row],[Dollars]]</f>
        <v>910.61848433247803</v>
      </c>
    </row>
    <row r="427" spans="1:9" x14ac:dyDescent="0.35">
      <c r="A427">
        <v>426</v>
      </c>
      <c r="B427" t="s">
        <v>16</v>
      </c>
      <c r="C427" s="2">
        <v>38584</v>
      </c>
      <c r="D427">
        <f>YEAR(ProductLine[[#This Row],[Date]])</f>
        <v>2005</v>
      </c>
      <c r="E427">
        <f>MONTH(ProductLine[[#This Row],[Date]])</f>
        <v>8</v>
      </c>
      <c r="F427" t="s">
        <v>26</v>
      </c>
      <c r="G427">
        <v>-4</v>
      </c>
      <c r="H427" s="3">
        <v>-10.36408331456853</v>
      </c>
      <c r="I427" s="3">
        <f>ProductLine[[#This Row],[Units]]*ProductLine[[#This Row],[Dollars]]</f>
        <v>41.456333258274121</v>
      </c>
    </row>
    <row r="428" spans="1:9" x14ac:dyDescent="0.35">
      <c r="A428">
        <v>427</v>
      </c>
      <c r="B428" t="s">
        <v>12</v>
      </c>
      <c r="C428" s="2">
        <v>39068</v>
      </c>
      <c r="D428">
        <f>YEAR(ProductLine[[#This Row],[Date]])</f>
        <v>2006</v>
      </c>
      <c r="E428">
        <f>MONTH(ProductLine[[#This Row],[Date]])</f>
        <v>12</v>
      </c>
      <c r="F428" t="s">
        <v>27</v>
      </c>
      <c r="G428">
        <v>43</v>
      </c>
      <c r="H428" s="3">
        <v>130.80350038976189</v>
      </c>
      <c r="I428" s="3">
        <f>ProductLine[[#This Row],[Units]]*ProductLine[[#This Row],[Dollars]]</f>
        <v>5624.5505167597612</v>
      </c>
    </row>
    <row r="429" spans="1:9" x14ac:dyDescent="0.35">
      <c r="A429">
        <v>428</v>
      </c>
      <c r="B429" t="s">
        <v>13</v>
      </c>
      <c r="C429" s="2">
        <v>38265</v>
      </c>
      <c r="D429">
        <f>YEAR(ProductLine[[#This Row],[Date]])</f>
        <v>2004</v>
      </c>
      <c r="E429">
        <f>MONTH(ProductLine[[#This Row],[Date]])</f>
        <v>10</v>
      </c>
      <c r="F429" t="s">
        <v>26</v>
      </c>
      <c r="G429">
        <v>41</v>
      </c>
      <c r="H429" s="3">
        <v>125.18937528559893</v>
      </c>
      <c r="I429" s="3">
        <f>ProductLine[[#This Row],[Units]]*ProductLine[[#This Row],[Dollars]]</f>
        <v>5132.7643867095558</v>
      </c>
    </row>
    <row r="430" spans="1:9" x14ac:dyDescent="0.35">
      <c r="A430">
        <v>429</v>
      </c>
      <c r="B430" t="s">
        <v>16</v>
      </c>
      <c r="C430" s="2">
        <v>38892</v>
      </c>
      <c r="D430">
        <f>YEAR(ProductLine[[#This Row],[Date]])</f>
        <v>2006</v>
      </c>
      <c r="E430">
        <f>MONTH(ProductLine[[#This Row],[Date]])</f>
        <v>6</v>
      </c>
      <c r="F430" t="s">
        <v>25</v>
      </c>
      <c r="G430">
        <v>-4</v>
      </c>
      <c r="H430" s="3">
        <v>-9.8762446340450722</v>
      </c>
      <c r="I430" s="3">
        <f>ProductLine[[#This Row],[Units]]*ProductLine[[#This Row],[Dollars]]</f>
        <v>39.504978536180289</v>
      </c>
    </row>
    <row r="431" spans="1:9" x14ac:dyDescent="0.35">
      <c r="A431">
        <v>430</v>
      </c>
      <c r="B431" t="s">
        <v>15</v>
      </c>
      <c r="C431" s="2">
        <v>38243</v>
      </c>
      <c r="D431">
        <f>YEAR(ProductLine[[#This Row],[Date]])</f>
        <v>2004</v>
      </c>
      <c r="E431">
        <f>MONTH(ProductLine[[#This Row],[Date]])</f>
        <v>9</v>
      </c>
      <c r="F431" t="s">
        <v>24</v>
      </c>
      <c r="G431">
        <v>6</v>
      </c>
      <c r="H431" s="3">
        <v>20.388215317654449</v>
      </c>
      <c r="I431" s="3">
        <f>ProductLine[[#This Row],[Units]]*ProductLine[[#This Row],[Dollars]]</f>
        <v>122.32929190592669</v>
      </c>
    </row>
    <row r="432" spans="1:9" x14ac:dyDescent="0.35">
      <c r="A432">
        <v>431</v>
      </c>
      <c r="B432" t="s">
        <v>11</v>
      </c>
      <c r="C432" s="2">
        <v>38848</v>
      </c>
      <c r="D432">
        <f>YEAR(ProductLine[[#This Row],[Date]])</f>
        <v>2006</v>
      </c>
      <c r="E432">
        <f>MONTH(ProductLine[[#This Row],[Date]])</f>
        <v>5</v>
      </c>
      <c r="F432" t="s">
        <v>24</v>
      </c>
      <c r="G432">
        <v>8</v>
      </c>
      <c r="H432" s="3">
        <v>25.124465791488021</v>
      </c>
      <c r="I432" s="3">
        <f>ProductLine[[#This Row],[Units]]*ProductLine[[#This Row],[Dollars]]</f>
        <v>200.99572633190417</v>
      </c>
    </row>
    <row r="433" spans="1:9" x14ac:dyDescent="0.35">
      <c r="A433">
        <v>432</v>
      </c>
      <c r="B433" t="s">
        <v>10</v>
      </c>
      <c r="C433" s="2">
        <v>38177</v>
      </c>
      <c r="D433">
        <f>YEAR(ProductLine[[#This Row],[Date]])</f>
        <v>2004</v>
      </c>
      <c r="E433">
        <f>MONTH(ProductLine[[#This Row],[Date]])</f>
        <v>7</v>
      </c>
      <c r="F433" t="s">
        <v>26</v>
      </c>
      <c r="G433">
        <v>43</v>
      </c>
      <c r="H433" s="3">
        <v>131.20326238549768</v>
      </c>
      <c r="I433" s="3">
        <f>ProductLine[[#This Row],[Units]]*ProductLine[[#This Row],[Dollars]]</f>
        <v>5641.7402825764002</v>
      </c>
    </row>
    <row r="434" spans="1:9" x14ac:dyDescent="0.35">
      <c r="A434">
        <v>433</v>
      </c>
      <c r="B434" t="s">
        <v>9</v>
      </c>
      <c r="C434" s="2">
        <v>38144</v>
      </c>
      <c r="D434">
        <f>YEAR(ProductLine[[#This Row],[Date]])</f>
        <v>2004</v>
      </c>
      <c r="E434">
        <f>MONTH(ProductLine[[#This Row],[Date]])</f>
        <v>6</v>
      </c>
      <c r="F434" t="s">
        <v>26</v>
      </c>
      <c r="G434">
        <v>47</v>
      </c>
      <c r="H434" s="3">
        <v>142.67305731753257</v>
      </c>
      <c r="I434" s="3">
        <f>ProductLine[[#This Row],[Units]]*ProductLine[[#This Row],[Dollars]]</f>
        <v>6705.6336939240309</v>
      </c>
    </row>
    <row r="435" spans="1:9" x14ac:dyDescent="0.35">
      <c r="A435">
        <v>434</v>
      </c>
      <c r="B435" t="s">
        <v>10</v>
      </c>
      <c r="C435" s="2">
        <v>38947</v>
      </c>
      <c r="D435">
        <f>YEAR(ProductLine[[#This Row],[Date]])</f>
        <v>2006</v>
      </c>
      <c r="E435">
        <f>MONTH(ProductLine[[#This Row],[Date]])</f>
        <v>8</v>
      </c>
      <c r="F435" t="s">
        <v>23</v>
      </c>
      <c r="G435">
        <v>13</v>
      </c>
      <c r="H435" s="3">
        <v>41.344467136527072</v>
      </c>
      <c r="I435" s="3">
        <f>ProductLine[[#This Row],[Units]]*ProductLine[[#This Row],[Dollars]]</f>
        <v>537.47807277485197</v>
      </c>
    </row>
    <row r="436" spans="1:9" x14ac:dyDescent="0.35">
      <c r="A436">
        <v>435</v>
      </c>
      <c r="B436" t="s">
        <v>16</v>
      </c>
      <c r="C436" s="2">
        <v>38749</v>
      </c>
      <c r="D436">
        <f>YEAR(ProductLine[[#This Row],[Date]])</f>
        <v>2006</v>
      </c>
      <c r="E436">
        <f>MONTH(ProductLine[[#This Row],[Date]])</f>
        <v>2</v>
      </c>
      <c r="F436" t="s">
        <v>24</v>
      </c>
      <c r="G436">
        <v>9</v>
      </c>
      <c r="H436" s="3">
        <v>28.804240494297932</v>
      </c>
      <c r="I436" s="3">
        <f>ProductLine[[#This Row],[Units]]*ProductLine[[#This Row],[Dollars]]</f>
        <v>259.2381644486814</v>
      </c>
    </row>
    <row r="437" spans="1:9" x14ac:dyDescent="0.35">
      <c r="A437">
        <v>436</v>
      </c>
      <c r="B437" t="s">
        <v>9</v>
      </c>
      <c r="C437" s="2">
        <v>38045</v>
      </c>
      <c r="D437">
        <f>YEAR(ProductLine[[#This Row],[Date]])</f>
        <v>2004</v>
      </c>
      <c r="E437">
        <f>MONTH(ProductLine[[#This Row],[Date]])</f>
        <v>2</v>
      </c>
      <c r="F437" t="s">
        <v>26</v>
      </c>
      <c r="G437">
        <v>22</v>
      </c>
      <c r="H437" s="3">
        <v>67.510047922862512</v>
      </c>
      <c r="I437" s="3">
        <f>ProductLine[[#This Row],[Units]]*ProductLine[[#This Row],[Dollars]]</f>
        <v>1485.2210543029753</v>
      </c>
    </row>
    <row r="438" spans="1:9" x14ac:dyDescent="0.35">
      <c r="A438">
        <v>437</v>
      </c>
      <c r="B438" t="s">
        <v>12</v>
      </c>
      <c r="C438" s="2">
        <v>38793</v>
      </c>
      <c r="D438">
        <f>YEAR(ProductLine[[#This Row],[Date]])</f>
        <v>2006</v>
      </c>
      <c r="E438">
        <f>MONTH(ProductLine[[#This Row],[Date]])</f>
        <v>3</v>
      </c>
      <c r="F438" t="s">
        <v>26</v>
      </c>
      <c r="G438">
        <v>87</v>
      </c>
      <c r="H438" s="3">
        <v>263.06877286650899</v>
      </c>
      <c r="I438" s="3">
        <f>ProductLine[[#This Row],[Units]]*ProductLine[[#This Row],[Dollars]]</f>
        <v>22886.983239386282</v>
      </c>
    </row>
    <row r="439" spans="1:9" x14ac:dyDescent="0.35">
      <c r="A439">
        <v>438</v>
      </c>
      <c r="B439" t="s">
        <v>14</v>
      </c>
      <c r="C439" s="2">
        <v>39013</v>
      </c>
      <c r="D439">
        <f>YEAR(ProductLine[[#This Row],[Date]])</f>
        <v>2006</v>
      </c>
      <c r="E439">
        <f>MONTH(ProductLine[[#This Row],[Date]])</f>
        <v>10</v>
      </c>
      <c r="F439" t="s">
        <v>24</v>
      </c>
      <c r="G439">
        <v>15</v>
      </c>
      <c r="H439" s="3">
        <v>46.297252141958666</v>
      </c>
      <c r="I439" s="3">
        <f>ProductLine[[#This Row],[Units]]*ProductLine[[#This Row],[Dollars]]</f>
        <v>694.45878212937998</v>
      </c>
    </row>
    <row r="440" spans="1:9" x14ac:dyDescent="0.35">
      <c r="A440">
        <v>439</v>
      </c>
      <c r="B440" t="s">
        <v>17</v>
      </c>
      <c r="C440" s="2">
        <v>39013</v>
      </c>
      <c r="D440">
        <f>YEAR(ProductLine[[#This Row],[Date]])</f>
        <v>2006</v>
      </c>
      <c r="E440">
        <f>MONTH(ProductLine[[#This Row],[Date]])</f>
        <v>10</v>
      </c>
      <c r="F440" t="s">
        <v>26</v>
      </c>
      <c r="G440">
        <v>27</v>
      </c>
      <c r="H440" s="3">
        <v>83.407614775333784</v>
      </c>
      <c r="I440" s="3">
        <f>ProductLine[[#This Row],[Units]]*ProductLine[[#This Row],[Dollars]]</f>
        <v>2252.0055989340121</v>
      </c>
    </row>
    <row r="441" spans="1:9" x14ac:dyDescent="0.35">
      <c r="A441">
        <v>440</v>
      </c>
      <c r="B441" t="s">
        <v>13</v>
      </c>
      <c r="C441" s="2">
        <v>38837</v>
      </c>
      <c r="D441">
        <f>YEAR(ProductLine[[#This Row],[Date]])</f>
        <v>2006</v>
      </c>
      <c r="E441">
        <f>MONTH(ProductLine[[#This Row],[Date]])</f>
        <v>4</v>
      </c>
      <c r="F441" t="s">
        <v>25</v>
      </c>
      <c r="G441">
        <v>78</v>
      </c>
      <c r="H441" s="3">
        <v>236.44426202228297</v>
      </c>
      <c r="I441" s="3">
        <f>ProductLine[[#This Row],[Units]]*ProductLine[[#This Row],[Dollars]]</f>
        <v>18442.65243773807</v>
      </c>
    </row>
    <row r="442" spans="1:9" x14ac:dyDescent="0.35">
      <c r="A442">
        <v>441</v>
      </c>
      <c r="B442" t="s">
        <v>17</v>
      </c>
      <c r="C442" s="2">
        <v>38430</v>
      </c>
      <c r="D442">
        <f>YEAR(ProductLine[[#This Row],[Date]])</f>
        <v>2005</v>
      </c>
      <c r="E442">
        <f>MONTH(ProductLine[[#This Row],[Date]])</f>
        <v>3</v>
      </c>
      <c r="F442" t="s">
        <v>27</v>
      </c>
      <c r="G442">
        <v>27</v>
      </c>
      <c r="H442" s="3">
        <v>82.997777309268898</v>
      </c>
      <c r="I442" s="3">
        <f>ProductLine[[#This Row],[Units]]*ProductLine[[#This Row],[Dollars]]</f>
        <v>2240.9399873502603</v>
      </c>
    </row>
    <row r="443" spans="1:9" x14ac:dyDescent="0.35">
      <c r="A443">
        <v>442</v>
      </c>
      <c r="B443" t="s">
        <v>17</v>
      </c>
      <c r="C443" s="2">
        <v>38012</v>
      </c>
      <c r="D443">
        <f>YEAR(ProductLine[[#This Row],[Date]])</f>
        <v>2004</v>
      </c>
      <c r="E443">
        <f>MONTH(ProductLine[[#This Row],[Date]])</f>
        <v>1</v>
      </c>
      <c r="F443" t="s">
        <v>24</v>
      </c>
      <c r="G443">
        <v>19</v>
      </c>
      <c r="H443" s="3">
        <v>59.621865554565929</v>
      </c>
      <c r="I443" s="3">
        <f>ProductLine[[#This Row],[Units]]*ProductLine[[#This Row],[Dollars]]</f>
        <v>1132.8154455367526</v>
      </c>
    </row>
    <row r="444" spans="1:9" x14ac:dyDescent="0.35">
      <c r="A444">
        <v>443</v>
      </c>
      <c r="B444" t="s">
        <v>11</v>
      </c>
      <c r="C444" s="2">
        <v>38034</v>
      </c>
      <c r="D444">
        <f>YEAR(ProductLine[[#This Row],[Date]])</f>
        <v>2004</v>
      </c>
      <c r="E444">
        <f>MONTH(ProductLine[[#This Row],[Date]])</f>
        <v>2</v>
      </c>
      <c r="F444" t="s">
        <v>27</v>
      </c>
      <c r="G444">
        <v>0</v>
      </c>
      <c r="H444" s="3">
        <v>2.3705199513077329</v>
      </c>
      <c r="I444" s="3">
        <f>ProductLine[[#This Row],[Units]]*ProductLine[[#This Row],[Dollars]]</f>
        <v>0</v>
      </c>
    </row>
    <row r="445" spans="1:9" x14ac:dyDescent="0.35">
      <c r="A445">
        <v>444</v>
      </c>
      <c r="B445" t="s">
        <v>9</v>
      </c>
      <c r="C445" s="2">
        <v>38331</v>
      </c>
      <c r="D445">
        <f>YEAR(ProductLine[[#This Row],[Date]])</f>
        <v>2004</v>
      </c>
      <c r="E445">
        <f>MONTH(ProductLine[[#This Row],[Date]])</f>
        <v>12</v>
      </c>
      <c r="F445" t="s">
        <v>26</v>
      </c>
      <c r="G445">
        <v>30</v>
      </c>
      <c r="H445" s="3">
        <v>91.969621588308584</v>
      </c>
      <c r="I445" s="3">
        <f>ProductLine[[#This Row],[Units]]*ProductLine[[#This Row],[Dollars]]</f>
        <v>2759.0886476492574</v>
      </c>
    </row>
    <row r="446" spans="1:9" x14ac:dyDescent="0.35">
      <c r="A446">
        <v>445</v>
      </c>
      <c r="B446" t="s">
        <v>14</v>
      </c>
      <c r="C446" s="2">
        <v>38936</v>
      </c>
      <c r="D446">
        <f>YEAR(ProductLine[[#This Row],[Date]])</f>
        <v>2006</v>
      </c>
      <c r="E446">
        <f>MONTH(ProductLine[[#This Row],[Date]])</f>
        <v>8</v>
      </c>
      <c r="F446" t="s">
        <v>25</v>
      </c>
      <c r="G446">
        <v>17</v>
      </c>
      <c r="H446" s="3">
        <v>52.938579538531904</v>
      </c>
      <c r="I446" s="3">
        <f>ProductLine[[#This Row],[Units]]*ProductLine[[#This Row],[Dollars]]</f>
        <v>899.95585215504241</v>
      </c>
    </row>
    <row r="447" spans="1:9" x14ac:dyDescent="0.35">
      <c r="A447">
        <v>446</v>
      </c>
      <c r="B447" t="s">
        <v>10</v>
      </c>
      <c r="C447" s="2">
        <v>38507</v>
      </c>
      <c r="D447">
        <f>YEAR(ProductLine[[#This Row],[Date]])</f>
        <v>2005</v>
      </c>
      <c r="E447">
        <f>MONTH(ProductLine[[#This Row],[Date]])</f>
        <v>6</v>
      </c>
      <c r="F447" t="s">
        <v>23</v>
      </c>
      <c r="G447">
        <v>36</v>
      </c>
      <c r="H447" s="3">
        <v>109.95144430067725</v>
      </c>
      <c r="I447" s="3">
        <f>ProductLine[[#This Row],[Units]]*ProductLine[[#This Row],[Dollars]]</f>
        <v>3958.2519948243812</v>
      </c>
    </row>
    <row r="448" spans="1:9" x14ac:dyDescent="0.35">
      <c r="A448">
        <v>447</v>
      </c>
      <c r="B448" t="s">
        <v>10</v>
      </c>
      <c r="C448" s="2">
        <v>38738</v>
      </c>
      <c r="D448">
        <f>YEAR(ProductLine[[#This Row],[Date]])</f>
        <v>2006</v>
      </c>
      <c r="E448">
        <f>MONTH(ProductLine[[#This Row],[Date]])</f>
        <v>1</v>
      </c>
      <c r="F448" t="s">
        <v>24</v>
      </c>
      <c r="G448">
        <v>-4</v>
      </c>
      <c r="H448" s="3">
        <v>-10.242938195130456</v>
      </c>
      <c r="I448" s="3">
        <f>ProductLine[[#This Row],[Units]]*ProductLine[[#This Row],[Dollars]]</f>
        <v>40.971752780521825</v>
      </c>
    </row>
    <row r="449" spans="1:9" x14ac:dyDescent="0.35">
      <c r="A449">
        <v>448</v>
      </c>
      <c r="B449" t="s">
        <v>17</v>
      </c>
      <c r="C449" s="2">
        <v>38001</v>
      </c>
      <c r="D449">
        <f>YEAR(ProductLine[[#This Row],[Date]])</f>
        <v>2004</v>
      </c>
      <c r="E449">
        <f>MONTH(ProductLine[[#This Row],[Date]])</f>
        <v>1</v>
      </c>
      <c r="F449" t="s">
        <v>27</v>
      </c>
      <c r="G449">
        <v>4</v>
      </c>
      <c r="H449" s="3">
        <v>14.170380845910964</v>
      </c>
      <c r="I449" s="3">
        <f>ProductLine[[#This Row],[Units]]*ProductLine[[#This Row],[Dollars]]</f>
        <v>56.681523383643857</v>
      </c>
    </row>
    <row r="450" spans="1:9" x14ac:dyDescent="0.35">
      <c r="A450">
        <v>449</v>
      </c>
      <c r="B450" t="s">
        <v>11</v>
      </c>
      <c r="C450" s="2">
        <v>38144</v>
      </c>
      <c r="D450">
        <f>YEAR(ProductLine[[#This Row],[Date]])</f>
        <v>2004</v>
      </c>
      <c r="E450">
        <f>MONTH(ProductLine[[#This Row],[Date]])</f>
        <v>6</v>
      </c>
      <c r="F450" t="s">
        <v>26</v>
      </c>
      <c r="G450">
        <v>81</v>
      </c>
      <c r="H450" s="3">
        <v>244.97499865385612</v>
      </c>
      <c r="I450" s="3">
        <f>ProductLine[[#This Row],[Units]]*ProductLine[[#This Row],[Dollars]]</f>
        <v>19842.974890962345</v>
      </c>
    </row>
    <row r="451" spans="1:9" x14ac:dyDescent="0.35">
      <c r="A451">
        <v>450</v>
      </c>
      <c r="B451" t="s">
        <v>14</v>
      </c>
      <c r="C451" s="2">
        <v>38342</v>
      </c>
      <c r="D451">
        <f>YEAR(ProductLine[[#This Row],[Date]])</f>
        <v>2004</v>
      </c>
      <c r="E451">
        <f>MONTH(ProductLine[[#This Row],[Date]])</f>
        <v>12</v>
      </c>
      <c r="F451" t="s">
        <v>26</v>
      </c>
      <c r="G451">
        <v>87</v>
      </c>
      <c r="H451" s="3">
        <v>263.83037846281559</v>
      </c>
      <c r="I451" s="3">
        <f>ProductLine[[#This Row],[Units]]*ProductLine[[#This Row],[Dollars]]</f>
        <v>22953.242926264957</v>
      </c>
    </row>
    <row r="452" spans="1:9" x14ac:dyDescent="0.35">
      <c r="A452">
        <v>451</v>
      </c>
      <c r="B452" t="s">
        <v>9</v>
      </c>
      <c r="C452" s="2">
        <v>38023</v>
      </c>
      <c r="D452">
        <f>YEAR(ProductLine[[#This Row],[Date]])</f>
        <v>2004</v>
      </c>
      <c r="E452">
        <f>MONTH(ProductLine[[#This Row],[Date]])</f>
        <v>2</v>
      </c>
      <c r="F452" t="s">
        <v>26</v>
      </c>
      <c r="G452">
        <v>13</v>
      </c>
      <c r="H452" s="3">
        <v>40.507831778483222</v>
      </c>
      <c r="I452" s="3">
        <f>ProductLine[[#This Row],[Units]]*ProductLine[[#This Row],[Dollars]]</f>
        <v>526.60181312028192</v>
      </c>
    </row>
    <row r="453" spans="1:9" x14ac:dyDescent="0.35">
      <c r="A453">
        <v>452</v>
      </c>
      <c r="B453" t="s">
        <v>12</v>
      </c>
      <c r="C453" s="2">
        <v>38111</v>
      </c>
      <c r="D453">
        <f>YEAR(ProductLine[[#This Row],[Date]])</f>
        <v>2004</v>
      </c>
      <c r="E453">
        <f>MONTH(ProductLine[[#This Row],[Date]])</f>
        <v>5</v>
      </c>
      <c r="F453" t="s">
        <v>23</v>
      </c>
      <c r="G453">
        <v>48</v>
      </c>
      <c r="H453" s="3">
        <v>145.84691044279441</v>
      </c>
      <c r="I453" s="3">
        <f>ProductLine[[#This Row],[Units]]*ProductLine[[#This Row],[Dollars]]</f>
        <v>7000.6517012541317</v>
      </c>
    </row>
    <row r="454" spans="1:9" x14ac:dyDescent="0.35">
      <c r="A454">
        <v>453</v>
      </c>
      <c r="B454" t="s">
        <v>9</v>
      </c>
      <c r="C454" s="2">
        <v>38628</v>
      </c>
      <c r="D454">
        <f>YEAR(ProductLine[[#This Row],[Date]])</f>
        <v>2005</v>
      </c>
      <c r="E454">
        <f>MONTH(ProductLine[[#This Row],[Date]])</f>
        <v>10</v>
      </c>
      <c r="F454" t="s">
        <v>25</v>
      </c>
      <c r="G454">
        <v>2</v>
      </c>
      <c r="H454" s="3">
        <v>7.0981331873476012</v>
      </c>
      <c r="I454" s="3">
        <f>ProductLine[[#This Row],[Units]]*ProductLine[[#This Row],[Dollars]]</f>
        <v>14.196266374695202</v>
      </c>
    </row>
    <row r="455" spans="1:9" x14ac:dyDescent="0.35">
      <c r="A455">
        <v>454</v>
      </c>
      <c r="B455" t="s">
        <v>16</v>
      </c>
      <c r="C455" s="2">
        <v>38155</v>
      </c>
      <c r="D455">
        <f>YEAR(ProductLine[[#This Row],[Date]])</f>
        <v>2004</v>
      </c>
      <c r="E455">
        <f>MONTH(ProductLine[[#This Row],[Date]])</f>
        <v>6</v>
      </c>
      <c r="F455" t="s">
        <v>23</v>
      </c>
      <c r="G455">
        <v>32</v>
      </c>
      <c r="H455" s="3">
        <v>98.366647965700452</v>
      </c>
      <c r="I455" s="3">
        <f>ProductLine[[#This Row],[Units]]*ProductLine[[#This Row],[Dollars]]</f>
        <v>3147.7327349024144</v>
      </c>
    </row>
    <row r="456" spans="1:9" x14ac:dyDescent="0.35">
      <c r="A456">
        <v>455</v>
      </c>
      <c r="B456" t="s">
        <v>11</v>
      </c>
      <c r="C456" s="2">
        <v>38595</v>
      </c>
      <c r="D456">
        <f>YEAR(ProductLine[[#This Row],[Date]])</f>
        <v>2005</v>
      </c>
      <c r="E456">
        <f>MONTH(ProductLine[[#This Row],[Date]])</f>
        <v>8</v>
      </c>
      <c r="F456" t="s">
        <v>23</v>
      </c>
      <c r="G456">
        <v>13</v>
      </c>
      <c r="H456" s="3">
        <v>41.16877365274803</v>
      </c>
      <c r="I456" s="3">
        <f>ProductLine[[#This Row],[Units]]*ProductLine[[#This Row],[Dollars]]</f>
        <v>535.19405748572444</v>
      </c>
    </row>
    <row r="457" spans="1:9" x14ac:dyDescent="0.35">
      <c r="A457">
        <v>456</v>
      </c>
      <c r="B457" t="s">
        <v>17</v>
      </c>
      <c r="C457" s="2">
        <v>38991</v>
      </c>
      <c r="D457">
        <f>YEAR(ProductLine[[#This Row],[Date]])</f>
        <v>2006</v>
      </c>
      <c r="E457">
        <f>MONTH(ProductLine[[#This Row],[Date]])</f>
        <v>10</v>
      </c>
      <c r="F457" t="s">
        <v>27</v>
      </c>
      <c r="G457">
        <v>94</v>
      </c>
      <c r="H457" s="3">
        <v>283.45251417423401</v>
      </c>
      <c r="I457" s="3">
        <f>ProductLine[[#This Row],[Units]]*ProductLine[[#This Row],[Dollars]]</f>
        <v>26644.536332377997</v>
      </c>
    </row>
    <row r="458" spans="1:9" x14ac:dyDescent="0.35">
      <c r="A458">
        <v>457</v>
      </c>
      <c r="B458" t="s">
        <v>16</v>
      </c>
      <c r="C458" s="2">
        <v>38782</v>
      </c>
      <c r="D458">
        <f>YEAR(ProductLine[[#This Row],[Date]])</f>
        <v>2006</v>
      </c>
      <c r="E458">
        <f>MONTH(ProductLine[[#This Row],[Date]])</f>
        <v>3</v>
      </c>
      <c r="F458" t="s">
        <v>27</v>
      </c>
      <c r="G458">
        <v>63</v>
      </c>
      <c r="H458" s="3">
        <v>190.83724952198969</v>
      </c>
      <c r="I458" s="3">
        <f>ProductLine[[#This Row],[Units]]*ProductLine[[#This Row],[Dollars]]</f>
        <v>12022.74671988535</v>
      </c>
    </row>
    <row r="459" spans="1:9" x14ac:dyDescent="0.35">
      <c r="A459">
        <v>458</v>
      </c>
      <c r="B459" t="s">
        <v>12</v>
      </c>
      <c r="C459" s="2">
        <v>38881</v>
      </c>
      <c r="D459">
        <f>YEAR(ProductLine[[#This Row],[Date]])</f>
        <v>2006</v>
      </c>
      <c r="E459">
        <f>MONTH(ProductLine[[#This Row],[Date]])</f>
        <v>6</v>
      </c>
      <c r="F459" t="s">
        <v>24</v>
      </c>
      <c r="G459">
        <v>45</v>
      </c>
      <c r="H459" s="3">
        <v>136.97942653814263</v>
      </c>
      <c r="I459" s="3">
        <f>ProductLine[[#This Row],[Units]]*ProductLine[[#This Row],[Dollars]]</f>
        <v>6164.0741942164186</v>
      </c>
    </row>
    <row r="460" spans="1:9" x14ac:dyDescent="0.35">
      <c r="A460">
        <v>459</v>
      </c>
      <c r="B460" t="s">
        <v>13</v>
      </c>
      <c r="C460" s="2">
        <v>38452</v>
      </c>
      <c r="D460">
        <f>YEAR(ProductLine[[#This Row],[Date]])</f>
        <v>2005</v>
      </c>
      <c r="E460">
        <f>MONTH(ProductLine[[#This Row],[Date]])</f>
        <v>4</v>
      </c>
      <c r="F460" t="s">
        <v>27</v>
      </c>
      <c r="G460">
        <v>71</v>
      </c>
      <c r="H460" s="3">
        <v>214.76898776471646</v>
      </c>
      <c r="I460" s="3">
        <f>ProductLine[[#This Row],[Units]]*ProductLine[[#This Row],[Dollars]]</f>
        <v>15248.598131294868</v>
      </c>
    </row>
    <row r="461" spans="1:9" x14ac:dyDescent="0.35">
      <c r="A461">
        <v>460</v>
      </c>
      <c r="B461" t="s">
        <v>13</v>
      </c>
      <c r="C461" s="2">
        <v>38100</v>
      </c>
      <c r="D461">
        <f>YEAR(ProductLine[[#This Row],[Date]])</f>
        <v>2004</v>
      </c>
      <c r="E461">
        <f>MONTH(ProductLine[[#This Row],[Date]])</f>
        <v>4</v>
      </c>
      <c r="F461" t="s">
        <v>27</v>
      </c>
      <c r="G461">
        <v>74</v>
      </c>
      <c r="H461" s="3">
        <v>224.18238847872837</v>
      </c>
      <c r="I461" s="3">
        <f>ProductLine[[#This Row],[Units]]*ProductLine[[#This Row],[Dollars]]</f>
        <v>16589.496747425899</v>
      </c>
    </row>
    <row r="462" spans="1:9" x14ac:dyDescent="0.35">
      <c r="A462">
        <v>461</v>
      </c>
      <c r="B462" t="s">
        <v>11</v>
      </c>
      <c r="C462" s="2">
        <v>38012</v>
      </c>
      <c r="D462">
        <f>YEAR(ProductLine[[#This Row],[Date]])</f>
        <v>2004</v>
      </c>
      <c r="E462">
        <f>MONTH(ProductLine[[#This Row],[Date]])</f>
        <v>1</v>
      </c>
      <c r="F462" t="s">
        <v>27</v>
      </c>
      <c r="G462">
        <v>48</v>
      </c>
      <c r="H462" s="3">
        <v>145.64951342948135</v>
      </c>
      <c r="I462" s="3">
        <f>ProductLine[[#This Row],[Units]]*ProductLine[[#This Row],[Dollars]]</f>
        <v>6991.176644615105</v>
      </c>
    </row>
    <row r="463" spans="1:9" x14ac:dyDescent="0.35">
      <c r="A463">
        <v>462</v>
      </c>
      <c r="B463" t="s">
        <v>14</v>
      </c>
      <c r="C463" s="2">
        <v>38045</v>
      </c>
      <c r="D463">
        <f>YEAR(ProductLine[[#This Row],[Date]])</f>
        <v>2004</v>
      </c>
      <c r="E463">
        <f>MONTH(ProductLine[[#This Row],[Date]])</f>
        <v>2</v>
      </c>
      <c r="F463" t="s">
        <v>23</v>
      </c>
      <c r="G463">
        <v>63</v>
      </c>
      <c r="H463" s="3">
        <v>191.1884163928766</v>
      </c>
      <c r="I463" s="3">
        <f>ProductLine[[#This Row],[Units]]*ProductLine[[#This Row],[Dollars]]</f>
        <v>12044.870232751226</v>
      </c>
    </row>
    <row r="464" spans="1:9" x14ac:dyDescent="0.35">
      <c r="A464">
        <v>463</v>
      </c>
      <c r="B464" t="s">
        <v>13</v>
      </c>
      <c r="C464" s="2">
        <v>38463</v>
      </c>
      <c r="D464">
        <f>YEAR(ProductLine[[#This Row],[Date]])</f>
        <v>2005</v>
      </c>
      <c r="E464">
        <f>MONTH(ProductLine[[#This Row],[Date]])</f>
        <v>4</v>
      </c>
      <c r="F464" t="s">
        <v>23</v>
      </c>
      <c r="G464">
        <v>48</v>
      </c>
      <c r="H464" s="3">
        <v>145.69127497854927</v>
      </c>
      <c r="I464" s="3">
        <f>ProductLine[[#This Row],[Units]]*ProductLine[[#This Row],[Dollars]]</f>
        <v>6993.1811989703656</v>
      </c>
    </row>
    <row r="465" spans="1:9" x14ac:dyDescent="0.35">
      <c r="A465">
        <v>464</v>
      </c>
      <c r="B465" t="s">
        <v>10</v>
      </c>
      <c r="C465" s="2">
        <v>38958</v>
      </c>
      <c r="D465">
        <f>YEAR(ProductLine[[#This Row],[Date]])</f>
        <v>2006</v>
      </c>
      <c r="E465">
        <f>MONTH(ProductLine[[#This Row],[Date]])</f>
        <v>8</v>
      </c>
      <c r="F465" t="s">
        <v>27</v>
      </c>
      <c r="G465">
        <v>26</v>
      </c>
      <c r="H465" s="3">
        <v>80.6144268681997</v>
      </c>
      <c r="I465" s="3">
        <f>ProductLine[[#This Row],[Units]]*ProductLine[[#This Row],[Dollars]]</f>
        <v>2095.9750985731921</v>
      </c>
    </row>
    <row r="466" spans="1:9" x14ac:dyDescent="0.35">
      <c r="A466">
        <v>465</v>
      </c>
      <c r="B466" t="s">
        <v>11</v>
      </c>
      <c r="C466" s="2">
        <v>38881</v>
      </c>
      <c r="D466">
        <f>YEAR(ProductLine[[#This Row],[Date]])</f>
        <v>2006</v>
      </c>
      <c r="E466">
        <f>MONTH(ProductLine[[#This Row],[Date]])</f>
        <v>6</v>
      </c>
      <c r="F466" t="s">
        <v>26</v>
      </c>
      <c r="G466">
        <v>58</v>
      </c>
      <c r="H466" s="3">
        <v>176.26520049915879</v>
      </c>
      <c r="I466" s="3">
        <f>ProductLine[[#This Row],[Units]]*ProductLine[[#This Row],[Dollars]]</f>
        <v>10223.381628951211</v>
      </c>
    </row>
    <row r="467" spans="1:9" x14ac:dyDescent="0.35">
      <c r="A467">
        <v>466</v>
      </c>
      <c r="B467" t="s">
        <v>12</v>
      </c>
      <c r="C467" s="2">
        <v>38760</v>
      </c>
      <c r="D467">
        <f>YEAR(ProductLine[[#This Row],[Date]])</f>
        <v>2006</v>
      </c>
      <c r="E467">
        <f>MONTH(ProductLine[[#This Row],[Date]])</f>
        <v>2</v>
      </c>
      <c r="F467" t="s">
        <v>23</v>
      </c>
      <c r="G467">
        <v>2</v>
      </c>
      <c r="H467" s="3">
        <v>8.7479494068217463</v>
      </c>
      <c r="I467" s="3">
        <f>ProductLine[[#This Row],[Units]]*ProductLine[[#This Row],[Dollars]]</f>
        <v>17.495898813643493</v>
      </c>
    </row>
    <row r="468" spans="1:9" x14ac:dyDescent="0.35">
      <c r="A468">
        <v>467</v>
      </c>
      <c r="B468" t="s">
        <v>13</v>
      </c>
      <c r="C468" s="2">
        <v>38936</v>
      </c>
      <c r="D468">
        <f>YEAR(ProductLine[[#This Row],[Date]])</f>
        <v>2006</v>
      </c>
      <c r="E468">
        <f>MONTH(ProductLine[[#This Row],[Date]])</f>
        <v>8</v>
      </c>
      <c r="F468" t="s">
        <v>23</v>
      </c>
      <c r="G468">
        <v>36</v>
      </c>
      <c r="H468" s="3">
        <v>109.67661001591094</v>
      </c>
      <c r="I468" s="3">
        <f>ProductLine[[#This Row],[Units]]*ProductLine[[#This Row],[Dollars]]</f>
        <v>3948.3579605727937</v>
      </c>
    </row>
    <row r="469" spans="1:9" x14ac:dyDescent="0.35">
      <c r="A469">
        <v>468</v>
      </c>
      <c r="B469" t="s">
        <v>17</v>
      </c>
      <c r="C469" s="2">
        <v>38529</v>
      </c>
      <c r="D469">
        <f>YEAR(ProductLine[[#This Row],[Date]])</f>
        <v>2005</v>
      </c>
      <c r="E469">
        <f>MONTH(ProductLine[[#This Row],[Date]])</f>
        <v>6</v>
      </c>
      <c r="F469" t="s">
        <v>27</v>
      </c>
      <c r="G469">
        <v>22</v>
      </c>
      <c r="H469" s="3">
        <v>68.355074793823817</v>
      </c>
      <c r="I469" s="3">
        <f>ProductLine[[#This Row],[Units]]*ProductLine[[#This Row],[Dollars]]</f>
        <v>1503.811645464124</v>
      </c>
    </row>
    <row r="470" spans="1:9" x14ac:dyDescent="0.35">
      <c r="A470">
        <v>469</v>
      </c>
      <c r="B470" t="s">
        <v>17</v>
      </c>
      <c r="C470" s="2">
        <v>38573</v>
      </c>
      <c r="D470">
        <f>YEAR(ProductLine[[#This Row],[Date]])</f>
        <v>2005</v>
      </c>
      <c r="E470">
        <f>MONTH(ProductLine[[#This Row],[Date]])</f>
        <v>8</v>
      </c>
      <c r="F470" t="s">
        <v>23</v>
      </c>
      <c r="G470">
        <v>92</v>
      </c>
      <c r="H470" s="3">
        <v>277.66680522408262</v>
      </c>
      <c r="I470" s="3">
        <f>ProductLine[[#This Row],[Units]]*ProductLine[[#This Row],[Dollars]]</f>
        <v>25545.3460806156</v>
      </c>
    </row>
    <row r="471" spans="1:9" x14ac:dyDescent="0.35">
      <c r="A471">
        <v>470</v>
      </c>
      <c r="B471" t="s">
        <v>9</v>
      </c>
      <c r="C471" s="2">
        <v>38265</v>
      </c>
      <c r="D471">
        <f>YEAR(ProductLine[[#This Row],[Date]])</f>
        <v>2004</v>
      </c>
      <c r="E471">
        <f>MONTH(ProductLine[[#This Row],[Date]])</f>
        <v>10</v>
      </c>
      <c r="F471" t="s">
        <v>24</v>
      </c>
      <c r="G471">
        <v>29</v>
      </c>
      <c r="H471" s="3">
        <v>88.713589465763263</v>
      </c>
      <c r="I471" s="3">
        <f>ProductLine[[#This Row],[Units]]*ProductLine[[#This Row],[Dollars]]</f>
        <v>2572.6940945071347</v>
      </c>
    </row>
    <row r="472" spans="1:9" x14ac:dyDescent="0.35">
      <c r="A472">
        <v>471</v>
      </c>
      <c r="B472" t="s">
        <v>11</v>
      </c>
      <c r="C472" s="2">
        <v>39002</v>
      </c>
      <c r="D472">
        <f>YEAR(ProductLine[[#This Row],[Date]])</f>
        <v>2006</v>
      </c>
      <c r="E472">
        <f>MONTH(ProductLine[[#This Row],[Date]])</f>
        <v>10</v>
      </c>
      <c r="F472" t="s">
        <v>23</v>
      </c>
      <c r="G472">
        <v>42</v>
      </c>
      <c r="H472" s="3">
        <v>128.17075092766001</v>
      </c>
      <c r="I472" s="3">
        <f>ProductLine[[#This Row],[Units]]*ProductLine[[#This Row],[Dollars]]</f>
        <v>5383.1715389617202</v>
      </c>
    </row>
    <row r="473" spans="1:9" x14ac:dyDescent="0.35">
      <c r="A473">
        <v>472</v>
      </c>
      <c r="B473" t="s">
        <v>14</v>
      </c>
      <c r="C473" s="2">
        <v>38100</v>
      </c>
      <c r="D473">
        <f>YEAR(ProductLine[[#This Row],[Date]])</f>
        <v>2004</v>
      </c>
      <c r="E473">
        <f>MONTH(ProductLine[[#This Row],[Date]])</f>
        <v>4</v>
      </c>
      <c r="F473" t="s">
        <v>23</v>
      </c>
      <c r="G473">
        <v>25</v>
      </c>
      <c r="H473" s="3">
        <v>77.315706522508677</v>
      </c>
      <c r="I473" s="3">
        <f>ProductLine[[#This Row],[Units]]*ProductLine[[#This Row],[Dollars]]</f>
        <v>1932.892663062717</v>
      </c>
    </row>
    <row r="474" spans="1:9" x14ac:dyDescent="0.35">
      <c r="A474">
        <v>473</v>
      </c>
      <c r="B474" t="s">
        <v>13</v>
      </c>
      <c r="C474" s="2">
        <v>38430</v>
      </c>
      <c r="D474">
        <f>YEAR(ProductLine[[#This Row],[Date]])</f>
        <v>2005</v>
      </c>
      <c r="E474">
        <f>MONTH(ProductLine[[#This Row],[Date]])</f>
        <v>3</v>
      </c>
      <c r="F474" t="s">
        <v>24</v>
      </c>
      <c r="G474">
        <v>40</v>
      </c>
      <c r="H474" s="3">
        <v>122.53928167294391</v>
      </c>
      <c r="I474" s="3">
        <f>ProductLine[[#This Row],[Units]]*ProductLine[[#This Row],[Dollars]]</f>
        <v>4901.5712669177565</v>
      </c>
    </row>
    <row r="475" spans="1:9" x14ac:dyDescent="0.35">
      <c r="A475">
        <v>474</v>
      </c>
      <c r="B475" t="s">
        <v>17</v>
      </c>
      <c r="C475" s="2">
        <v>38111</v>
      </c>
      <c r="D475">
        <f>YEAR(ProductLine[[#This Row],[Date]])</f>
        <v>2004</v>
      </c>
      <c r="E475">
        <f>MONTH(ProductLine[[#This Row],[Date]])</f>
        <v>5</v>
      </c>
      <c r="F475" t="s">
        <v>23</v>
      </c>
      <c r="G475">
        <v>3</v>
      </c>
      <c r="H475" s="3">
        <v>10.570883063872969</v>
      </c>
      <c r="I475" s="3">
        <f>ProductLine[[#This Row],[Units]]*ProductLine[[#This Row],[Dollars]]</f>
        <v>31.712649191618908</v>
      </c>
    </row>
    <row r="476" spans="1:9" x14ac:dyDescent="0.35">
      <c r="A476">
        <v>475</v>
      </c>
      <c r="B476" t="s">
        <v>9</v>
      </c>
      <c r="C476" s="2">
        <v>38551</v>
      </c>
      <c r="D476">
        <f>YEAR(ProductLine[[#This Row],[Date]])</f>
        <v>2005</v>
      </c>
      <c r="E476">
        <f>MONTH(ProductLine[[#This Row],[Date]])</f>
        <v>7</v>
      </c>
      <c r="F476" t="s">
        <v>24</v>
      </c>
      <c r="G476">
        <v>-1</v>
      </c>
      <c r="H476" s="3">
        <v>-0.82178994105370951</v>
      </c>
      <c r="I476" s="3">
        <f>ProductLine[[#This Row],[Units]]*ProductLine[[#This Row],[Dollars]]</f>
        <v>0.82178994105370951</v>
      </c>
    </row>
    <row r="477" spans="1:9" x14ac:dyDescent="0.35">
      <c r="A477">
        <v>476</v>
      </c>
      <c r="B477" t="s">
        <v>11</v>
      </c>
      <c r="C477" s="2">
        <v>38969</v>
      </c>
      <c r="D477">
        <f>YEAR(ProductLine[[#This Row],[Date]])</f>
        <v>2006</v>
      </c>
      <c r="E477">
        <f>MONTH(ProductLine[[#This Row],[Date]])</f>
        <v>9</v>
      </c>
      <c r="F477" t="s">
        <v>24</v>
      </c>
      <c r="G477">
        <v>12</v>
      </c>
      <c r="H477" s="3">
        <v>37.686101056343105</v>
      </c>
      <c r="I477" s="3">
        <f>ProductLine[[#This Row],[Units]]*ProductLine[[#This Row],[Dollars]]</f>
        <v>452.23321267611726</v>
      </c>
    </row>
    <row r="478" spans="1:9" x14ac:dyDescent="0.35">
      <c r="A478">
        <v>477</v>
      </c>
      <c r="B478" t="s">
        <v>17</v>
      </c>
      <c r="C478" s="2">
        <v>38155</v>
      </c>
      <c r="D478">
        <f>YEAR(ProductLine[[#This Row],[Date]])</f>
        <v>2004</v>
      </c>
      <c r="E478">
        <f>MONTH(ProductLine[[#This Row],[Date]])</f>
        <v>6</v>
      </c>
      <c r="F478" t="s">
        <v>26</v>
      </c>
      <c r="G478">
        <v>0</v>
      </c>
      <c r="H478" s="3">
        <v>2.0013600167772623</v>
      </c>
      <c r="I478" s="3">
        <f>ProductLine[[#This Row],[Units]]*ProductLine[[#This Row],[Dollars]]</f>
        <v>0</v>
      </c>
    </row>
    <row r="479" spans="1:9" x14ac:dyDescent="0.35">
      <c r="A479">
        <v>478</v>
      </c>
      <c r="B479" t="s">
        <v>10</v>
      </c>
      <c r="C479" s="2">
        <v>38760</v>
      </c>
      <c r="D479">
        <f>YEAR(ProductLine[[#This Row],[Date]])</f>
        <v>2006</v>
      </c>
      <c r="E479">
        <f>MONTH(ProductLine[[#This Row],[Date]])</f>
        <v>2</v>
      </c>
      <c r="F479" t="s">
        <v>23</v>
      </c>
      <c r="G479">
        <v>35</v>
      </c>
      <c r="H479" s="3">
        <v>106.26347084870943</v>
      </c>
      <c r="I479" s="3">
        <f>ProductLine[[#This Row],[Units]]*ProductLine[[#This Row],[Dollars]]</f>
        <v>3719.22147970483</v>
      </c>
    </row>
    <row r="480" spans="1:9" x14ac:dyDescent="0.35">
      <c r="A480">
        <v>479</v>
      </c>
      <c r="B480" t="s">
        <v>15</v>
      </c>
      <c r="C480" s="2">
        <v>38496</v>
      </c>
      <c r="D480">
        <f>YEAR(ProductLine[[#This Row],[Date]])</f>
        <v>2005</v>
      </c>
      <c r="E480">
        <f>MONTH(ProductLine[[#This Row],[Date]])</f>
        <v>5</v>
      </c>
      <c r="F480" t="s">
        <v>24</v>
      </c>
      <c r="G480">
        <v>2</v>
      </c>
      <c r="H480" s="3">
        <v>7.6817477771075868</v>
      </c>
      <c r="I480" s="3">
        <f>ProductLine[[#This Row],[Units]]*ProductLine[[#This Row],[Dollars]]</f>
        <v>15.363495554215174</v>
      </c>
    </row>
    <row r="481" spans="1:9" x14ac:dyDescent="0.35">
      <c r="A481">
        <v>480</v>
      </c>
      <c r="B481" t="s">
        <v>12</v>
      </c>
      <c r="C481" s="2">
        <v>38859</v>
      </c>
      <c r="D481">
        <f>YEAR(ProductLine[[#This Row],[Date]])</f>
        <v>2006</v>
      </c>
      <c r="E481">
        <f>MONTH(ProductLine[[#This Row],[Date]])</f>
        <v>5</v>
      </c>
      <c r="F481" t="s">
        <v>25</v>
      </c>
      <c r="G481">
        <v>10</v>
      </c>
      <c r="H481" s="3">
        <v>31.785155418327982</v>
      </c>
      <c r="I481" s="3">
        <f>ProductLine[[#This Row],[Units]]*ProductLine[[#This Row],[Dollars]]</f>
        <v>317.8515541832798</v>
      </c>
    </row>
    <row r="482" spans="1:9" x14ac:dyDescent="0.35">
      <c r="A482">
        <v>481</v>
      </c>
      <c r="B482" t="s">
        <v>16</v>
      </c>
      <c r="C482" s="2">
        <v>38639</v>
      </c>
      <c r="D482">
        <f>YEAR(ProductLine[[#This Row],[Date]])</f>
        <v>2005</v>
      </c>
      <c r="E482">
        <f>MONTH(ProductLine[[#This Row],[Date]])</f>
        <v>10</v>
      </c>
      <c r="F482" t="s">
        <v>26</v>
      </c>
      <c r="G482">
        <v>6</v>
      </c>
      <c r="H482" s="3">
        <v>19.733545359470948</v>
      </c>
      <c r="I482" s="3">
        <f>ProductLine[[#This Row],[Units]]*ProductLine[[#This Row],[Dollars]]</f>
        <v>118.40127215682568</v>
      </c>
    </row>
    <row r="483" spans="1:9" x14ac:dyDescent="0.35">
      <c r="A483">
        <v>482</v>
      </c>
      <c r="B483" t="s">
        <v>16</v>
      </c>
      <c r="C483" s="2">
        <v>38056</v>
      </c>
      <c r="D483">
        <f>YEAR(ProductLine[[#This Row],[Date]])</f>
        <v>2004</v>
      </c>
      <c r="E483">
        <f>MONTH(ProductLine[[#This Row],[Date]])</f>
        <v>3</v>
      </c>
      <c r="F483" t="s">
        <v>23</v>
      </c>
      <c r="G483">
        <v>4</v>
      </c>
      <c r="H483" s="3">
        <v>14.10456917940213</v>
      </c>
      <c r="I483" s="3">
        <f>ProductLine[[#This Row],[Units]]*ProductLine[[#This Row],[Dollars]]</f>
        <v>56.418276717608521</v>
      </c>
    </row>
    <row r="484" spans="1:9" x14ac:dyDescent="0.35">
      <c r="A484">
        <v>483</v>
      </c>
      <c r="B484" t="s">
        <v>17</v>
      </c>
      <c r="C484" s="2">
        <v>39002</v>
      </c>
      <c r="D484">
        <f>YEAR(ProductLine[[#This Row],[Date]])</f>
        <v>2006</v>
      </c>
      <c r="E484">
        <f>MONTH(ProductLine[[#This Row],[Date]])</f>
        <v>10</v>
      </c>
      <c r="F484" t="s">
        <v>27</v>
      </c>
      <c r="G484">
        <v>91</v>
      </c>
      <c r="H484" s="3">
        <v>274.92032051274288</v>
      </c>
      <c r="I484" s="3">
        <f>ProductLine[[#This Row],[Units]]*ProductLine[[#This Row],[Dollars]]</f>
        <v>25017.749166659603</v>
      </c>
    </row>
    <row r="485" spans="1:9" x14ac:dyDescent="0.35">
      <c r="A485">
        <v>484</v>
      </c>
      <c r="B485" t="s">
        <v>16</v>
      </c>
      <c r="C485" s="2">
        <v>38903</v>
      </c>
      <c r="D485">
        <f>YEAR(ProductLine[[#This Row],[Date]])</f>
        <v>2006</v>
      </c>
      <c r="E485">
        <f>MONTH(ProductLine[[#This Row],[Date]])</f>
        <v>7</v>
      </c>
      <c r="F485" t="s">
        <v>23</v>
      </c>
      <c r="G485">
        <v>12</v>
      </c>
      <c r="H485" s="3">
        <v>37.877226411963186</v>
      </c>
      <c r="I485" s="3">
        <f>ProductLine[[#This Row],[Units]]*ProductLine[[#This Row],[Dollars]]</f>
        <v>454.5267169435582</v>
      </c>
    </row>
    <row r="486" spans="1:9" x14ac:dyDescent="0.35">
      <c r="A486">
        <v>485</v>
      </c>
      <c r="B486" t="s">
        <v>12</v>
      </c>
      <c r="C486" s="2">
        <v>38298</v>
      </c>
      <c r="D486">
        <f>YEAR(ProductLine[[#This Row],[Date]])</f>
        <v>2004</v>
      </c>
      <c r="E486">
        <f>MONTH(ProductLine[[#This Row],[Date]])</f>
        <v>11</v>
      </c>
      <c r="F486" t="s">
        <v>24</v>
      </c>
      <c r="G486">
        <v>21</v>
      </c>
      <c r="H486" s="3">
        <v>65.281423150866814</v>
      </c>
      <c r="I486" s="3">
        <f>ProductLine[[#This Row],[Units]]*ProductLine[[#This Row],[Dollars]]</f>
        <v>1370.909886168203</v>
      </c>
    </row>
    <row r="487" spans="1:9" x14ac:dyDescent="0.35">
      <c r="A487">
        <v>486</v>
      </c>
      <c r="B487" t="s">
        <v>16</v>
      </c>
      <c r="C487" s="2">
        <v>38441</v>
      </c>
      <c r="D487">
        <f>YEAR(ProductLine[[#This Row],[Date]])</f>
        <v>2005</v>
      </c>
      <c r="E487">
        <f>MONTH(ProductLine[[#This Row],[Date]])</f>
        <v>3</v>
      </c>
      <c r="F487" t="s">
        <v>27</v>
      </c>
      <c r="G487">
        <v>44</v>
      </c>
      <c r="H487" s="3">
        <v>134.31454889834902</v>
      </c>
      <c r="I487" s="3">
        <f>ProductLine[[#This Row],[Units]]*ProductLine[[#This Row],[Dollars]]</f>
        <v>5909.8401515273563</v>
      </c>
    </row>
    <row r="488" spans="1:9" x14ac:dyDescent="0.35">
      <c r="A488">
        <v>487</v>
      </c>
      <c r="B488" t="s">
        <v>9</v>
      </c>
      <c r="C488" s="2">
        <v>38375</v>
      </c>
      <c r="D488">
        <f>YEAR(ProductLine[[#This Row],[Date]])</f>
        <v>2005</v>
      </c>
      <c r="E488">
        <f>MONTH(ProductLine[[#This Row],[Date]])</f>
        <v>1</v>
      </c>
      <c r="F488" t="s">
        <v>26</v>
      </c>
      <c r="G488">
        <v>75</v>
      </c>
      <c r="H488" s="3">
        <v>227.09867242909783</v>
      </c>
      <c r="I488" s="3">
        <f>ProductLine[[#This Row],[Units]]*ProductLine[[#This Row],[Dollars]]</f>
        <v>17032.400432182338</v>
      </c>
    </row>
    <row r="489" spans="1:9" x14ac:dyDescent="0.35">
      <c r="A489">
        <v>488</v>
      </c>
      <c r="B489" t="s">
        <v>9</v>
      </c>
      <c r="C489" s="2">
        <v>38188</v>
      </c>
      <c r="D489">
        <f>YEAR(ProductLine[[#This Row],[Date]])</f>
        <v>2004</v>
      </c>
      <c r="E489">
        <f>MONTH(ProductLine[[#This Row],[Date]])</f>
        <v>7</v>
      </c>
      <c r="F489" t="s">
        <v>26</v>
      </c>
      <c r="G489">
        <v>37</v>
      </c>
      <c r="H489" s="3">
        <v>112.99692232382439</v>
      </c>
      <c r="I489" s="3">
        <f>ProductLine[[#This Row],[Units]]*ProductLine[[#This Row],[Dollars]]</f>
        <v>4180.8861259815021</v>
      </c>
    </row>
    <row r="490" spans="1:9" x14ac:dyDescent="0.35">
      <c r="A490">
        <v>489</v>
      </c>
      <c r="B490" t="s">
        <v>12</v>
      </c>
      <c r="C490" s="2">
        <v>38925</v>
      </c>
      <c r="D490">
        <f>YEAR(ProductLine[[#This Row],[Date]])</f>
        <v>2006</v>
      </c>
      <c r="E490">
        <f>MONTH(ProductLine[[#This Row],[Date]])</f>
        <v>7</v>
      </c>
      <c r="F490" t="s">
        <v>26</v>
      </c>
      <c r="G490">
        <v>58</v>
      </c>
      <c r="H490" s="3">
        <v>176.06598986452823</v>
      </c>
      <c r="I490" s="3">
        <f>ProductLine[[#This Row],[Units]]*ProductLine[[#This Row],[Dollars]]</f>
        <v>10211.827412142638</v>
      </c>
    </row>
    <row r="491" spans="1:9" x14ac:dyDescent="0.35">
      <c r="A491">
        <v>490</v>
      </c>
      <c r="B491" t="s">
        <v>16</v>
      </c>
      <c r="C491" s="2">
        <v>38760</v>
      </c>
      <c r="D491">
        <f>YEAR(ProductLine[[#This Row],[Date]])</f>
        <v>2006</v>
      </c>
      <c r="E491">
        <f>MONTH(ProductLine[[#This Row],[Date]])</f>
        <v>2</v>
      </c>
      <c r="F491" t="s">
        <v>26</v>
      </c>
      <c r="G491">
        <v>74</v>
      </c>
      <c r="H491" s="3">
        <v>223.60878513520231</v>
      </c>
      <c r="I491" s="3">
        <f>ProductLine[[#This Row],[Units]]*ProductLine[[#This Row],[Dollars]]</f>
        <v>16547.05010000497</v>
      </c>
    </row>
    <row r="492" spans="1:9" x14ac:dyDescent="0.35">
      <c r="A492">
        <v>491</v>
      </c>
      <c r="B492" t="s">
        <v>10</v>
      </c>
      <c r="C492" s="2">
        <v>38144</v>
      </c>
      <c r="D492">
        <f>YEAR(ProductLine[[#This Row],[Date]])</f>
        <v>2004</v>
      </c>
      <c r="E492">
        <f>MONTH(ProductLine[[#This Row],[Date]])</f>
        <v>6</v>
      </c>
      <c r="F492" t="s">
        <v>24</v>
      </c>
      <c r="G492">
        <v>64</v>
      </c>
      <c r="H492" s="3">
        <v>193.54947188165715</v>
      </c>
      <c r="I492" s="3">
        <f>ProductLine[[#This Row],[Units]]*ProductLine[[#This Row],[Dollars]]</f>
        <v>12387.166200426058</v>
      </c>
    </row>
    <row r="493" spans="1:9" x14ac:dyDescent="0.35">
      <c r="A493">
        <v>492</v>
      </c>
      <c r="B493" t="s">
        <v>9</v>
      </c>
      <c r="C493" s="2">
        <v>38683</v>
      </c>
      <c r="D493">
        <f>YEAR(ProductLine[[#This Row],[Date]])</f>
        <v>2005</v>
      </c>
      <c r="E493">
        <f>MONTH(ProductLine[[#This Row],[Date]])</f>
        <v>11</v>
      </c>
      <c r="F493" t="s">
        <v>25</v>
      </c>
      <c r="G493">
        <v>53</v>
      </c>
      <c r="H493" s="3">
        <v>160.46113209921771</v>
      </c>
      <c r="I493" s="3">
        <f>ProductLine[[#This Row],[Units]]*ProductLine[[#This Row],[Dollars]]</f>
        <v>8504.4400012585393</v>
      </c>
    </row>
    <row r="494" spans="1:9" x14ac:dyDescent="0.35">
      <c r="A494">
        <v>493</v>
      </c>
      <c r="B494" t="s">
        <v>11</v>
      </c>
      <c r="C494" s="2">
        <v>38100</v>
      </c>
      <c r="D494">
        <f>YEAR(ProductLine[[#This Row],[Date]])</f>
        <v>2004</v>
      </c>
      <c r="E494">
        <f>MONTH(ProductLine[[#This Row],[Date]])</f>
        <v>4</v>
      </c>
      <c r="F494" t="s">
        <v>26</v>
      </c>
      <c r="G494">
        <v>-1</v>
      </c>
      <c r="H494" s="3">
        <v>-0.45003305566648821</v>
      </c>
      <c r="I494" s="3">
        <f>ProductLine[[#This Row],[Units]]*ProductLine[[#This Row],[Dollars]]</f>
        <v>0.45003305566648821</v>
      </c>
    </row>
    <row r="495" spans="1:9" x14ac:dyDescent="0.35">
      <c r="A495">
        <v>494</v>
      </c>
      <c r="B495" t="s">
        <v>11</v>
      </c>
      <c r="C495" s="2">
        <v>38782</v>
      </c>
      <c r="D495">
        <f>YEAR(ProductLine[[#This Row],[Date]])</f>
        <v>2006</v>
      </c>
      <c r="E495">
        <f>MONTH(ProductLine[[#This Row],[Date]])</f>
        <v>3</v>
      </c>
      <c r="F495" t="s">
        <v>27</v>
      </c>
      <c r="G495">
        <v>21</v>
      </c>
      <c r="H495" s="3">
        <v>65.06546054796479</v>
      </c>
      <c r="I495" s="3">
        <f>ProductLine[[#This Row],[Units]]*ProductLine[[#This Row],[Dollars]]</f>
        <v>1366.3746715072607</v>
      </c>
    </row>
    <row r="496" spans="1:9" x14ac:dyDescent="0.35">
      <c r="A496">
        <v>495</v>
      </c>
      <c r="B496" t="s">
        <v>16</v>
      </c>
      <c r="C496" s="2">
        <v>38771</v>
      </c>
      <c r="D496">
        <f>YEAR(ProductLine[[#This Row],[Date]])</f>
        <v>2006</v>
      </c>
      <c r="E496">
        <f>MONTH(ProductLine[[#This Row],[Date]])</f>
        <v>2</v>
      </c>
      <c r="F496" t="s">
        <v>27</v>
      </c>
      <c r="G496">
        <v>90</v>
      </c>
      <c r="H496" s="3">
        <v>271.33770442615577</v>
      </c>
      <c r="I496" s="3">
        <f>ProductLine[[#This Row],[Units]]*ProductLine[[#This Row],[Dollars]]</f>
        <v>24420.393398354019</v>
      </c>
    </row>
    <row r="497" spans="1:9" x14ac:dyDescent="0.35">
      <c r="A497">
        <v>496</v>
      </c>
      <c r="B497" t="s">
        <v>16</v>
      </c>
      <c r="C497" s="2">
        <v>38650</v>
      </c>
      <c r="D497">
        <f>YEAR(ProductLine[[#This Row],[Date]])</f>
        <v>2005</v>
      </c>
      <c r="E497">
        <f>MONTH(ProductLine[[#This Row],[Date]])</f>
        <v>10</v>
      </c>
      <c r="F497" t="s">
        <v>25</v>
      </c>
      <c r="G497">
        <v>61</v>
      </c>
      <c r="H497" s="3">
        <v>184.82822454861244</v>
      </c>
      <c r="I497" s="3">
        <f>ProductLine[[#This Row],[Units]]*ProductLine[[#This Row],[Dollars]]</f>
        <v>11274.521697465359</v>
      </c>
    </row>
    <row r="498" spans="1:9" x14ac:dyDescent="0.35">
      <c r="A498">
        <v>497</v>
      </c>
      <c r="B498" t="s">
        <v>9</v>
      </c>
      <c r="C498" s="2">
        <v>38485</v>
      </c>
      <c r="D498">
        <f>YEAR(ProductLine[[#This Row],[Date]])</f>
        <v>2005</v>
      </c>
      <c r="E498">
        <f>MONTH(ProductLine[[#This Row],[Date]])</f>
        <v>5</v>
      </c>
      <c r="F498" t="s">
        <v>27</v>
      </c>
      <c r="G498">
        <v>64</v>
      </c>
      <c r="H498" s="3">
        <v>193.98125439867269</v>
      </c>
      <c r="I498" s="3">
        <f>ProductLine[[#This Row],[Units]]*ProductLine[[#This Row],[Dollars]]</f>
        <v>12414.800281515052</v>
      </c>
    </row>
    <row r="499" spans="1:9" x14ac:dyDescent="0.35">
      <c r="A499">
        <v>498</v>
      </c>
      <c r="B499" t="s">
        <v>12</v>
      </c>
      <c r="C499" s="2">
        <v>38782</v>
      </c>
      <c r="D499">
        <f>YEAR(ProductLine[[#This Row],[Date]])</f>
        <v>2006</v>
      </c>
      <c r="E499">
        <f>MONTH(ProductLine[[#This Row],[Date]])</f>
        <v>3</v>
      </c>
      <c r="F499" t="s">
        <v>26</v>
      </c>
      <c r="G499">
        <v>79</v>
      </c>
      <c r="H499" s="3">
        <v>238.60895261406517</v>
      </c>
      <c r="I499" s="3">
        <f>ProductLine[[#This Row],[Units]]*ProductLine[[#This Row],[Dollars]]</f>
        <v>18850.10725651115</v>
      </c>
    </row>
    <row r="500" spans="1:9" x14ac:dyDescent="0.35">
      <c r="A500">
        <v>499</v>
      </c>
      <c r="B500" t="s">
        <v>12</v>
      </c>
      <c r="C500" s="2">
        <v>38848</v>
      </c>
      <c r="D500">
        <f>YEAR(ProductLine[[#This Row],[Date]])</f>
        <v>2006</v>
      </c>
      <c r="E500">
        <f>MONTH(ProductLine[[#This Row],[Date]])</f>
        <v>5</v>
      </c>
      <c r="F500" t="s">
        <v>24</v>
      </c>
      <c r="G500">
        <v>11</v>
      </c>
      <c r="H500" s="3">
        <v>34.580350260479243</v>
      </c>
      <c r="I500" s="3">
        <f>ProductLine[[#This Row],[Units]]*ProductLine[[#This Row],[Dollars]]</f>
        <v>380.38385286527165</v>
      </c>
    </row>
    <row r="501" spans="1:9" x14ac:dyDescent="0.35">
      <c r="A501">
        <v>500</v>
      </c>
      <c r="B501" t="s">
        <v>13</v>
      </c>
      <c r="C501" s="2">
        <v>38881</v>
      </c>
      <c r="D501">
        <f>YEAR(ProductLine[[#This Row],[Date]])</f>
        <v>2006</v>
      </c>
      <c r="E501">
        <f>MONTH(ProductLine[[#This Row],[Date]])</f>
        <v>6</v>
      </c>
      <c r="F501" t="s">
        <v>27</v>
      </c>
      <c r="G501">
        <v>17</v>
      </c>
      <c r="H501" s="3">
        <v>52.992178326548526</v>
      </c>
      <c r="I501" s="3">
        <f>ProductLine[[#This Row],[Units]]*ProductLine[[#This Row],[Dollars]]</f>
        <v>900.867031551325</v>
      </c>
    </row>
    <row r="502" spans="1:9" x14ac:dyDescent="0.35">
      <c r="A502">
        <v>501</v>
      </c>
      <c r="B502" t="s">
        <v>13</v>
      </c>
      <c r="C502" s="2">
        <v>39002</v>
      </c>
      <c r="D502">
        <f>YEAR(ProductLine[[#This Row],[Date]])</f>
        <v>2006</v>
      </c>
      <c r="E502">
        <f>MONTH(ProductLine[[#This Row],[Date]])</f>
        <v>10</v>
      </c>
      <c r="F502" t="s">
        <v>23</v>
      </c>
      <c r="G502">
        <v>-10</v>
      </c>
      <c r="H502" s="3">
        <v>-28.507437864458012</v>
      </c>
      <c r="I502" s="3">
        <f>ProductLine[[#This Row],[Units]]*ProductLine[[#This Row],[Dollars]]</f>
        <v>285.07437864458012</v>
      </c>
    </row>
    <row r="503" spans="1:9" x14ac:dyDescent="0.35">
      <c r="A503">
        <v>502</v>
      </c>
      <c r="B503" t="s">
        <v>14</v>
      </c>
      <c r="C503" s="2">
        <v>38111</v>
      </c>
      <c r="D503">
        <f>YEAR(ProductLine[[#This Row],[Date]])</f>
        <v>2004</v>
      </c>
      <c r="E503">
        <f>MONTH(ProductLine[[#This Row],[Date]])</f>
        <v>5</v>
      </c>
      <c r="F503" t="s">
        <v>27</v>
      </c>
      <c r="G503">
        <v>61</v>
      </c>
      <c r="H503" s="3">
        <v>185.38151200169028</v>
      </c>
      <c r="I503" s="3">
        <f>ProductLine[[#This Row],[Units]]*ProductLine[[#This Row],[Dollars]]</f>
        <v>11308.272232103107</v>
      </c>
    </row>
    <row r="504" spans="1:9" x14ac:dyDescent="0.35">
      <c r="A504">
        <v>503</v>
      </c>
      <c r="B504" t="s">
        <v>11</v>
      </c>
      <c r="C504" s="2">
        <v>38540</v>
      </c>
      <c r="D504">
        <f>YEAR(ProductLine[[#This Row],[Date]])</f>
        <v>2005</v>
      </c>
      <c r="E504">
        <f>MONTH(ProductLine[[#This Row],[Date]])</f>
        <v>7</v>
      </c>
      <c r="F504" t="s">
        <v>26</v>
      </c>
      <c r="G504">
        <v>81</v>
      </c>
      <c r="H504" s="3">
        <v>245.19138414086007</v>
      </c>
      <c r="I504" s="3">
        <f>ProductLine[[#This Row],[Units]]*ProductLine[[#This Row],[Dollars]]</f>
        <v>19860.502115409665</v>
      </c>
    </row>
    <row r="505" spans="1:9" x14ac:dyDescent="0.35">
      <c r="A505">
        <v>504</v>
      </c>
      <c r="B505" t="s">
        <v>13</v>
      </c>
      <c r="C505" s="2">
        <v>38342</v>
      </c>
      <c r="D505">
        <f>YEAR(ProductLine[[#This Row],[Date]])</f>
        <v>2004</v>
      </c>
      <c r="E505">
        <f>MONTH(ProductLine[[#This Row],[Date]])</f>
        <v>12</v>
      </c>
      <c r="F505" t="s">
        <v>27</v>
      </c>
      <c r="G505">
        <v>86</v>
      </c>
      <c r="H505" s="3">
        <v>259.65061904974743</v>
      </c>
      <c r="I505" s="3">
        <f>ProductLine[[#This Row],[Units]]*ProductLine[[#This Row],[Dollars]]</f>
        <v>22329.953238278278</v>
      </c>
    </row>
    <row r="506" spans="1:9" x14ac:dyDescent="0.35">
      <c r="A506">
        <v>505</v>
      </c>
      <c r="B506" t="s">
        <v>14</v>
      </c>
      <c r="C506" s="2">
        <v>38166</v>
      </c>
      <c r="D506">
        <f>YEAR(ProductLine[[#This Row],[Date]])</f>
        <v>2004</v>
      </c>
      <c r="E506">
        <f>MONTH(ProductLine[[#This Row],[Date]])</f>
        <v>6</v>
      </c>
      <c r="F506" t="s">
        <v>26</v>
      </c>
      <c r="G506">
        <v>-6</v>
      </c>
      <c r="H506" s="3">
        <v>-16.598209454734359</v>
      </c>
      <c r="I506" s="3">
        <f>ProductLine[[#This Row],[Units]]*ProductLine[[#This Row],[Dollars]]</f>
        <v>99.589256728406156</v>
      </c>
    </row>
    <row r="507" spans="1:9" x14ac:dyDescent="0.35">
      <c r="A507">
        <v>506</v>
      </c>
      <c r="B507" t="s">
        <v>16</v>
      </c>
      <c r="C507" s="2">
        <v>38617</v>
      </c>
      <c r="D507">
        <f>YEAR(ProductLine[[#This Row],[Date]])</f>
        <v>2005</v>
      </c>
      <c r="E507">
        <f>MONTH(ProductLine[[#This Row],[Date]])</f>
        <v>9</v>
      </c>
      <c r="F507" t="s">
        <v>25</v>
      </c>
      <c r="G507">
        <v>75</v>
      </c>
      <c r="H507" s="3">
        <v>226.29108110625336</v>
      </c>
      <c r="I507" s="3">
        <f>ProductLine[[#This Row],[Units]]*ProductLine[[#This Row],[Dollars]]</f>
        <v>16971.831082969002</v>
      </c>
    </row>
    <row r="508" spans="1:9" x14ac:dyDescent="0.35">
      <c r="A508">
        <v>507</v>
      </c>
      <c r="B508" t="s">
        <v>12</v>
      </c>
      <c r="C508" s="2">
        <v>38551</v>
      </c>
      <c r="D508">
        <f>YEAR(ProductLine[[#This Row],[Date]])</f>
        <v>2005</v>
      </c>
      <c r="E508">
        <f>MONTH(ProductLine[[#This Row],[Date]])</f>
        <v>7</v>
      </c>
      <c r="F508" t="s">
        <v>27</v>
      </c>
      <c r="G508">
        <v>87</v>
      </c>
      <c r="H508" s="3">
        <v>262.49660177211871</v>
      </c>
      <c r="I508" s="3">
        <f>ProductLine[[#This Row],[Units]]*ProductLine[[#This Row],[Dollars]]</f>
        <v>22837.204354174326</v>
      </c>
    </row>
    <row r="509" spans="1:9" x14ac:dyDescent="0.35">
      <c r="A509">
        <v>508</v>
      </c>
      <c r="B509" t="s">
        <v>17</v>
      </c>
      <c r="C509" s="2">
        <v>38914</v>
      </c>
      <c r="D509">
        <f>YEAR(ProductLine[[#This Row],[Date]])</f>
        <v>2006</v>
      </c>
      <c r="E509">
        <f>MONTH(ProductLine[[#This Row],[Date]])</f>
        <v>7</v>
      </c>
      <c r="F509" t="s">
        <v>24</v>
      </c>
      <c r="G509">
        <v>15</v>
      </c>
      <c r="H509" s="3">
        <v>47.143262888260409</v>
      </c>
      <c r="I509" s="3">
        <f>ProductLine[[#This Row],[Units]]*ProductLine[[#This Row],[Dollars]]</f>
        <v>707.14894332390611</v>
      </c>
    </row>
    <row r="510" spans="1:9" x14ac:dyDescent="0.35">
      <c r="A510">
        <v>509</v>
      </c>
      <c r="B510" t="s">
        <v>16</v>
      </c>
      <c r="C510" s="2">
        <v>38430</v>
      </c>
      <c r="D510">
        <f>YEAR(ProductLine[[#This Row],[Date]])</f>
        <v>2005</v>
      </c>
      <c r="E510">
        <f>MONTH(ProductLine[[#This Row],[Date]])</f>
        <v>3</v>
      </c>
      <c r="F510" t="s">
        <v>25</v>
      </c>
      <c r="G510">
        <v>6</v>
      </c>
      <c r="H510" s="3">
        <v>20.042838163999704</v>
      </c>
      <c r="I510" s="3">
        <f>ProductLine[[#This Row],[Units]]*ProductLine[[#This Row],[Dollars]]</f>
        <v>120.25702898399823</v>
      </c>
    </row>
    <row r="511" spans="1:9" x14ac:dyDescent="0.35">
      <c r="A511">
        <v>510</v>
      </c>
      <c r="B511" t="s">
        <v>12</v>
      </c>
      <c r="C511" s="2">
        <v>38045</v>
      </c>
      <c r="D511">
        <f>YEAR(ProductLine[[#This Row],[Date]])</f>
        <v>2004</v>
      </c>
      <c r="E511">
        <f>MONTH(ProductLine[[#This Row],[Date]])</f>
        <v>2</v>
      </c>
      <c r="F511" t="s">
        <v>26</v>
      </c>
      <c r="G511">
        <v>4</v>
      </c>
      <c r="H511" s="3">
        <v>14.012285541104387</v>
      </c>
      <c r="I511" s="3">
        <f>ProductLine[[#This Row],[Units]]*ProductLine[[#This Row],[Dollars]]</f>
        <v>56.049142164417546</v>
      </c>
    </row>
    <row r="512" spans="1:9" x14ac:dyDescent="0.35">
      <c r="A512">
        <v>511</v>
      </c>
      <c r="B512" t="s">
        <v>16</v>
      </c>
      <c r="C512" s="2">
        <v>38815</v>
      </c>
      <c r="D512">
        <f>YEAR(ProductLine[[#This Row],[Date]])</f>
        <v>2006</v>
      </c>
      <c r="E512">
        <f>MONTH(ProductLine[[#This Row],[Date]])</f>
        <v>4</v>
      </c>
      <c r="F512" t="s">
        <v>26</v>
      </c>
      <c r="G512">
        <v>56</v>
      </c>
      <c r="H512" s="3">
        <v>169.24877716888537</v>
      </c>
      <c r="I512" s="3">
        <f>ProductLine[[#This Row],[Units]]*ProductLine[[#This Row],[Dollars]]</f>
        <v>9477.9315214575799</v>
      </c>
    </row>
    <row r="513" spans="1:9" x14ac:dyDescent="0.35">
      <c r="A513">
        <v>512</v>
      </c>
      <c r="B513" t="s">
        <v>9</v>
      </c>
      <c r="C513" s="2">
        <v>38111</v>
      </c>
      <c r="D513">
        <f>YEAR(ProductLine[[#This Row],[Date]])</f>
        <v>2004</v>
      </c>
      <c r="E513">
        <f>MONTH(ProductLine[[#This Row],[Date]])</f>
        <v>5</v>
      </c>
      <c r="F513" t="s">
        <v>24</v>
      </c>
      <c r="G513">
        <v>76</v>
      </c>
      <c r="H513" s="3">
        <v>230.1804612249874</v>
      </c>
      <c r="I513" s="3">
        <f>ProductLine[[#This Row],[Units]]*ProductLine[[#This Row],[Dollars]]</f>
        <v>17493.715053099044</v>
      </c>
    </row>
    <row r="514" spans="1:9" x14ac:dyDescent="0.35">
      <c r="A514">
        <v>513</v>
      </c>
      <c r="B514" t="s">
        <v>10</v>
      </c>
      <c r="C514" s="2">
        <v>38540</v>
      </c>
      <c r="D514">
        <f>YEAR(ProductLine[[#This Row],[Date]])</f>
        <v>2005</v>
      </c>
      <c r="E514">
        <f>MONTH(ProductLine[[#This Row],[Date]])</f>
        <v>7</v>
      </c>
      <c r="F514" t="s">
        <v>25</v>
      </c>
      <c r="G514">
        <v>27</v>
      </c>
      <c r="H514" s="3">
        <v>82.599143929902795</v>
      </c>
      <c r="I514" s="3">
        <f>ProductLine[[#This Row],[Units]]*ProductLine[[#This Row],[Dollars]]</f>
        <v>2230.1768861073756</v>
      </c>
    </row>
    <row r="515" spans="1:9" x14ac:dyDescent="0.35">
      <c r="A515">
        <v>514</v>
      </c>
      <c r="B515" t="s">
        <v>9</v>
      </c>
      <c r="C515" s="2">
        <v>38705</v>
      </c>
      <c r="D515">
        <f>YEAR(ProductLine[[#This Row],[Date]])</f>
        <v>2005</v>
      </c>
      <c r="E515">
        <f>MONTH(ProductLine[[#This Row],[Date]])</f>
        <v>12</v>
      </c>
      <c r="F515" t="s">
        <v>24</v>
      </c>
      <c r="G515">
        <v>58</v>
      </c>
      <c r="H515" s="3">
        <v>175.77181619024202</v>
      </c>
      <c r="I515" s="3">
        <f>ProductLine[[#This Row],[Units]]*ProductLine[[#This Row],[Dollars]]</f>
        <v>10194.765339034037</v>
      </c>
    </row>
    <row r="516" spans="1:9" x14ac:dyDescent="0.35">
      <c r="A516">
        <v>515</v>
      </c>
      <c r="B516" t="s">
        <v>16</v>
      </c>
      <c r="C516" s="2">
        <v>38034</v>
      </c>
      <c r="D516">
        <f>YEAR(ProductLine[[#This Row],[Date]])</f>
        <v>2004</v>
      </c>
      <c r="E516">
        <f>MONTH(ProductLine[[#This Row],[Date]])</f>
        <v>2</v>
      </c>
      <c r="F516" t="s">
        <v>25</v>
      </c>
      <c r="G516">
        <v>67</v>
      </c>
      <c r="H516" s="3">
        <v>202.62226122372601</v>
      </c>
      <c r="I516" s="3">
        <f>ProductLine[[#This Row],[Units]]*ProductLine[[#This Row],[Dollars]]</f>
        <v>13575.691501989642</v>
      </c>
    </row>
    <row r="517" spans="1:9" x14ac:dyDescent="0.35">
      <c r="A517">
        <v>516</v>
      </c>
      <c r="B517" t="s">
        <v>13</v>
      </c>
      <c r="C517" s="2">
        <v>38606</v>
      </c>
      <c r="D517">
        <f>YEAR(ProductLine[[#This Row],[Date]])</f>
        <v>2005</v>
      </c>
      <c r="E517">
        <f>MONTH(ProductLine[[#This Row],[Date]])</f>
        <v>9</v>
      </c>
      <c r="F517" t="s">
        <v>23</v>
      </c>
      <c r="G517">
        <v>79</v>
      </c>
      <c r="H517" s="3">
        <v>238.78594564649822</v>
      </c>
      <c r="I517" s="3">
        <f>ProductLine[[#This Row],[Units]]*ProductLine[[#This Row],[Dollars]]</f>
        <v>18864.089706073359</v>
      </c>
    </row>
    <row r="518" spans="1:9" x14ac:dyDescent="0.35">
      <c r="A518">
        <v>517</v>
      </c>
      <c r="B518" t="s">
        <v>14</v>
      </c>
      <c r="C518" s="2">
        <v>38243</v>
      </c>
      <c r="D518">
        <f>YEAR(ProductLine[[#This Row],[Date]])</f>
        <v>2004</v>
      </c>
      <c r="E518">
        <f>MONTH(ProductLine[[#This Row],[Date]])</f>
        <v>9</v>
      </c>
      <c r="F518" t="s">
        <v>27</v>
      </c>
      <c r="G518">
        <v>38</v>
      </c>
      <c r="H518" s="3">
        <v>116.68598743448534</v>
      </c>
      <c r="I518" s="3">
        <f>ProductLine[[#This Row],[Units]]*ProductLine[[#This Row],[Dollars]]</f>
        <v>4434.0675225104433</v>
      </c>
    </row>
    <row r="519" spans="1:9" x14ac:dyDescent="0.35">
      <c r="A519">
        <v>518</v>
      </c>
      <c r="B519" t="s">
        <v>9</v>
      </c>
      <c r="C519" s="2">
        <v>38078</v>
      </c>
      <c r="D519">
        <f>YEAR(ProductLine[[#This Row],[Date]])</f>
        <v>2004</v>
      </c>
      <c r="E519">
        <f>MONTH(ProductLine[[#This Row],[Date]])</f>
        <v>4</v>
      </c>
      <c r="F519" t="s">
        <v>27</v>
      </c>
      <c r="G519">
        <v>4</v>
      </c>
      <c r="H519" s="3">
        <v>13.641635237019504</v>
      </c>
      <c r="I519" s="3">
        <f>ProductLine[[#This Row],[Units]]*ProductLine[[#This Row],[Dollars]]</f>
        <v>54.566540948078014</v>
      </c>
    </row>
    <row r="520" spans="1:9" x14ac:dyDescent="0.35">
      <c r="A520">
        <v>519</v>
      </c>
      <c r="B520" t="s">
        <v>12</v>
      </c>
      <c r="C520" s="2">
        <v>38793</v>
      </c>
      <c r="D520">
        <f>YEAR(ProductLine[[#This Row],[Date]])</f>
        <v>2006</v>
      </c>
      <c r="E520">
        <f>MONTH(ProductLine[[#This Row],[Date]])</f>
        <v>3</v>
      </c>
      <c r="F520" t="s">
        <v>26</v>
      </c>
      <c r="G520">
        <v>45</v>
      </c>
      <c r="H520" s="3">
        <v>137.06873634212499</v>
      </c>
      <c r="I520" s="3">
        <f>ProductLine[[#This Row],[Units]]*ProductLine[[#This Row],[Dollars]]</f>
        <v>6168.0931353956248</v>
      </c>
    </row>
    <row r="521" spans="1:9" x14ac:dyDescent="0.35">
      <c r="A521">
        <v>520</v>
      </c>
      <c r="B521" t="s">
        <v>9</v>
      </c>
      <c r="C521" s="2">
        <v>38122</v>
      </c>
      <c r="D521">
        <f>YEAR(ProductLine[[#This Row],[Date]])</f>
        <v>2004</v>
      </c>
      <c r="E521">
        <f>MONTH(ProductLine[[#This Row],[Date]])</f>
        <v>5</v>
      </c>
      <c r="F521" t="s">
        <v>24</v>
      </c>
      <c r="G521">
        <v>10</v>
      </c>
      <c r="H521" s="3">
        <v>32.194899991771997</v>
      </c>
      <c r="I521" s="3">
        <f>ProductLine[[#This Row],[Units]]*ProductLine[[#This Row],[Dollars]]</f>
        <v>321.94899991771996</v>
      </c>
    </row>
    <row r="522" spans="1:9" x14ac:dyDescent="0.35">
      <c r="A522">
        <v>521</v>
      </c>
      <c r="B522" t="s">
        <v>10</v>
      </c>
      <c r="C522" s="2">
        <v>38661</v>
      </c>
      <c r="D522">
        <f>YEAR(ProductLine[[#This Row],[Date]])</f>
        <v>2005</v>
      </c>
      <c r="E522">
        <f>MONTH(ProductLine[[#This Row],[Date]])</f>
        <v>11</v>
      </c>
      <c r="F522" t="s">
        <v>24</v>
      </c>
      <c r="G522">
        <v>86</v>
      </c>
      <c r="H522" s="3">
        <v>260.39717870163332</v>
      </c>
      <c r="I522" s="3">
        <f>ProductLine[[#This Row],[Units]]*ProductLine[[#This Row],[Dollars]]</f>
        <v>22394.157368340464</v>
      </c>
    </row>
    <row r="523" spans="1:9" x14ac:dyDescent="0.35">
      <c r="A523">
        <v>522</v>
      </c>
      <c r="B523" t="s">
        <v>17</v>
      </c>
      <c r="C523" s="2">
        <v>38848</v>
      </c>
      <c r="D523">
        <f>YEAR(ProductLine[[#This Row],[Date]])</f>
        <v>2006</v>
      </c>
      <c r="E523">
        <f>MONTH(ProductLine[[#This Row],[Date]])</f>
        <v>5</v>
      </c>
      <c r="F523" t="s">
        <v>24</v>
      </c>
      <c r="G523">
        <v>75</v>
      </c>
      <c r="H523" s="3">
        <v>226.71443824204945</v>
      </c>
      <c r="I523" s="3">
        <f>ProductLine[[#This Row],[Units]]*ProductLine[[#This Row],[Dollars]]</f>
        <v>17003.58286815371</v>
      </c>
    </row>
    <row r="524" spans="1:9" x14ac:dyDescent="0.35">
      <c r="A524">
        <v>523</v>
      </c>
      <c r="B524" t="s">
        <v>15</v>
      </c>
      <c r="C524" s="2">
        <v>38430</v>
      </c>
      <c r="D524">
        <f>YEAR(ProductLine[[#This Row],[Date]])</f>
        <v>2005</v>
      </c>
      <c r="E524">
        <f>MONTH(ProductLine[[#This Row],[Date]])</f>
        <v>3</v>
      </c>
      <c r="F524" t="s">
        <v>26</v>
      </c>
      <c r="G524">
        <v>77</v>
      </c>
      <c r="H524" s="3">
        <v>232.49630521155086</v>
      </c>
      <c r="I524" s="3">
        <f>ProductLine[[#This Row],[Units]]*ProductLine[[#This Row],[Dollars]]</f>
        <v>17902.215501289415</v>
      </c>
    </row>
    <row r="525" spans="1:9" x14ac:dyDescent="0.35">
      <c r="A525">
        <v>524</v>
      </c>
      <c r="B525" t="s">
        <v>15</v>
      </c>
      <c r="C525" s="2">
        <v>38067</v>
      </c>
      <c r="D525">
        <f>YEAR(ProductLine[[#This Row],[Date]])</f>
        <v>2004</v>
      </c>
      <c r="E525">
        <f>MONTH(ProductLine[[#This Row],[Date]])</f>
        <v>3</v>
      </c>
      <c r="F525" t="s">
        <v>26</v>
      </c>
      <c r="G525">
        <v>10</v>
      </c>
      <c r="H525" s="3">
        <v>31.818132134554009</v>
      </c>
      <c r="I525" s="3">
        <f>ProductLine[[#This Row],[Units]]*ProductLine[[#This Row],[Dollars]]</f>
        <v>318.18132134554008</v>
      </c>
    </row>
    <row r="526" spans="1:9" x14ac:dyDescent="0.35">
      <c r="A526">
        <v>525</v>
      </c>
      <c r="B526" t="s">
        <v>14</v>
      </c>
      <c r="C526" s="2">
        <v>38265</v>
      </c>
      <c r="D526">
        <f>YEAR(ProductLine[[#This Row],[Date]])</f>
        <v>2004</v>
      </c>
      <c r="E526">
        <f>MONTH(ProductLine[[#This Row],[Date]])</f>
        <v>10</v>
      </c>
      <c r="F526" t="s">
        <v>24</v>
      </c>
      <c r="G526">
        <v>62</v>
      </c>
      <c r="H526" s="3">
        <v>188.38088235582651</v>
      </c>
      <c r="I526" s="3">
        <f>ProductLine[[#This Row],[Units]]*ProductLine[[#This Row],[Dollars]]</f>
        <v>11679.614706061244</v>
      </c>
    </row>
    <row r="527" spans="1:9" x14ac:dyDescent="0.35">
      <c r="A527">
        <v>526</v>
      </c>
      <c r="B527" t="s">
        <v>9</v>
      </c>
      <c r="C527" s="2">
        <v>38012</v>
      </c>
      <c r="D527">
        <f>YEAR(ProductLine[[#This Row],[Date]])</f>
        <v>2004</v>
      </c>
      <c r="E527">
        <f>MONTH(ProductLine[[#This Row],[Date]])</f>
        <v>1</v>
      </c>
      <c r="F527" t="s">
        <v>23</v>
      </c>
      <c r="G527">
        <v>73</v>
      </c>
      <c r="H527" s="3">
        <v>221.29214849175239</v>
      </c>
      <c r="I527" s="3">
        <f>ProductLine[[#This Row],[Units]]*ProductLine[[#This Row],[Dollars]]</f>
        <v>16154.326839897923</v>
      </c>
    </row>
    <row r="528" spans="1:9" x14ac:dyDescent="0.35">
      <c r="A528">
        <v>527</v>
      </c>
      <c r="B528" t="s">
        <v>16</v>
      </c>
      <c r="C528" s="2">
        <v>38001</v>
      </c>
      <c r="D528">
        <f>YEAR(ProductLine[[#This Row],[Date]])</f>
        <v>2004</v>
      </c>
      <c r="E528">
        <f>MONTH(ProductLine[[#This Row],[Date]])</f>
        <v>1</v>
      </c>
      <c r="F528" t="s">
        <v>24</v>
      </c>
      <c r="G528">
        <v>62</v>
      </c>
      <c r="H528" s="3">
        <v>187.23352558776915</v>
      </c>
      <c r="I528" s="3">
        <f>ProductLine[[#This Row],[Units]]*ProductLine[[#This Row],[Dollars]]</f>
        <v>11608.478586441688</v>
      </c>
    </row>
    <row r="529" spans="1:9" x14ac:dyDescent="0.35">
      <c r="A529">
        <v>528</v>
      </c>
      <c r="B529" t="s">
        <v>12</v>
      </c>
      <c r="C529" s="2">
        <v>38892</v>
      </c>
      <c r="D529">
        <f>YEAR(ProductLine[[#This Row],[Date]])</f>
        <v>2006</v>
      </c>
      <c r="E529">
        <f>MONTH(ProductLine[[#This Row],[Date]])</f>
        <v>6</v>
      </c>
      <c r="F529" t="s">
        <v>27</v>
      </c>
      <c r="G529">
        <v>11</v>
      </c>
      <c r="H529" s="3">
        <v>35.723241285873279</v>
      </c>
      <c r="I529" s="3">
        <f>ProductLine[[#This Row],[Units]]*ProductLine[[#This Row],[Dollars]]</f>
        <v>392.95565414460606</v>
      </c>
    </row>
    <row r="530" spans="1:9" x14ac:dyDescent="0.35">
      <c r="A530">
        <v>529</v>
      </c>
      <c r="B530" t="s">
        <v>10</v>
      </c>
      <c r="C530" s="2">
        <v>38705</v>
      </c>
      <c r="D530">
        <f>YEAR(ProductLine[[#This Row],[Date]])</f>
        <v>2005</v>
      </c>
      <c r="E530">
        <f>MONTH(ProductLine[[#This Row],[Date]])</f>
        <v>12</v>
      </c>
      <c r="F530" t="s">
        <v>27</v>
      </c>
      <c r="G530">
        <v>28</v>
      </c>
      <c r="H530" s="3">
        <v>86.078223340302799</v>
      </c>
      <c r="I530" s="3">
        <f>ProductLine[[#This Row],[Units]]*ProductLine[[#This Row],[Dollars]]</f>
        <v>2410.1902535284785</v>
      </c>
    </row>
    <row r="531" spans="1:9" x14ac:dyDescent="0.35">
      <c r="A531">
        <v>530</v>
      </c>
      <c r="B531" t="s">
        <v>10</v>
      </c>
      <c r="C531" s="2">
        <v>38221</v>
      </c>
      <c r="D531">
        <f>YEAR(ProductLine[[#This Row],[Date]])</f>
        <v>2004</v>
      </c>
      <c r="E531">
        <f>MONTH(ProductLine[[#This Row],[Date]])</f>
        <v>8</v>
      </c>
      <c r="F531" t="s">
        <v>27</v>
      </c>
      <c r="G531">
        <v>57</v>
      </c>
      <c r="H531" s="3">
        <v>172.3620870689609</v>
      </c>
      <c r="I531" s="3">
        <f>ProductLine[[#This Row],[Units]]*ProductLine[[#This Row],[Dollars]]</f>
        <v>9824.6389629307723</v>
      </c>
    </row>
    <row r="532" spans="1:9" x14ac:dyDescent="0.35">
      <c r="A532">
        <v>531</v>
      </c>
      <c r="B532" t="s">
        <v>17</v>
      </c>
      <c r="C532" s="2">
        <v>38331</v>
      </c>
      <c r="D532">
        <f>YEAR(ProductLine[[#This Row],[Date]])</f>
        <v>2004</v>
      </c>
      <c r="E532">
        <f>MONTH(ProductLine[[#This Row],[Date]])</f>
        <v>12</v>
      </c>
      <c r="F532" t="s">
        <v>26</v>
      </c>
      <c r="G532">
        <v>34</v>
      </c>
      <c r="H532" s="3">
        <v>103.4937406460938</v>
      </c>
      <c r="I532" s="3">
        <f>ProductLine[[#This Row],[Units]]*ProductLine[[#This Row],[Dollars]]</f>
        <v>3518.7871819671891</v>
      </c>
    </row>
    <row r="533" spans="1:9" x14ac:dyDescent="0.35">
      <c r="A533">
        <v>532</v>
      </c>
      <c r="B533" t="s">
        <v>16</v>
      </c>
      <c r="C533" s="2">
        <v>38639</v>
      </c>
      <c r="D533">
        <f>YEAR(ProductLine[[#This Row],[Date]])</f>
        <v>2005</v>
      </c>
      <c r="E533">
        <f>MONTH(ProductLine[[#This Row],[Date]])</f>
        <v>10</v>
      </c>
      <c r="F533" t="s">
        <v>26</v>
      </c>
      <c r="G533">
        <v>89</v>
      </c>
      <c r="H533" s="3">
        <v>267.86415015075153</v>
      </c>
      <c r="I533" s="3">
        <f>ProductLine[[#This Row],[Units]]*ProductLine[[#This Row],[Dollars]]</f>
        <v>23839.909363416886</v>
      </c>
    </row>
    <row r="534" spans="1:9" x14ac:dyDescent="0.35">
      <c r="A534">
        <v>533</v>
      </c>
      <c r="B534" t="s">
        <v>10</v>
      </c>
      <c r="C534" s="2">
        <v>38254</v>
      </c>
      <c r="D534">
        <f>YEAR(ProductLine[[#This Row],[Date]])</f>
        <v>2004</v>
      </c>
      <c r="E534">
        <f>MONTH(ProductLine[[#This Row],[Date]])</f>
        <v>9</v>
      </c>
      <c r="F534" t="s">
        <v>23</v>
      </c>
      <c r="G534">
        <v>32</v>
      </c>
      <c r="H534" s="3">
        <v>97.889348643674225</v>
      </c>
      <c r="I534" s="3">
        <f>ProductLine[[#This Row],[Units]]*ProductLine[[#This Row],[Dollars]]</f>
        <v>3132.4591565975752</v>
      </c>
    </row>
    <row r="535" spans="1:9" x14ac:dyDescent="0.35">
      <c r="A535">
        <v>534</v>
      </c>
      <c r="B535" t="s">
        <v>12</v>
      </c>
      <c r="C535" s="2">
        <v>39046</v>
      </c>
      <c r="D535">
        <f>YEAR(ProductLine[[#This Row],[Date]])</f>
        <v>2006</v>
      </c>
      <c r="E535">
        <f>MONTH(ProductLine[[#This Row],[Date]])</f>
        <v>11</v>
      </c>
      <c r="F535" t="s">
        <v>26</v>
      </c>
      <c r="G535">
        <v>38</v>
      </c>
      <c r="H535" s="3">
        <v>116.04458768996518</v>
      </c>
      <c r="I535" s="3">
        <f>ProductLine[[#This Row],[Units]]*ProductLine[[#This Row],[Dollars]]</f>
        <v>4409.6943322186771</v>
      </c>
    </row>
    <row r="536" spans="1:9" x14ac:dyDescent="0.35">
      <c r="A536">
        <v>535</v>
      </c>
      <c r="B536" t="s">
        <v>14</v>
      </c>
      <c r="C536" s="2">
        <v>38584</v>
      </c>
      <c r="D536">
        <f>YEAR(ProductLine[[#This Row],[Date]])</f>
        <v>2005</v>
      </c>
      <c r="E536">
        <f>MONTH(ProductLine[[#This Row],[Date]])</f>
        <v>8</v>
      </c>
      <c r="F536" t="s">
        <v>23</v>
      </c>
      <c r="G536">
        <v>82</v>
      </c>
      <c r="H536" s="3">
        <v>248.04707692390426</v>
      </c>
      <c r="I536" s="3">
        <f>ProductLine[[#This Row],[Units]]*ProductLine[[#This Row],[Dollars]]</f>
        <v>20339.860307760147</v>
      </c>
    </row>
    <row r="537" spans="1:9" x14ac:dyDescent="0.35">
      <c r="A537">
        <v>536</v>
      </c>
      <c r="B537" t="s">
        <v>16</v>
      </c>
      <c r="C537" s="2">
        <v>38133</v>
      </c>
      <c r="D537">
        <f>YEAR(ProductLine[[#This Row],[Date]])</f>
        <v>2004</v>
      </c>
      <c r="E537">
        <f>MONTH(ProductLine[[#This Row],[Date]])</f>
        <v>5</v>
      </c>
      <c r="F537" t="s">
        <v>24</v>
      </c>
      <c r="G537">
        <v>29</v>
      </c>
      <c r="H537" s="3">
        <v>89.294687359204545</v>
      </c>
      <c r="I537" s="3">
        <f>ProductLine[[#This Row],[Units]]*ProductLine[[#This Row],[Dollars]]</f>
        <v>2589.5459334169318</v>
      </c>
    </row>
    <row r="538" spans="1:9" x14ac:dyDescent="0.35">
      <c r="A538">
        <v>537</v>
      </c>
      <c r="B538" t="s">
        <v>15</v>
      </c>
      <c r="C538" s="2">
        <v>38991</v>
      </c>
      <c r="D538">
        <f>YEAR(ProductLine[[#This Row],[Date]])</f>
        <v>2006</v>
      </c>
      <c r="E538">
        <f>MONTH(ProductLine[[#This Row],[Date]])</f>
        <v>10</v>
      </c>
      <c r="F538" t="s">
        <v>25</v>
      </c>
      <c r="G538">
        <v>17</v>
      </c>
      <c r="H538" s="3">
        <v>52.246197330854876</v>
      </c>
      <c r="I538" s="3">
        <f>ProductLine[[#This Row],[Units]]*ProductLine[[#This Row],[Dollars]]</f>
        <v>888.18535462453292</v>
      </c>
    </row>
    <row r="539" spans="1:9" x14ac:dyDescent="0.35">
      <c r="A539">
        <v>538</v>
      </c>
      <c r="B539" t="s">
        <v>10</v>
      </c>
      <c r="C539" s="2">
        <v>38210</v>
      </c>
      <c r="D539">
        <f>YEAR(ProductLine[[#This Row],[Date]])</f>
        <v>2004</v>
      </c>
      <c r="E539">
        <f>MONTH(ProductLine[[#This Row],[Date]])</f>
        <v>8</v>
      </c>
      <c r="F539" t="s">
        <v>26</v>
      </c>
      <c r="G539">
        <v>50</v>
      </c>
      <c r="H539" s="3">
        <v>151.86525901218997</v>
      </c>
      <c r="I539" s="3">
        <f>ProductLine[[#This Row],[Units]]*ProductLine[[#This Row],[Dollars]]</f>
        <v>7593.2629506094981</v>
      </c>
    </row>
    <row r="540" spans="1:9" x14ac:dyDescent="0.35">
      <c r="A540">
        <v>539</v>
      </c>
      <c r="B540" t="s">
        <v>13</v>
      </c>
      <c r="C540" s="2">
        <v>38078</v>
      </c>
      <c r="D540">
        <f>YEAR(ProductLine[[#This Row],[Date]])</f>
        <v>2004</v>
      </c>
      <c r="E540">
        <f>MONTH(ProductLine[[#This Row],[Date]])</f>
        <v>4</v>
      </c>
      <c r="F540" t="s">
        <v>25</v>
      </c>
      <c r="G540">
        <v>7</v>
      </c>
      <c r="H540" s="3">
        <v>22.95994805531884</v>
      </c>
      <c r="I540" s="3">
        <f>ProductLine[[#This Row],[Units]]*ProductLine[[#This Row],[Dollars]]</f>
        <v>160.71963638723187</v>
      </c>
    </row>
    <row r="541" spans="1:9" x14ac:dyDescent="0.35">
      <c r="A541">
        <v>540</v>
      </c>
      <c r="B541" t="s">
        <v>11</v>
      </c>
      <c r="C541" s="2">
        <v>38430</v>
      </c>
      <c r="D541">
        <f>YEAR(ProductLine[[#This Row],[Date]])</f>
        <v>2005</v>
      </c>
      <c r="E541">
        <f>MONTH(ProductLine[[#This Row],[Date]])</f>
        <v>3</v>
      </c>
      <c r="F541" t="s">
        <v>23</v>
      </c>
      <c r="G541">
        <v>50</v>
      </c>
      <c r="H541" s="3">
        <v>151.36182402448466</v>
      </c>
      <c r="I541" s="3">
        <f>ProductLine[[#This Row],[Units]]*ProductLine[[#This Row],[Dollars]]</f>
        <v>7568.0912012242334</v>
      </c>
    </row>
    <row r="542" spans="1:9" x14ac:dyDescent="0.35">
      <c r="A542">
        <v>541</v>
      </c>
      <c r="B542" t="s">
        <v>14</v>
      </c>
      <c r="C542" s="2">
        <v>38408</v>
      </c>
      <c r="D542">
        <f>YEAR(ProductLine[[#This Row],[Date]])</f>
        <v>2005</v>
      </c>
      <c r="E542">
        <f>MONTH(ProductLine[[#This Row],[Date]])</f>
        <v>2</v>
      </c>
      <c r="F542" t="s">
        <v>25</v>
      </c>
      <c r="G542">
        <v>20</v>
      </c>
      <c r="H542" s="3">
        <v>61.878678847796238</v>
      </c>
      <c r="I542" s="3">
        <f>ProductLine[[#This Row],[Units]]*ProductLine[[#This Row],[Dollars]]</f>
        <v>1237.5735769559246</v>
      </c>
    </row>
    <row r="543" spans="1:9" x14ac:dyDescent="0.35">
      <c r="A543">
        <v>542</v>
      </c>
      <c r="B543" t="s">
        <v>16</v>
      </c>
      <c r="C543" s="2">
        <v>38408</v>
      </c>
      <c r="D543">
        <f>YEAR(ProductLine[[#This Row],[Date]])</f>
        <v>2005</v>
      </c>
      <c r="E543">
        <f>MONTH(ProductLine[[#This Row],[Date]])</f>
        <v>2</v>
      </c>
      <c r="F543" t="s">
        <v>24</v>
      </c>
      <c r="G543">
        <v>37</v>
      </c>
      <c r="H543" s="3">
        <v>112.83363370259229</v>
      </c>
      <c r="I543" s="3">
        <f>ProductLine[[#This Row],[Units]]*ProductLine[[#This Row],[Dollars]]</f>
        <v>4174.844446995915</v>
      </c>
    </row>
    <row r="544" spans="1:9" x14ac:dyDescent="0.35">
      <c r="A544">
        <v>543</v>
      </c>
      <c r="B544" t="s">
        <v>12</v>
      </c>
      <c r="C544" s="2">
        <v>38232</v>
      </c>
      <c r="D544">
        <f>YEAR(ProductLine[[#This Row],[Date]])</f>
        <v>2004</v>
      </c>
      <c r="E544">
        <f>MONTH(ProductLine[[#This Row],[Date]])</f>
        <v>9</v>
      </c>
      <c r="F544" t="s">
        <v>27</v>
      </c>
      <c r="G544">
        <v>58</v>
      </c>
      <c r="H544" s="3">
        <v>176.6097113560426</v>
      </c>
      <c r="I544" s="3">
        <f>ProductLine[[#This Row],[Units]]*ProductLine[[#This Row],[Dollars]]</f>
        <v>10243.36325865047</v>
      </c>
    </row>
    <row r="545" spans="1:9" x14ac:dyDescent="0.35">
      <c r="A545">
        <v>544</v>
      </c>
      <c r="B545" t="s">
        <v>13</v>
      </c>
      <c r="C545" s="2">
        <v>38738</v>
      </c>
      <c r="D545">
        <f>YEAR(ProductLine[[#This Row],[Date]])</f>
        <v>2006</v>
      </c>
      <c r="E545">
        <f>MONTH(ProductLine[[#This Row],[Date]])</f>
        <v>1</v>
      </c>
      <c r="F545" t="s">
        <v>24</v>
      </c>
      <c r="G545">
        <v>25</v>
      </c>
      <c r="H545" s="3">
        <v>76.920283125674487</v>
      </c>
      <c r="I545" s="3">
        <f>ProductLine[[#This Row],[Units]]*ProductLine[[#This Row],[Dollars]]</f>
        <v>1923.0070781418622</v>
      </c>
    </row>
    <row r="546" spans="1:9" x14ac:dyDescent="0.35">
      <c r="A546">
        <v>545</v>
      </c>
      <c r="B546" t="s">
        <v>10</v>
      </c>
      <c r="C546" s="2">
        <v>38078</v>
      </c>
      <c r="D546">
        <f>YEAR(ProductLine[[#This Row],[Date]])</f>
        <v>2004</v>
      </c>
      <c r="E546">
        <f>MONTH(ProductLine[[#This Row],[Date]])</f>
        <v>4</v>
      </c>
      <c r="F546" t="s">
        <v>26</v>
      </c>
      <c r="G546">
        <v>34</v>
      </c>
      <c r="H546" s="3">
        <v>103.18208157525912</v>
      </c>
      <c r="I546" s="3">
        <f>ProductLine[[#This Row],[Units]]*ProductLine[[#This Row],[Dollars]]</f>
        <v>3508.1907735588102</v>
      </c>
    </row>
    <row r="547" spans="1:9" x14ac:dyDescent="0.35">
      <c r="A547">
        <v>546</v>
      </c>
      <c r="B547" t="s">
        <v>9</v>
      </c>
      <c r="C547" s="2">
        <v>39013</v>
      </c>
      <c r="D547">
        <f>YEAR(ProductLine[[#This Row],[Date]])</f>
        <v>2006</v>
      </c>
      <c r="E547">
        <f>MONTH(ProductLine[[#This Row],[Date]])</f>
        <v>10</v>
      </c>
      <c r="F547" t="s">
        <v>24</v>
      </c>
      <c r="G547">
        <v>3</v>
      </c>
      <c r="H547" s="3">
        <v>11.582072936390588</v>
      </c>
      <c r="I547" s="3">
        <f>ProductLine[[#This Row],[Units]]*ProductLine[[#This Row],[Dollars]]</f>
        <v>34.746218809171765</v>
      </c>
    </row>
    <row r="548" spans="1:9" x14ac:dyDescent="0.35">
      <c r="A548">
        <v>547</v>
      </c>
      <c r="B548" t="s">
        <v>9</v>
      </c>
      <c r="C548" s="2">
        <v>38991</v>
      </c>
      <c r="D548">
        <f>YEAR(ProductLine[[#This Row],[Date]])</f>
        <v>2006</v>
      </c>
      <c r="E548">
        <f>MONTH(ProductLine[[#This Row],[Date]])</f>
        <v>10</v>
      </c>
      <c r="F548" t="s">
        <v>25</v>
      </c>
      <c r="G548">
        <v>63</v>
      </c>
      <c r="H548" s="3">
        <v>190.58521809047551</v>
      </c>
      <c r="I548" s="3">
        <f>ProductLine[[#This Row],[Units]]*ProductLine[[#This Row],[Dollars]]</f>
        <v>12006.868739699958</v>
      </c>
    </row>
    <row r="549" spans="1:9" x14ac:dyDescent="0.35">
      <c r="A549">
        <v>548</v>
      </c>
      <c r="B549" t="s">
        <v>9</v>
      </c>
      <c r="C549" s="2">
        <v>38727</v>
      </c>
      <c r="D549">
        <f>YEAR(ProductLine[[#This Row],[Date]])</f>
        <v>2006</v>
      </c>
      <c r="E549">
        <f>MONTH(ProductLine[[#This Row],[Date]])</f>
        <v>1</v>
      </c>
      <c r="F549" t="s">
        <v>26</v>
      </c>
      <c r="G549">
        <v>44</v>
      </c>
      <c r="H549" s="3">
        <v>133.61508244900483</v>
      </c>
      <c r="I549" s="3">
        <f>ProductLine[[#This Row],[Units]]*ProductLine[[#This Row],[Dollars]]</f>
        <v>5879.0636277562126</v>
      </c>
    </row>
    <row r="550" spans="1:9" x14ac:dyDescent="0.35">
      <c r="A550">
        <v>549</v>
      </c>
      <c r="B550" t="s">
        <v>17</v>
      </c>
      <c r="C550" s="2">
        <v>38089</v>
      </c>
      <c r="D550">
        <f>YEAR(ProductLine[[#This Row],[Date]])</f>
        <v>2004</v>
      </c>
      <c r="E550">
        <f>MONTH(ProductLine[[#This Row],[Date]])</f>
        <v>4</v>
      </c>
      <c r="F550" t="s">
        <v>26</v>
      </c>
      <c r="G550">
        <v>87</v>
      </c>
      <c r="H550" s="3">
        <v>263.16283259571526</v>
      </c>
      <c r="I550" s="3">
        <f>ProductLine[[#This Row],[Units]]*ProductLine[[#This Row],[Dollars]]</f>
        <v>22895.166435827228</v>
      </c>
    </row>
    <row r="551" spans="1:9" x14ac:dyDescent="0.35">
      <c r="A551">
        <v>550</v>
      </c>
      <c r="B551" t="s">
        <v>16</v>
      </c>
      <c r="C551" s="2">
        <v>38408</v>
      </c>
      <c r="D551">
        <f>YEAR(ProductLine[[#This Row],[Date]])</f>
        <v>2005</v>
      </c>
      <c r="E551">
        <f>MONTH(ProductLine[[#This Row],[Date]])</f>
        <v>2</v>
      </c>
      <c r="F551" t="s">
        <v>25</v>
      </c>
      <c r="G551">
        <v>4</v>
      </c>
      <c r="H551" s="3">
        <v>14.191095035521025</v>
      </c>
      <c r="I551" s="3">
        <f>ProductLine[[#This Row],[Units]]*ProductLine[[#This Row],[Dollars]]</f>
        <v>56.7643801420841</v>
      </c>
    </row>
    <row r="552" spans="1:9" x14ac:dyDescent="0.35">
      <c r="A552">
        <v>551</v>
      </c>
      <c r="B552" t="s">
        <v>11</v>
      </c>
      <c r="C552" s="2">
        <v>38826</v>
      </c>
      <c r="D552">
        <f>YEAR(ProductLine[[#This Row],[Date]])</f>
        <v>2006</v>
      </c>
      <c r="E552">
        <f>MONTH(ProductLine[[#This Row],[Date]])</f>
        <v>4</v>
      </c>
      <c r="F552" t="s">
        <v>24</v>
      </c>
      <c r="G552">
        <v>93</v>
      </c>
      <c r="H552" s="3">
        <v>281.17072628162578</v>
      </c>
      <c r="I552" s="3">
        <f>ProductLine[[#This Row],[Units]]*ProductLine[[#This Row],[Dollars]]</f>
        <v>26148.877544191197</v>
      </c>
    </row>
    <row r="553" spans="1:9" x14ac:dyDescent="0.35">
      <c r="A553">
        <v>552</v>
      </c>
      <c r="B553" t="s">
        <v>14</v>
      </c>
      <c r="C553" s="2">
        <v>38320</v>
      </c>
      <c r="D553">
        <f>YEAR(ProductLine[[#This Row],[Date]])</f>
        <v>2004</v>
      </c>
      <c r="E553">
        <f>MONTH(ProductLine[[#This Row],[Date]])</f>
        <v>11</v>
      </c>
      <c r="F553" t="s">
        <v>25</v>
      </c>
      <c r="G553">
        <v>10</v>
      </c>
      <c r="H553" s="3">
        <v>32.065090501540446</v>
      </c>
      <c r="I553" s="3">
        <f>ProductLine[[#This Row],[Units]]*ProductLine[[#This Row],[Dollars]]</f>
        <v>320.65090501540448</v>
      </c>
    </row>
    <row r="554" spans="1:9" x14ac:dyDescent="0.35">
      <c r="A554">
        <v>553</v>
      </c>
      <c r="B554" t="s">
        <v>12</v>
      </c>
      <c r="C554" s="2">
        <v>39068</v>
      </c>
      <c r="D554">
        <f>YEAR(ProductLine[[#This Row],[Date]])</f>
        <v>2006</v>
      </c>
      <c r="E554">
        <f>MONTH(ProductLine[[#This Row],[Date]])</f>
        <v>12</v>
      </c>
      <c r="F554" t="s">
        <v>27</v>
      </c>
      <c r="G554">
        <v>19</v>
      </c>
      <c r="H554" s="3">
        <v>58.972126169367577</v>
      </c>
      <c r="I554" s="3">
        <f>ProductLine[[#This Row],[Units]]*ProductLine[[#This Row],[Dollars]]</f>
        <v>1120.4703972179839</v>
      </c>
    </row>
    <row r="555" spans="1:9" x14ac:dyDescent="0.35">
      <c r="A555">
        <v>554</v>
      </c>
      <c r="B555" t="s">
        <v>10</v>
      </c>
      <c r="C555" s="2">
        <v>38551</v>
      </c>
      <c r="D555">
        <f>YEAR(ProductLine[[#This Row],[Date]])</f>
        <v>2005</v>
      </c>
      <c r="E555">
        <f>MONTH(ProductLine[[#This Row],[Date]])</f>
        <v>7</v>
      </c>
      <c r="F555" t="s">
        <v>26</v>
      </c>
      <c r="G555">
        <v>30</v>
      </c>
      <c r="H555" s="3">
        <v>92.527630840276103</v>
      </c>
      <c r="I555" s="3">
        <f>ProductLine[[#This Row],[Units]]*ProductLine[[#This Row],[Dollars]]</f>
        <v>2775.8289252082832</v>
      </c>
    </row>
    <row r="556" spans="1:9" x14ac:dyDescent="0.35">
      <c r="A556">
        <v>555</v>
      </c>
      <c r="B556" t="s">
        <v>11</v>
      </c>
      <c r="C556" s="2">
        <v>39035</v>
      </c>
      <c r="D556">
        <f>YEAR(ProductLine[[#This Row],[Date]])</f>
        <v>2006</v>
      </c>
      <c r="E556">
        <f>MONTH(ProductLine[[#This Row],[Date]])</f>
        <v>11</v>
      </c>
      <c r="F556" t="s">
        <v>27</v>
      </c>
      <c r="G556">
        <v>-1</v>
      </c>
      <c r="H556" s="3">
        <v>-1.2782372664639507</v>
      </c>
      <c r="I556" s="3">
        <f>ProductLine[[#This Row],[Units]]*ProductLine[[#This Row],[Dollars]]</f>
        <v>1.2782372664639507</v>
      </c>
    </row>
    <row r="557" spans="1:9" x14ac:dyDescent="0.35">
      <c r="A557">
        <v>556</v>
      </c>
      <c r="B557" t="s">
        <v>16</v>
      </c>
      <c r="C557" s="2">
        <v>38837</v>
      </c>
      <c r="D557">
        <f>YEAR(ProductLine[[#This Row],[Date]])</f>
        <v>2006</v>
      </c>
      <c r="E557">
        <f>MONTH(ProductLine[[#This Row],[Date]])</f>
        <v>4</v>
      </c>
      <c r="F557" t="s">
        <v>26</v>
      </c>
      <c r="G557">
        <v>46</v>
      </c>
      <c r="H557" s="3">
        <v>139.41162650743053</v>
      </c>
      <c r="I557" s="3">
        <f>ProductLine[[#This Row],[Units]]*ProductLine[[#This Row],[Dollars]]</f>
        <v>6412.9348193418045</v>
      </c>
    </row>
    <row r="558" spans="1:9" x14ac:dyDescent="0.35">
      <c r="A558">
        <v>557</v>
      </c>
      <c r="B558" t="s">
        <v>14</v>
      </c>
      <c r="C558" s="2">
        <v>38232</v>
      </c>
      <c r="D558">
        <f>YEAR(ProductLine[[#This Row],[Date]])</f>
        <v>2004</v>
      </c>
      <c r="E558">
        <f>MONTH(ProductLine[[#This Row],[Date]])</f>
        <v>9</v>
      </c>
      <c r="F558" t="s">
        <v>24</v>
      </c>
      <c r="G558">
        <v>44</v>
      </c>
      <c r="H558" s="3">
        <v>133.50877739627518</v>
      </c>
      <c r="I558" s="3">
        <f>ProductLine[[#This Row],[Units]]*ProductLine[[#This Row],[Dollars]]</f>
        <v>5874.386205436108</v>
      </c>
    </row>
    <row r="559" spans="1:9" x14ac:dyDescent="0.35">
      <c r="A559">
        <v>558</v>
      </c>
      <c r="B559" t="s">
        <v>9</v>
      </c>
      <c r="C559" s="2">
        <v>38287</v>
      </c>
      <c r="D559">
        <f>YEAR(ProductLine[[#This Row],[Date]])</f>
        <v>2004</v>
      </c>
      <c r="E559">
        <f>MONTH(ProductLine[[#This Row],[Date]])</f>
        <v>10</v>
      </c>
      <c r="F559" t="s">
        <v>26</v>
      </c>
      <c r="G559">
        <v>47</v>
      </c>
      <c r="H559" s="3">
        <v>143.21221530085697</v>
      </c>
      <c r="I559" s="3">
        <f>ProductLine[[#This Row],[Units]]*ProductLine[[#This Row],[Dollars]]</f>
        <v>6730.9741191402773</v>
      </c>
    </row>
    <row r="560" spans="1:9" x14ac:dyDescent="0.35">
      <c r="A560">
        <v>559</v>
      </c>
      <c r="B560" t="s">
        <v>16</v>
      </c>
      <c r="C560" s="2">
        <v>38969</v>
      </c>
      <c r="D560">
        <f>YEAR(ProductLine[[#This Row],[Date]])</f>
        <v>2006</v>
      </c>
      <c r="E560">
        <f>MONTH(ProductLine[[#This Row],[Date]])</f>
        <v>9</v>
      </c>
      <c r="F560" t="s">
        <v>26</v>
      </c>
      <c r="G560">
        <v>86</v>
      </c>
      <c r="H560" s="3">
        <v>260.39157259526775</v>
      </c>
      <c r="I560" s="3">
        <f>ProductLine[[#This Row],[Units]]*ProductLine[[#This Row],[Dollars]]</f>
        <v>22393.675243193025</v>
      </c>
    </row>
    <row r="561" spans="1:9" x14ac:dyDescent="0.35">
      <c r="A561">
        <v>560</v>
      </c>
      <c r="B561" t="s">
        <v>16</v>
      </c>
      <c r="C561" s="2">
        <v>38925</v>
      </c>
      <c r="D561">
        <f>YEAR(ProductLine[[#This Row],[Date]])</f>
        <v>2006</v>
      </c>
      <c r="E561">
        <f>MONTH(ProductLine[[#This Row],[Date]])</f>
        <v>7</v>
      </c>
      <c r="F561" t="s">
        <v>24</v>
      </c>
      <c r="G561">
        <v>76</v>
      </c>
      <c r="H561" s="3">
        <v>229.96347977242982</v>
      </c>
      <c r="I561" s="3">
        <f>ProductLine[[#This Row],[Units]]*ProductLine[[#This Row],[Dollars]]</f>
        <v>17477.224462704668</v>
      </c>
    </row>
    <row r="562" spans="1:9" x14ac:dyDescent="0.35">
      <c r="A562">
        <v>561</v>
      </c>
      <c r="B562" t="s">
        <v>12</v>
      </c>
      <c r="C562" s="2">
        <v>38078</v>
      </c>
      <c r="D562">
        <f>YEAR(ProductLine[[#This Row],[Date]])</f>
        <v>2004</v>
      </c>
      <c r="E562">
        <f>MONTH(ProductLine[[#This Row],[Date]])</f>
        <v>4</v>
      </c>
      <c r="F562" t="s">
        <v>27</v>
      </c>
      <c r="G562">
        <v>55</v>
      </c>
      <c r="H562" s="3">
        <v>166.99029890676019</v>
      </c>
      <c r="I562" s="3">
        <f>ProductLine[[#This Row],[Units]]*ProductLine[[#This Row],[Dollars]]</f>
        <v>9184.4664398718105</v>
      </c>
    </row>
    <row r="563" spans="1:9" x14ac:dyDescent="0.35">
      <c r="A563">
        <v>562</v>
      </c>
      <c r="B563" t="s">
        <v>11</v>
      </c>
      <c r="C563" s="2">
        <v>38133</v>
      </c>
      <c r="D563">
        <f>YEAR(ProductLine[[#This Row],[Date]])</f>
        <v>2004</v>
      </c>
      <c r="E563">
        <f>MONTH(ProductLine[[#This Row],[Date]])</f>
        <v>5</v>
      </c>
      <c r="F563" t="s">
        <v>26</v>
      </c>
      <c r="G563">
        <v>-1</v>
      </c>
      <c r="H563" s="3">
        <v>-0.79289798318866422</v>
      </c>
      <c r="I563" s="3">
        <f>ProductLine[[#This Row],[Units]]*ProductLine[[#This Row],[Dollars]]</f>
        <v>0.79289798318866422</v>
      </c>
    </row>
    <row r="564" spans="1:9" x14ac:dyDescent="0.35">
      <c r="A564">
        <v>563</v>
      </c>
      <c r="B564" t="s">
        <v>11</v>
      </c>
      <c r="C564" s="2">
        <v>38188</v>
      </c>
      <c r="D564">
        <f>YEAR(ProductLine[[#This Row],[Date]])</f>
        <v>2004</v>
      </c>
      <c r="E564">
        <f>MONTH(ProductLine[[#This Row],[Date]])</f>
        <v>7</v>
      </c>
      <c r="F564" t="s">
        <v>27</v>
      </c>
      <c r="G564">
        <v>62</v>
      </c>
      <c r="H564" s="3">
        <v>187.63361707571198</v>
      </c>
      <c r="I564" s="3">
        <f>ProductLine[[#This Row],[Units]]*ProductLine[[#This Row],[Dollars]]</f>
        <v>11633.284258694142</v>
      </c>
    </row>
    <row r="565" spans="1:9" x14ac:dyDescent="0.35">
      <c r="A565">
        <v>564</v>
      </c>
      <c r="B565" t="s">
        <v>11</v>
      </c>
      <c r="C565" s="2">
        <v>38012</v>
      </c>
      <c r="D565">
        <f>YEAR(ProductLine[[#This Row],[Date]])</f>
        <v>2004</v>
      </c>
      <c r="E565">
        <f>MONTH(ProductLine[[#This Row],[Date]])</f>
        <v>1</v>
      </c>
      <c r="F565" t="s">
        <v>24</v>
      </c>
      <c r="G565">
        <v>73</v>
      </c>
      <c r="H565" s="3">
        <v>220.96515803490902</v>
      </c>
      <c r="I565" s="3">
        <f>ProductLine[[#This Row],[Units]]*ProductLine[[#This Row],[Dollars]]</f>
        <v>16130.45653654836</v>
      </c>
    </row>
    <row r="566" spans="1:9" x14ac:dyDescent="0.35">
      <c r="A566">
        <v>565</v>
      </c>
      <c r="B566" t="s">
        <v>10</v>
      </c>
      <c r="C566" s="2">
        <v>38298</v>
      </c>
      <c r="D566">
        <f>YEAR(ProductLine[[#This Row],[Date]])</f>
        <v>2004</v>
      </c>
      <c r="E566">
        <f>MONTH(ProductLine[[#This Row],[Date]])</f>
        <v>11</v>
      </c>
      <c r="F566" t="s">
        <v>25</v>
      </c>
      <c r="G566">
        <v>12</v>
      </c>
      <c r="H566" s="3">
        <v>38.43875396047023</v>
      </c>
      <c r="I566" s="3">
        <f>ProductLine[[#This Row],[Units]]*ProductLine[[#This Row],[Dollars]]</f>
        <v>461.26504752564279</v>
      </c>
    </row>
    <row r="567" spans="1:9" x14ac:dyDescent="0.35">
      <c r="A567">
        <v>566</v>
      </c>
      <c r="B567" t="s">
        <v>15</v>
      </c>
      <c r="C567" s="2">
        <v>38221</v>
      </c>
      <c r="D567">
        <f>YEAR(ProductLine[[#This Row],[Date]])</f>
        <v>2004</v>
      </c>
      <c r="E567">
        <f>MONTH(ProductLine[[#This Row],[Date]])</f>
        <v>8</v>
      </c>
      <c r="F567" t="s">
        <v>27</v>
      </c>
      <c r="G567">
        <v>0</v>
      </c>
      <c r="H567" s="3">
        <v>1.5994060348452668</v>
      </c>
      <c r="I567" s="3">
        <f>ProductLine[[#This Row],[Units]]*ProductLine[[#This Row],[Dollars]]</f>
        <v>0</v>
      </c>
    </row>
    <row r="568" spans="1:9" x14ac:dyDescent="0.35">
      <c r="A568">
        <v>567</v>
      </c>
      <c r="B568" t="s">
        <v>17</v>
      </c>
      <c r="C568" s="2">
        <v>38947</v>
      </c>
      <c r="D568">
        <f>YEAR(ProductLine[[#This Row],[Date]])</f>
        <v>2006</v>
      </c>
      <c r="E568">
        <f>MONTH(ProductLine[[#This Row],[Date]])</f>
        <v>8</v>
      </c>
      <c r="F568" t="s">
        <v>26</v>
      </c>
      <c r="G568">
        <v>23</v>
      </c>
      <c r="H568" s="3">
        <v>71.39535724005502</v>
      </c>
      <c r="I568" s="3">
        <f>ProductLine[[#This Row],[Units]]*ProductLine[[#This Row],[Dollars]]</f>
        <v>1642.0932165212655</v>
      </c>
    </row>
    <row r="569" spans="1:9" x14ac:dyDescent="0.35">
      <c r="A569">
        <v>568</v>
      </c>
      <c r="B569" t="s">
        <v>17</v>
      </c>
      <c r="C569" s="2">
        <v>38375</v>
      </c>
      <c r="D569">
        <f>YEAR(ProductLine[[#This Row],[Date]])</f>
        <v>2005</v>
      </c>
      <c r="E569">
        <f>MONTH(ProductLine[[#This Row],[Date]])</f>
        <v>1</v>
      </c>
      <c r="F569" t="s">
        <v>26</v>
      </c>
      <c r="G569">
        <v>73</v>
      </c>
      <c r="H569" s="3">
        <v>220.80778472883722</v>
      </c>
      <c r="I569" s="3">
        <f>ProductLine[[#This Row],[Units]]*ProductLine[[#This Row],[Dollars]]</f>
        <v>16118.968285205117</v>
      </c>
    </row>
    <row r="570" spans="1:9" x14ac:dyDescent="0.35">
      <c r="A570">
        <v>569</v>
      </c>
      <c r="B570" t="s">
        <v>16</v>
      </c>
      <c r="C570" s="2">
        <v>38507</v>
      </c>
      <c r="D570">
        <f>YEAR(ProductLine[[#This Row],[Date]])</f>
        <v>2005</v>
      </c>
      <c r="E570">
        <f>MONTH(ProductLine[[#This Row],[Date]])</f>
        <v>6</v>
      </c>
      <c r="F570" t="s">
        <v>23</v>
      </c>
      <c r="G570">
        <v>73</v>
      </c>
      <c r="H570" s="3">
        <v>221.78112807048697</v>
      </c>
      <c r="I570" s="3">
        <f>ProductLine[[#This Row],[Units]]*ProductLine[[#This Row],[Dollars]]</f>
        <v>16190.022349145549</v>
      </c>
    </row>
    <row r="571" spans="1:9" x14ac:dyDescent="0.35">
      <c r="A571">
        <v>570</v>
      </c>
      <c r="B571" t="s">
        <v>15</v>
      </c>
      <c r="C571" s="2">
        <v>38430</v>
      </c>
      <c r="D571">
        <f>YEAR(ProductLine[[#This Row],[Date]])</f>
        <v>2005</v>
      </c>
      <c r="E571">
        <f>MONTH(ProductLine[[#This Row],[Date]])</f>
        <v>3</v>
      </c>
      <c r="F571" t="s">
        <v>24</v>
      </c>
      <c r="G571">
        <v>43</v>
      </c>
      <c r="H571" s="3">
        <v>131.05809583118935</v>
      </c>
      <c r="I571" s="3">
        <f>ProductLine[[#This Row],[Units]]*ProductLine[[#This Row],[Dollars]]</f>
        <v>5635.498120741142</v>
      </c>
    </row>
    <row r="572" spans="1:9" x14ac:dyDescent="0.35">
      <c r="A572">
        <v>571</v>
      </c>
      <c r="B572" t="s">
        <v>10</v>
      </c>
      <c r="C572" s="2">
        <v>38925</v>
      </c>
      <c r="D572">
        <f>YEAR(ProductLine[[#This Row],[Date]])</f>
        <v>2006</v>
      </c>
      <c r="E572">
        <f>MONTH(ProductLine[[#This Row],[Date]])</f>
        <v>7</v>
      </c>
      <c r="F572" t="s">
        <v>25</v>
      </c>
      <c r="G572">
        <v>60</v>
      </c>
      <c r="H572" s="3">
        <v>182.29246065825532</v>
      </c>
      <c r="I572" s="3">
        <f>ProductLine[[#This Row],[Units]]*ProductLine[[#This Row],[Dollars]]</f>
        <v>10937.547639495318</v>
      </c>
    </row>
    <row r="573" spans="1:9" x14ac:dyDescent="0.35">
      <c r="A573">
        <v>572</v>
      </c>
      <c r="B573" t="s">
        <v>15</v>
      </c>
      <c r="C573" s="2">
        <v>39057</v>
      </c>
      <c r="D573">
        <f>YEAR(ProductLine[[#This Row],[Date]])</f>
        <v>2006</v>
      </c>
      <c r="E573">
        <f>MONTH(ProductLine[[#This Row],[Date]])</f>
        <v>12</v>
      </c>
      <c r="F573" t="s">
        <v>23</v>
      </c>
      <c r="G573">
        <v>40</v>
      </c>
      <c r="H573" s="3">
        <v>121.86602847443184</v>
      </c>
      <c r="I573" s="3">
        <f>ProductLine[[#This Row],[Units]]*ProductLine[[#This Row],[Dollars]]</f>
        <v>4874.6411389772738</v>
      </c>
    </row>
    <row r="574" spans="1:9" x14ac:dyDescent="0.35">
      <c r="A574">
        <v>573</v>
      </c>
      <c r="B574" t="s">
        <v>16</v>
      </c>
      <c r="C574" s="2">
        <v>38562</v>
      </c>
      <c r="D574">
        <f>YEAR(ProductLine[[#This Row],[Date]])</f>
        <v>2005</v>
      </c>
      <c r="E574">
        <f>MONTH(ProductLine[[#This Row],[Date]])</f>
        <v>7</v>
      </c>
      <c r="F574" t="s">
        <v>23</v>
      </c>
      <c r="G574">
        <v>-7</v>
      </c>
      <c r="H574" s="3">
        <v>-18.9155229231676</v>
      </c>
      <c r="I574" s="3">
        <f>ProductLine[[#This Row],[Units]]*ProductLine[[#This Row],[Dollars]]</f>
        <v>132.4086604621732</v>
      </c>
    </row>
    <row r="575" spans="1:9" x14ac:dyDescent="0.35">
      <c r="A575">
        <v>574</v>
      </c>
      <c r="B575" t="s">
        <v>9</v>
      </c>
      <c r="C575" s="2">
        <v>38254</v>
      </c>
      <c r="D575">
        <f>YEAR(ProductLine[[#This Row],[Date]])</f>
        <v>2004</v>
      </c>
      <c r="E575">
        <f>MONTH(ProductLine[[#This Row],[Date]])</f>
        <v>9</v>
      </c>
      <c r="F575" t="s">
        <v>24</v>
      </c>
      <c r="G575">
        <v>39</v>
      </c>
      <c r="H575" s="3">
        <v>118.36577315011976</v>
      </c>
      <c r="I575" s="3">
        <f>ProductLine[[#This Row],[Units]]*ProductLine[[#This Row],[Dollars]]</f>
        <v>4616.2651528546712</v>
      </c>
    </row>
    <row r="576" spans="1:9" x14ac:dyDescent="0.35">
      <c r="A576">
        <v>575</v>
      </c>
      <c r="B576" t="s">
        <v>13</v>
      </c>
      <c r="C576" s="2">
        <v>38353</v>
      </c>
      <c r="D576">
        <f>YEAR(ProductLine[[#This Row],[Date]])</f>
        <v>2005</v>
      </c>
      <c r="E576">
        <f>MONTH(ProductLine[[#This Row],[Date]])</f>
        <v>1</v>
      </c>
      <c r="F576" t="s">
        <v>27</v>
      </c>
      <c r="G576">
        <v>84</v>
      </c>
      <c r="H576" s="3">
        <v>253.79033414178701</v>
      </c>
      <c r="I576" s="3">
        <f>ProductLine[[#This Row],[Units]]*ProductLine[[#This Row],[Dollars]]</f>
        <v>21318.388067910109</v>
      </c>
    </row>
    <row r="577" spans="1:9" x14ac:dyDescent="0.35">
      <c r="A577">
        <v>576</v>
      </c>
      <c r="B577" t="s">
        <v>16</v>
      </c>
      <c r="C577" s="2">
        <v>38837</v>
      </c>
      <c r="D577">
        <f>YEAR(ProductLine[[#This Row],[Date]])</f>
        <v>2006</v>
      </c>
      <c r="E577">
        <f>MONTH(ProductLine[[#This Row],[Date]])</f>
        <v>4</v>
      </c>
      <c r="F577" t="s">
        <v>25</v>
      </c>
      <c r="G577">
        <v>92</v>
      </c>
      <c r="H577" s="3">
        <v>277.80911377540116</v>
      </c>
      <c r="I577" s="3">
        <f>ProductLine[[#This Row],[Units]]*ProductLine[[#This Row],[Dollars]]</f>
        <v>25558.438467336906</v>
      </c>
    </row>
    <row r="578" spans="1:9" x14ac:dyDescent="0.35">
      <c r="A578">
        <v>577</v>
      </c>
      <c r="B578" t="s">
        <v>10</v>
      </c>
      <c r="C578" s="2">
        <v>38628</v>
      </c>
      <c r="D578">
        <f>YEAR(ProductLine[[#This Row],[Date]])</f>
        <v>2005</v>
      </c>
      <c r="E578">
        <f>MONTH(ProductLine[[#This Row],[Date]])</f>
        <v>10</v>
      </c>
      <c r="F578" t="s">
        <v>27</v>
      </c>
      <c r="G578">
        <v>68</v>
      </c>
      <c r="H578" s="3">
        <v>206.08318598884486</v>
      </c>
      <c r="I578" s="3">
        <f>ProductLine[[#This Row],[Units]]*ProductLine[[#This Row],[Dollars]]</f>
        <v>14013.656647241451</v>
      </c>
    </row>
    <row r="579" spans="1:9" x14ac:dyDescent="0.35">
      <c r="A579">
        <v>578</v>
      </c>
      <c r="B579" t="s">
        <v>10</v>
      </c>
      <c r="C579" s="2">
        <v>38298</v>
      </c>
      <c r="D579">
        <f>YEAR(ProductLine[[#This Row],[Date]])</f>
        <v>2004</v>
      </c>
      <c r="E579">
        <f>MONTH(ProductLine[[#This Row],[Date]])</f>
        <v>11</v>
      </c>
      <c r="F579" t="s">
        <v>23</v>
      </c>
      <c r="G579">
        <v>7</v>
      </c>
      <c r="H579" s="3">
        <v>23.192583270070902</v>
      </c>
      <c r="I579" s="3">
        <f>ProductLine[[#This Row],[Units]]*ProductLine[[#This Row],[Dollars]]</f>
        <v>162.3480828904963</v>
      </c>
    </row>
    <row r="580" spans="1:9" x14ac:dyDescent="0.35">
      <c r="A580">
        <v>579</v>
      </c>
      <c r="B580" t="s">
        <v>12</v>
      </c>
      <c r="C580" s="2">
        <v>39002</v>
      </c>
      <c r="D580">
        <f>YEAR(ProductLine[[#This Row],[Date]])</f>
        <v>2006</v>
      </c>
      <c r="E580">
        <f>MONTH(ProductLine[[#This Row],[Date]])</f>
        <v>10</v>
      </c>
      <c r="F580" t="s">
        <v>26</v>
      </c>
      <c r="G580">
        <v>-9</v>
      </c>
      <c r="H580" s="3">
        <v>-24.836237139949766</v>
      </c>
      <c r="I580" s="3">
        <f>ProductLine[[#This Row],[Units]]*ProductLine[[#This Row],[Dollars]]</f>
        <v>223.52613425954789</v>
      </c>
    </row>
    <row r="581" spans="1:9" x14ac:dyDescent="0.35">
      <c r="A581">
        <v>580</v>
      </c>
      <c r="B581" t="s">
        <v>17</v>
      </c>
      <c r="C581" s="2">
        <v>38639</v>
      </c>
      <c r="D581">
        <f>YEAR(ProductLine[[#This Row],[Date]])</f>
        <v>2005</v>
      </c>
      <c r="E581">
        <f>MONTH(ProductLine[[#This Row],[Date]])</f>
        <v>10</v>
      </c>
      <c r="F581" t="s">
        <v>27</v>
      </c>
      <c r="G581">
        <v>51</v>
      </c>
      <c r="H581" s="3">
        <v>154.40065127641515</v>
      </c>
      <c r="I581" s="3">
        <f>ProductLine[[#This Row],[Units]]*ProductLine[[#This Row],[Dollars]]</f>
        <v>7874.4332150971723</v>
      </c>
    </row>
    <row r="582" spans="1:9" x14ac:dyDescent="0.35">
      <c r="A582">
        <v>581</v>
      </c>
      <c r="B582" t="s">
        <v>10</v>
      </c>
      <c r="C582" s="2">
        <v>38683</v>
      </c>
      <c r="D582">
        <f>YEAR(ProductLine[[#This Row],[Date]])</f>
        <v>2005</v>
      </c>
      <c r="E582">
        <f>MONTH(ProductLine[[#This Row],[Date]])</f>
        <v>11</v>
      </c>
      <c r="F582" t="s">
        <v>23</v>
      </c>
      <c r="G582">
        <v>59</v>
      </c>
      <c r="H582" s="3">
        <v>178.89731679899467</v>
      </c>
      <c r="I582" s="3">
        <f>ProductLine[[#This Row],[Units]]*ProductLine[[#This Row],[Dollars]]</f>
        <v>10554.941691140686</v>
      </c>
    </row>
    <row r="583" spans="1:9" x14ac:dyDescent="0.35">
      <c r="A583">
        <v>582</v>
      </c>
      <c r="B583" t="s">
        <v>14</v>
      </c>
      <c r="C583" s="2">
        <v>38661</v>
      </c>
      <c r="D583">
        <f>YEAR(ProductLine[[#This Row],[Date]])</f>
        <v>2005</v>
      </c>
      <c r="E583">
        <f>MONTH(ProductLine[[#This Row],[Date]])</f>
        <v>11</v>
      </c>
      <c r="F583" t="s">
        <v>27</v>
      </c>
      <c r="G583">
        <v>64</v>
      </c>
      <c r="H583" s="3">
        <v>194.44151134010454</v>
      </c>
      <c r="I583" s="3">
        <f>ProductLine[[#This Row],[Units]]*ProductLine[[#This Row],[Dollars]]</f>
        <v>12444.256725766691</v>
      </c>
    </row>
    <row r="584" spans="1:9" x14ac:dyDescent="0.35">
      <c r="A584">
        <v>583</v>
      </c>
      <c r="B584" t="s">
        <v>17</v>
      </c>
      <c r="C584" s="2">
        <v>38672</v>
      </c>
      <c r="D584">
        <f>YEAR(ProductLine[[#This Row],[Date]])</f>
        <v>2005</v>
      </c>
      <c r="E584">
        <f>MONTH(ProductLine[[#This Row],[Date]])</f>
        <v>11</v>
      </c>
      <c r="F584" t="s">
        <v>23</v>
      </c>
      <c r="G584">
        <v>0</v>
      </c>
      <c r="H584" s="3">
        <v>2.516330534249033</v>
      </c>
      <c r="I584" s="3">
        <f>ProductLine[[#This Row],[Units]]*ProductLine[[#This Row],[Dollars]]</f>
        <v>0</v>
      </c>
    </row>
    <row r="585" spans="1:9" x14ac:dyDescent="0.35">
      <c r="A585">
        <v>584</v>
      </c>
      <c r="B585" t="s">
        <v>16</v>
      </c>
      <c r="C585" s="2">
        <v>38397</v>
      </c>
      <c r="D585">
        <f>YEAR(ProductLine[[#This Row],[Date]])</f>
        <v>2005</v>
      </c>
      <c r="E585">
        <f>MONTH(ProductLine[[#This Row],[Date]])</f>
        <v>2</v>
      </c>
      <c r="F585" t="s">
        <v>27</v>
      </c>
      <c r="G585">
        <v>81</v>
      </c>
      <c r="H585" s="3">
        <v>243.81590205081088</v>
      </c>
      <c r="I585" s="3">
        <f>ProductLine[[#This Row],[Units]]*ProductLine[[#This Row],[Dollars]]</f>
        <v>19749.088066115681</v>
      </c>
    </row>
    <row r="586" spans="1:9" x14ac:dyDescent="0.35">
      <c r="A586">
        <v>585</v>
      </c>
      <c r="B586" t="s">
        <v>15</v>
      </c>
      <c r="C586" s="2">
        <v>38452</v>
      </c>
      <c r="D586">
        <f>YEAR(ProductLine[[#This Row],[Date]])</f>
        <v>2005</v>
      </c>
      <c r="E586">
        <f>MONTH(ProductLine[[#This Row],[Date]])</f>
        <v>4</v>
      </c>
      <c r="F586" t="s">
        <v>25</v>
      </c>
      <c r="G586">
        <v>93</v>
      </c>
      <c r="H586" s="3">
        <v>280.7978115895645</v>
      </c>
      <c r="I586" s="3">
        <f>ProductLine[[#This Row],[Units]]*ProductLine[[#This Row],[Dollars]]</f>
        <v>26114.196477829501</v>
      </c>
    </row>
    <row r="587" spans="1:9" x14ac:dyDescent="0.35">
      <c r="A587">
        <v>586</v>
      </c>
      <c r="B587" t="s">
        <v>17</v>
      </c>
      <c r="C587" s="2">
        <v>38749</v>
      </c>
      <c r="D587">
        <f>YEAR(ProductLine[[#This Row],[Date]])</f>
        <v>2006</v>
      </c>
      <c r="E587">
        <f>MONTH(ProductLine[[#This Row],[Date]])</f>
        <v>2</v>
      </c>
      <c r="F587" t="s">
        <v>23</v>
      </c>
      <c r="G587">
        <v>20</v>
      </c>
      <c r="H587" s="3">
        <v>61.967424849894947</v>
      </c>
      <c r="I587" s="3">
        <f>ProductLine[[#This Row],[Units]]*ProductLine[[#This Row],[Dollars]]</f>
        <v>1239.348496997899</v>
      </c>
    </row>
    <row r="588" spans="1:9" x14ac:dyDescent="0.35">
      <c r="A588">
        <v>587</v>
      </c>
      <c r="B588" t="s">
        <v>11</v>
      </c>
      <c r="C588" s="2">
        <v>38507</v>
      </c>
      <c r="D588">
        <f>YEAR(ProductLine[[#This Row],[Date]])</f>
        <v>2005</v>
      </c>
      <c r="E588">
        <f>MONTH(ProductLine[[#This Row],[Date]])</f>
        <v>6</v>
      </c>
      <c r="F588" t="s">
        <v>26</v>
      </c>
      <c r="G588">
        <v>39</v>
      </c>
      <c r="H588" s="3">
        <v>119.9083594229058</v>
      </c>
      <c r="I588" s="3">
        <f>ProductLine[[#This Row],[Units]]*ProductLine[[#This Row],[Dollars]]</f>
        <v>4676.4260174933261</v>
      </c>
    </row>
    <row r="589" spans="1:9" x14ac:dyDescent="0.35">
      <c r="A589">
        <v>588</v>
      </c>
      <c r="B589" t="s">
        <v>14</v>
      </c>
      <c r="C589" s="2">
        <v>38287</v>
      </c>
      <c r="D589">
        <f>YEAR(ProductLine[[#This Row],[Date]])</f>
        <v>2004</v>
      </c>
      <c r="E589">
        <f>MONTH(ProductLine[[#This Row],[Date]])</f>
        <v>10</v>
      </c>
      <c r="F589" t="s">
        <v>24</v>
      </c>
      <c r="G589">
        <v>6</v>
      </c>
      <c r="H589" s="3">
        <v>20.018331980892231</v>
      </c>
      <c r="I589" s="3">
        <f>ProductLine[[#This Row],[Units]]*ProductLine[[#This Row],[Dollars]]</f>
        <v>120.10999188535339</v>
      </c>
    </row>
    <row r="590" spans="1:9" x14ac:dyDescent="0.35">
      <c r="A590">
        <v>589</v>
      </c>
      <c r="B590" t="s">
        <v>14</v>
      </c>
      <c r="C590" s="2">
        <v>38034</v>
      </c>
      <c r="D590">
        <f>YEAR(ProductLine[[#This Row],[Date]])</f>
        <v>2004</v>
      </c>
      <c r="E590">
        <f>MONTH(ProductLine[[#This Row],[Date]])</f>
        <v>2</v>
      </c>
      <c r="F590" t="s">
        <v>24</v>
      </c>
      <c r="G590">
        <v>34</v>
      </c>
      <c r="H590" s="3">
        <v>103.67942872150846</v>
      </c>
      <c r="I590" s="3">
        <f>ProductLine[[#This Row],[Units]]*ProductLine[[#This Row],[Dollars]]</f>
        <v>3525.1005765312875</v>
      </c>
    </row>
    <row r="591" spans="1:9" x14ac:dyDescent="0.35">
      <c r="A591">
        <v>590</v>
      </c>
      <c r="B591" t="s">
        <v>10</v>
      </c>
      <c r="C591" s="2">
        <v>38749</v>
      </c>
      <c r="D591">
        <f>YEAR(ProductLine[[#This Row],[Date]])</f>
        <v>2006</v>
      </c>
      <c r="E591">
        <f>MONTH(ProductLine[[#This Row],[Date]])</f>
        <v>2</v>
      </c>
      <c r="F591" t="s">
        <v>23</v>
      </c>
      <c r="G591">
        <v>33</v>
      </c>
      <c r="H591" s="3">
        <v>101.31101808549928</v>
      </c>
      <c r="I591" s="3">
        <f>ProductLine[[#This Row],[Units]]*ProductLine[[#This Row],[Dollars]]</f>
        <v>3343.2635968214763</v>
      </c>
    </row>
    <row r="592" spans="1:9" x14ac:dyDescent="0.35">
      <c r="A592">
        <v>591</v>
      </c>
      <c r="B592" t="s">
        <v>11</v>
      </c>
      <c r="C592" s="2">
        <v>38001</v>
      </c>
      <c r="D592">
        <f>YEAR(ProductLine[[#This Row],[Date]])</f>
        <v>2004</v>
      </c>
      <c r="E592">
        <f>MONTH(ProductLine[[#This Row],[Date]])</f>
        <v>1</v>
      </c>
      <c r="F592" t="s">
        <v>25</v>
      </c>
      <c r="G592">
        <v>-10</v>
      </c>
      <c r="H592" s="3">
        <v>-28.463885870908516</v>
      </c>
      <c r="I592" s="3">
        <f>ProductLine[[#This Row],[Units]]*ProductLine[[#This Row],[Dollars]]</f>
        <v>284.63885870908518</v>
      </c>
    </row>
    <row r="593" spans="1:9" x14ac:dyDescent="0.35">
      <c r="A593">
        <v>592</v>
      </c>
      <c r="B593" t="s">
        <v>17</v>
      </c>
      <c r="C593" s="2">
        <v>38936</v>
      </c>
      <c r="D593">
        <f>YEAR(ProductLine[[#This Row],[Date]])</f>
        <v>2006</v>
      </c>
      <c r="E593">
        <f>MONTH(ProductLine[[#This Row],[Date]])</f>
        <v>8</v>
      </c>
      <c r="F593" t="s">
        <v>26</v>
      </c>
      <c r="G593">
        <v>47</v>
      </c>
      <c r="H593" s="3">
        <v>141.97140662710891</v>
      </c>
      <c r="I593" s="3">
        <f>ProductLine[[#This Row],[Units]]*ProductLine[[#This Row],[Dollars]]</f>
        <v>6672.6561114741189</v>
      </c>
    </row>
    <row r="594" spans="1:9" x14ac:dyDescent="0.35">
      <c r="A594">
        <v>593</v>
      </c>
      <c r="B594" t="s">
        <v>15</v>
      </c>
      <c r="C594" s="2">
        <v>38001</v>
      </c>
      <c r="D594">
        <f>YEAR(ProductLine[[#This Row],[Date]])</f>
        <v>2004</v>
      </c>
      <c r="E594">
        <f>MONTH(ProductLine[[#This Row],[Date]])</f>
        <v>1</v>
      </c>
      <c r="F594" t="s">
        <v>24</v>
      </c>
      <c r="G594">
        <v>94</v>
      </c>
      <c r="H594" s="3">
        <v>284.61276074739663</v>
      </c>
      <c r="I594" s="3">
        <f>ProductLine[[#This Row],[Units]]*ProductLine[[#This Row],[Dollars]]</f>
        <v>26753.599510255284</v>
      </c>
    </row>
    <row r="595" spans="1:9" x14ac:dyDescent="0.35">
      <c r="A595">
        <v>594</v>
      </c>
      <c r="B595" t="s">
        <v>10</v>
      </c>
      <c r="C595" s="2">
        <v>38870</v>
      </c>
      <c r="D595">
        <f>YEAR(ProductLine[[#This Row],[Date]])</f>
        <v>2006</v>
      </c>
      <c r="E595">
        <f>MONTH(ProductLine[[#This Row],[Date]])</f>
        <v>6</v>
      </c>
      <c r="F595" t="s">
        <v>24</v>
      </c>
      <c r="G595">
        <v>92</v>
      </c>
      <c r="H595" s="3">
        <v>278.22640918878471</v>
      </c>
      <c r="I595" s="3">
        <f>ProductLine[[#This Row],[Units]]*ProductLine[[#This Row],[Dollars]]</f>
        <v>25596.829645368194</v>
      </c>
    </row>
    <row r="596" spans="1:9" x14ac:dyDescent="0.35">
      <c r="A596">
        <v>595</v>
      </c>
      <c r="B596" t="s">
        <v>13</v>
      </c>
      <c r="C596" s="2">
        <v>38364</v>
      </c>
      <c r="D596">
        <f>YEAR(ProductLine[[#This Row],[Date]])</f>
        <v>2005</v>
      </c>
      <c r="E596">
        <f>MONTH(ProductLine[[#This Row],[Date]])</f>
        <v>1</v>
      </c>
      <c r="F596" t="s">
        <v>23</v>
      </c>
      <c r="G596">
        <v>68</v>
      </c>
      <c r="H596" s="3">
        <v>205.95905527766212</v>
      </c>
      <c r="I596" s="3">
        <f>ProductLine[[#This Row],[Units]]*ProductLine[[#This Row],[Dollars]]</f>
        <v>14005.215758881024</v>
      </c>
    </row>
    <row r="597" spans="1:9" x14ac:dyDescent="0.35">
      <c r="A597">
        <v>596</v>
      </c>
      <c r="B597" t="s">
        <v>16</v>
      </c>
      <c r="C597" s="2">
        <v>38067</v>
      </c>
      <c r="D597">
        <f>YEAR(ProductLine[[#This Row],[Date]])</f>
        <v>2004</v>
      </c>
      <c r="E597">
        <f>MONTH(ProductLine[[#This Row],[Date]])</f>
        <v>3</v>
      </c>
      <c r="F597" t="s">
        <v>23</v>
      </c>
      <c r="G597">
        <v>37</v>
      </c>
      <c r="H597" s="3">
        <v>112.85151912863849</v>
      </c>
      <c r="I597" s="3">
        <f>ProductLine[[#This Row],[Units]]*ProductLine[[#This Row],[Dollars]]</f>
        <v>4175.506207759624</v>
      </c>
    </row>
    <row r="598" spans="1:9" x14ac:dyDescent="0.35">
      <c r="A598">
        <v>597</v>
      </c>
      <c r="B598" t="s">
        <v>15</v>
      </c>
      <c r="C598" s="2">
        <v>38188</v>
      </c>
      <c r="D598">
        <f>YEAR(ProductLine[[#This Row],[Date]])</f>
        <v>2004</v>
      </c>
      <c r="E598">
        <f>MONTH(ProductLine[[#This Row],[Date]])</f>
        <v>7</v>
      </c>
      <c r="F598" t="s">
        <v>26</v>
      </c>
      <c r="G598">
        <v>78</v>
      </c>
      <c r="H598" s="3">
        <v>235.37144026519812</v>
      </c>
      <c r="I598" s="3">
        <f>ProductLine[[#This Row],[Units]]*ProductLine[[#This Row],[Dollars]]</f>
        <v>18358.972340685454</v>
      </c>
    </row>
    <row r="599" spans="1:9" x14ac:dyDescent="0.35">
      <c r="A599">
        <v>598</v>
      </c>
      <c r="B599" t="s">
        <v>10</v>
      </c>
      <c r="C599" s="2">
        <v>39057</v>
      </c>
      <c r="D599">
        <f>YEAR(ProductLine[[#This Row],[Date]])</f>
        <v>2006</v>
      </c>
      <c r="E599">
        <f>MONTH(ProductLine[[#This Row],[Date]])</f>
        <v>12</v>
      </c>
      <c r="F599" t="s">
        <v>26</v>
      </c>
      <c r="G599">
        <v>14</v>
      </c>
      <c r="H599" s="3">
        <v>43.756013144501985</v>
      </c>
      <c r="I599" s="3">
        <f>ProductLine[[#This Row],[Units]]*ProductLine[[#This Row],[Dollars]]</f>
        <v>612.58418402302777</v>
      </c>
    </row>
    <row r="600" spans="1:9" x14ac:dyDescent="0.35">
      <c r="A600">
        <v>599</v>
      </c>
      <c r="B600" t="s">
        <v>17</v>
      </c>
      <c r="C600" s="2">
        <v>39024</v>
      </c>
      <c r="D600">
        <f>YEAR(ProductLine[[#This Row],[Date]])</f>
        <v>2006</v>
      </c>
      <c r="E600">
        <f>MONTH(ProductLine[[#This Row],[Date]])</f>
        <v>11</v>
      </c>
      <c r="F600" t="s">
        <v>24</v>
      </c>
      <c r="G600">
        <v>33</v>
      </c>
      <c r="H600" s="3">
        <v>100.54958475062591</v>
      </c>
      <c r="I600" s="3">
        <f>ProductLine[[#This Row],[Units]]*ProductLine[[#This Row],[Dollars]]</f>
        <v>3318.136296770655</v>
      </c>
    </row>
    <row r="601" spans="1:9" x14ac:dyDescent="0.35">
      <c r="A601">
        <v>600</v>
      </c>
      <c r="B601" t="s">
        <v>15</v>
      </c>
      <c r="C601" s="2">
        <v>38155</v>
      </c>
      <c r="D601">
        <f>YEAR(ProductLine[[#This Row],[Date]])</f>
        <v>2004</v>
      </c>
      <c r="E601">
        <f>MONTH(ProductLine[[#This Row],[Date]])</f>
        <v>6</v>
      </c>
      <c r="F601" t="s">
        <v>26</v>
      </c>
      <c r="G601">
        <v>64</v>
      </c>
      <c r="H601" s="3">
        <v>194.18188189830369</v>
      </c>
      <c r="I601" s="3">
        <f>ProductLine[[#This Row],[Units]]*ProductLine[[#This Row],[Dollars]]</f>
        <v>12427.640441491436</v>
      </c>
    </row>
    <row r="602" spans="1:9" x14ac:dyDescent="0.35">
      <c r="A602">
        <v>601</v>
      </c>
      <c r="B602" t="s">
        <v>12</v>
      </c>
      <c r="C602" s="2">
        <v>38936</v>
      </c>
      <c r="D602">
        <f>YEAR(ProductLine[[#This Row],[Date]])</f>
        <v>2006</v>
      </c>
      <c r="E602">
        <f>MONTH(ProductLine[[#This Row],[Date]])</f>
        <v>8</v>
      </c>
      <c r="F602" t="s">
        <v>23</v>
      </c>
      <c r="G602">
        <v>6</v>
      </c>
      <c r="H602" s="3">
        <v>20.229703821540529</v>
      </c>
      <c r="I602" s="3">
        <f>ProductLine[[#This Row],[Units]]*ProductLine[[#This Row],[Dollars]]</f>
        <v>121.37822292924318</v>
      </c>
    </row>
    <row r="603" spans="1:9" x14ac:dyDescent="0.35">
      <c r="A603">
        <v>602</v>
      </c>
      <c r="B603" t="s">
        <v>17</v>
      </c>
      <c r="C603" s="2">
        <v>38870</v>
      </c>
      <c r="D603">
        <f>YEAR(ProductLine[[#This Row],[Date]])</f>
        <v>2006</v>
      </c>
      <c r="E603">
        <f>MONTH(ProductLine[[#This Row],[Date]])</f>
        <v>6</v>
      </c>
      <c r="F603" t="s">
        <v>25</v>
      </c>
      <c r="G603">
        <v>65</v>
      </c>
      <c r="H603" s="3">
        <v>197.4890682991998</v>
      </c>
      <c r="I603" s="3">
        <f>ProductLine[[#This Row],[Units]]*ProductLine[[#This Row],[Dollars]]</f>
        <v>12836.789439447986</v>
      </c>
    </row>
    <row r="604" spans="1:9" x14ac:dyDescent="0.35">
      <c r="A604">
        <v>603</v>
      </c>
      <c r="B604" t="s">
        <v>9</v>
      </c>
      <c r="C604" s="2">
        <v>38001</v>
      </c>
      <c r="D604">
        <f>YEAR(ProductLine[[#This Row],[Date]])</f>
        <v>2004</v>
      </c>
      <c r="E604">
        <f>MONTH(ProductLine[[#This Row],[Date]])</f>
        <v>1</v>
      </c>
      <c r="F604" t="s">
        <v>27</v>
      </c>
      <c r="G604">
        <v>24</v>
      </c>
      <c r="H604" s="3">
        <v>74.283089497229128</v>
      </c>
      <c r="I604" s="3">
        <f>ProductLine[[#This Row],[Units]]*ProductLine[[#This Row],[Dollars]]</f>
        <v>1782.7941479334991</v>
      </c>
    </row>
    <row r="605" spans="1:9" x14ac:dyDescent="0.35">
      <c r="A605">
        <v>604</v>
      </c>
      <c r="B605" t="s">
        <v>13</v>
      </c>
      <c r="C605" s="2">
        <v>38705</v>
      </c>
      <c r="D605">
        <f>YEAR(ProductLine[[#This Row],[Date]])</f>
        <v>2005</v>
      </c>
      <c r="E605">
        <f>MONTH(ProductLine[[#This Row],[Date]])</f>
        <v>12</v>
      </c>
      <c r="F605" t="s">
        <v>25</v>
      </c>
      <c r="G605">
        <v>89</v>
      </c>
      <c r="H605" s="3">
        <v>269.00888504806545</v>
      </c>
      <c r="I605" s="3">
        <f>ProductLine[[#This Row],[Units]]*ProductLine[[#This Row],[Dollars]]</f>
        <v>23941.790769277824</v>
      </c>
    </row>
    <row r="606" spans="1:9" x14ac:dyDescent="0.35">
      <c r="A606">
        <v>605</v>
      </c>
      <c r="B606" t="s">
        <v>13</v>
      </c>
      <c r="C606" s="2">
        <v>38628</v>
      </c>
      <c r="D606">
        <f>YEAR(ProductLine[[#This Row],[Date]])</f>
        <v>2005</v>
      </c>
      <c r="E606">
        <f>MONTH(ProductLine[[#This Row],[Date]])</f>
        <v>10</v>
      </c>
      <c r="F606" t="s">
        <v>27</v>
      </c>
      <c r="G606">
        <v>94</v>
      </c>
      <c r="H606" s="3">
        <v>284.24987523561106</v>
      </c>
      <c r="I606" s="3">
        <f>ProductLine[[#This Row],[Units]]*ProductLine[[#This Row],[Dollars]]</f>
        <v>26719.488272147439</v>
      </c>
    </row>
    <row r="607" spans="1:9" x14ac:dyDescent="0.35">
      <c r="A607">
        <v>606</v>
      </c>
      <c r="B607" t="s">
        <v>12</v>
      </c>
      <c r="C607" s="2">
        <v>38694</v>
      </c>
      <c r="D607">
        <f>YEAR(ProductLine[[#This Row],[Date]])</f>
        <v>2005</v>
      </c>
      <c r="E607">
        <f>MONTH(ProductLine[[#This Row],[Date]])</f>
        <v>12</v>
      </c>
      <c r="F607" t="s">
        <v>24</v>
      </c>
      <c r="G607">
        <v>67</v>
      </c>
      <c r="H607" s="3">
        <v>203.71315269974144</v>
      </c>
      <c r="I607" s="3">
        <f>ProductLine[[#This Row],[Units]]*ProductLine[[#This Row],[Dollars]]</f>
        <v>13648.781230882676</v>
      </c>
    </row>
    <row r="608" spans="1:9" x14ac:dyDescent="0.35">
      <c r="A608">
        <v>607</v>
      </c>
      <c r="B608" t="s">
        <v>13</v>
      </c>
      <c r="C608" s="2">
        <v>38210</v>
      </c>
      <c r="D608">
        <f>YEAR(ProductLine[[#This Row],[Date]])</f>
        <v>2004</v>
      </c>
      <c r="E608">
        <f>MONTH(ProductLine[[#This Row],[Date]])</f>
        <v>8</v>
      </c>
      <c r="F608" t="s">
        <v>27</v>
      </c>
      <c r="G608">
        <v>7</v>
      </c>
      <c r="H608" s="3">
        <v>23.434372885216568</v>
      </c>
      <c r="I608" s="3">
        <f>ProductLine[[#This Row],[Units]]*ProductLine[[#This Row],[Dollars]]</f>
        <v>164.04061019651598</v>
      </c>
    </row>
    <row r="609" spans="1:9" x14ac:dyDescent="0.35">
      <c r="A609">
        <v>608</v>
      </c>
      <c r="B609" t="s">
        <v>13</v>
      </c>
      <c r="C609" s="2">
        <v>38254</v>
      </c>
      <c r="D609">
        <f>YEAR(ProductLine[[#This Row],[Date]])</f>
        <v>2004</v>
      </c>
      <c r="E609">
        <f>MONTH(ProductLine[[#This Row],[Date]])</f>
        <v>9</v>
      </c>
      <c r="F609" t="s">
        <v>24</v>
      </c>
      <c r="G609">
        <v>58</v>
      </c>
      <c r="H609" s="3">
        <v>176.00311303023639</v>
      </c>
      <c r="I609" s="3">
        <f>ProductLine[[#This Row],[Units]]*ProductLine[[#This Row],[Dollars]]</f>
        <v>10208.18055575371</v>
      </c>
    </row>
    <row r="610" spans="1:9" x14ac:dyDescent="0.35">
      <c r="A610">
        <v>609</v>
      </c>
      <c r="B610" t="s">
        <v>16</v>
      </c>
      <c r="C610" s="2">
        <v>38155</v>
      </c>
      <c r="D610">
        <f>YEAR(ProductLine[[#This Row],[Date]])</f>
        <v>2004</v>
      </c>
      <c r="E610">
        <f>MONTH(ProductLine[[#This Row],[Date]])</f>
        <v>6</v>
      </c>
      <c r="F610" t="s">
        <v>27</v>
      </c>
      <c r="G610">
        <v>77</v>
      </c>
      <c r="H610" s="3">
        <v>232.66821530494673</v>
      </c>
      <c r="I610" s="3">
        <f>ProductLine[[#This Row],[Units]]*ProductLine[[#This Row],[Dollars]]</f>
        <v>17915.452578480898</v>
      </c>
    </row>
    <row r="611" spans="1:9" x14ac:dyDescent="0.35">
      <c r="A611">
        <v>610</v>
      </c>
      <c r="B611" t="s">
        <v>12</v>
      </c>
      <c r="C611" s="2">
        <v>38606</v>
      </c>
      <c r="D611">
        <f>YEAR(ProductLine[[#This Row],[Date]])</f>
        <v>2005</v>
      </c>
      <c r="E611">
        <f>MONTH(ProductLine[[#This Row],[Date]])</f>
        <v>9</v>
      </c>
      <c r="F611" t="s">
        <v>26</v>
      </c>
      <c r="G611">
        <v>50</v>
      </c>
      <c r="H611" s="3">
        <v>151.12327703696886</v>
      </c>
      <c r="I611" s="3">
        <f>ProductLine[[#This Row],[Units]]*ProductLine[[#This Row],[Dollars]]</f>
        <v>7556.1638518484433</v>
      </c>
    </row>
    <row r="612" spans="1:9" x14ac:dyDescent="0.35">
      <c r="A612">
        <v>611</v>
      </c>
      <c r="B612" t="s">
        <v>9</v>
      </c>
      <c r="C612" s="2">
        <v>38936</v>
      </c>
      <c r="D612">
        <f>YEAR(ProductLine[[#This Row],[Date]])</f>
        <v>2006</v>
      </c>
      <c r="E612">
        <f>MONTH(ProductLine[[#This Row],[Date]])</f>
        <v>8</v>
      </c>
      <c r="F612" t="s">
        <v>23</v>
      </c>
      <c r="G612">
        <v>10</v>
      </c>
      <c r="H612" s="3">
        <v>32.139866181276794</v>
      </c>
      <c r="I612" s="3">
        <f>ProductLine[[#This Row],[Units]]*ProductLine[[#This Row],[Dollars]]</f>
        <v>321.39866181276795</v>
      </c>
    </row>
    <row r="613" spans="1:9" x14ac:dyDescent="0.35">
      <c r="A613">
        <v>612</v>
      </c>
      <c r="B613" t="s">
        <v>10</v>
      </c>
      <c r="C613" s="2">
        <v>38595</v>
      </c>
      <c r="D613">
        <f>YEAR(ProductLine[[#This Row],[Date]])</f>
        <v>2005</v>
      </c>
      <c r="E613">
        <f>MONTH(ProductLine[[#This Row],[Date]])</f>
        <v>8</v>
      </c>
      <c r="F613" t="s">
        <v>27</v>
      </c>
      <c r="G613">
        <v>2</v>
      </c>
      <c r="H613" s="3">
        <v>7.7805066936063501</v>
      </c>
      <c r="I613" s="3">
        <f>ProductLine[[#This Row],[Units]]*ProductLine[[#This Row],[Dollars]]</f>
        <v>15.5610133872127</v>
      </c>
    </row>
    <row r="614" spans="1:9" x14ac:dyDescent="0.35">
      <c r="A614">
        <v>613</v>
      </c>
      <c r="B614" t="s">
        <v>11</v>
      </c>
      <c r="C614" s="2">
        <v>38925</v>
      </c>
      <c r="D614">
        <f>YEAR(ProductLine[[#This Row],[Date]])</f>
        <v>2006</v>
      </c>
      <c r="E614">
        <f>MONTH(ProductLine[[#This Row],[Date]])</f>
        <v>7</v>
      </c>
      <c r="F614" t="s">
        <v>27</v>
      </c>
      <c r="G614">
        <v>17</v>
      </c>
      <c r="H614" s="3">
        <v>53.692138808043005</v>
      </c>
      <c r="I614" s="3">
        <f>ProductLine[[#This Row],[Units]]*ProductLine[[#This Row],[Dollars]]</f>
        <v>912.76635973673103</v>
      </c>
    </row>
    <row r="615" spans="1:9" x14ac:dyDescent="0.35">
      <c r="A615">
        <v>614</v>
      </c>
      <c r="B615" t="s">
        <v>14</v>
      </c>
      <c r="C615" s="2">
        <v>38474</v>
      </c>
      <c r="D615">
        <f>YEAR(ProductLine[[#This Row],[Date]])</f>
        <v>2005</v>
      </c>
      <c r="E615">
        <f>MONTH(ProductLine[[#This Row],[Date]])</f>
        <v>5</v>
      </c>
      <c r="F615" t="s">
        <v>27</v>
      </c>
      <c r="G615">
        <v>90</v>
      </c>
      <c r="H615" s="3">
        <v>272.41389128062559</v>
      </c>
      <c r="I615" s="3">
        <f>ProductLine[[#This Row],[Units]]*ProductLine[[#This Row],[Dollars]]</f>
        <v>24517.250215256303</v>
      </c>
    </row>
    <row r="616" spans="1:9" x14ac:dyDescent="0.35">
      <c r="A616">
        <v>615</v>
      </c>
      <c r="B616" t="s">
        <v>10</v>
      </c>
      <c r="C616" s="2">
        <v>39046</v>
      </c>
      <c r="D616">
        <f>YEAR(ProductLine[[#This Row],[Date]])</f>
        <v>2006</v>
      </c>
      <c r="E616">
        <f>MONTH(ProductLine[[#This Row],[Date]])</f>
        <v>11</v>
      </c>
      <c r="F616" t="s">
        <v>24</v>
      </c>
      <c r="G616">
        <v>58</v>
      </c>
      <c r="H616" s="3">
        <v>175.59064342356595</v>
      </c>
      <c r="I616" s="3">
        <f>ProductLine[[#This Row],[Units]]*ProductLine[[#This Row],[Dollars]]</f>
        <v>10184.257318566824</v>
      </c>
    </row>
    <row r="617" spans="1:9" x14ac:dyDescent="0.35">
      <c r="A617">
        <v>616</v>
      </c>
      <c r="B617" t="s">
        <v>14</v>
      </c>
      <c r="C617" s="2">
        <v>38738</v>
      </c>
      <c r="D617">
        <f>YEAR(ProductLine[[#This Row],[Date]])</f>
        <v>2006</v>
      </c>
      <c r="E617">
        <f>MONTH(ProductLine[[#This Row],[Date]])</f>
        <v>1</v>
      </c>
      <c r="F617" t="s">
        <v>27</v>
      </c>
      <c r="G617">
        <v>66</v>
      </c>
      <c r="H617" s="3">
        <v>199.92690698146819</v>
      </c>
      <c r="I617" s="3">
        <f>ProductLine[[#This Row],[Units]]*ProductLine[[#This Row],[Dollars]]</f>
        <v>13195.175860776901</v>
      </c>
    </row>
    <row r="618" spans="1:9" x14ac:dyDescent="0.35">
      <c r="A618">
        <v>617</v>
      </c>
      <c r="B618" t="s">
        <v>16</v>
      </c>
      <c r="C618" s="2">
        <v>38166</v>
      </c>
      <c r="D618">
        <f>YEAR(ProductLine[[#This Row],[Date]])</f>
        <v>2004</v>
      </c>
      <c r="E618">
        <f>MONTH(ProductLine[[#This Row],[Date]])</f>
        <v>6</v>
      </c>
      <c r="F618" t="s">
        <v>26</v>
      </c>
      <c r="G618">
        <v>6</v>
      </c>
      <c r="H618" s="3">
        <v>20.242222983134283</v>
      </c>
      <c r="I618" s="3">
        <f>ProductLine[[#This Row],[Units]]*ProductLine[[#This Row],[Dollars]]</f>
        <v>121.4533378988057</v>
      </c>
    </row>
    <row r="619" spans="1:9" x14ac:dyDescent="0.35">
      <c r="A619">
        <v>618</v>
      </c>
      <c r="B619" t="s">
        <v>13</v>
      </c>
      <c r="C619" s="2">
        <v>38826</v>
      </c>
      <c r="D619">
        <f>YEAR(ProductLine[[#This Row],[Date]])</f>
        <v>2006</v>
      </c>
      <c r="E619">
        <f>MONTH(ProductLine[[#This Row],[Date]])</f>
        <v>4</v>
      </c>
      <c r="F619" t="s">
        <v>23</v>
      </c>
      <c r="G619">
        <v>90</v>
      </c>
      <c r="H619" s="3">
        <v>272.58718593660444</v>
      </c>
      <c r="I619" s="3">
        <f>ProductLine[[#This Row],[Units]]*ProductLine[[#This Row],[Dollars]]</f>
        <v>24532.846734294399</v>
      </c>
    </row>
    <row r="620" spans="1:9" x14ac:dyDescent="0.35">
      <c r="A620">
        <v>619</v>
      </c>
      <c r="B620" t="s">
        <v>13</v>
      </c>
      <c r="C620" s="2">
        <v>38859</v>
      </c>
      <c r="D620">
        <f>YEAR(ProductLine[[#This Row],[Date]])</f>
        <v>2006</v>
      </c>
      <c r="E620">
        <f>MONTH(ProductLine[[#This Row],[Date]])</f>
        <v>5</v>
      </c>
      <c r="F620" t="s">
        <v>23</v>
      </c>
      <c r="G620">
        <v>38</v>
      </c>
      <c r="H620" s="3">
        <v>115.85799136725458</v>
      </c>
      <c r="I620" s="3">
        <f>ProductLine[[#This Row],[Units]]*ProductLine[[#This Row],[Dollars]]</f>
        <v>4402.6036719556741</v>
      </c>
    </row>
    <row r="621" spans="1:9" x14ac:dyDescent="0.35">
      <c r="A621">
        <v>620</v>
      </c>
      <c r="B621" t="s">
        <v>14</v>
      </c>
      <c r="C621" s="2">
        <v>38265</v>
      </c>
      <c r="D621">
        <f>YEAR(ProductLine[[#This Row],[Date]])</f>
        <v>2004</v>
      </c>
      <c r="E621">
        <f>MONTH(ProductLine[[#This Row],[Date]])</f>
        <v>10</v>
      </c>
      <c r="F621" t="s">
        <v>27</v>
      </c>
      <c r="G621">
        <v>3</v>
      </c>
      <c r="H621" s="3">
        <v>10.907655295049528</v>
      </c>
      <c r="I621" s="3">
        <f>ProductLine[[#This Row],[Units]]*ProductLine[[#This Row],[Dollars]]</f>
        <v>32.722965885148582</v>
      </c>
    </row>
    <row r="622" spans="1:9" x14ac:dyDescent="0.35">
      <c r="A622">
        <v>621</v>
      </c>
      <c r="B622" t="s">
        <v>15</v>
      </c>
      <c r="C622" s="2">
        <v>38089</v>
      </c>
      <c r="D622">
        <f>YEAR(ProductLine[[#This Row],[Date]])</f>
        <v>2004</v>
      </c>
      <c r="E622">
        <f>MONTH(ProductLine[[#This Row],[Date]])</f>
        <v>4</v>
      </c>
      <c r="F622" t="s">
        <v>24</v>
      </c>
      <c r="G622">
        <v>-4</v>
      </c>
      <c r="H622" s="3">
        <v>-10.39215955971811</v>
      </c>
      <c r="I622" s="3">
        <f>ProductLine[[#This Row],[Units]]*ProductLine[[#This Row],[Dollars]]</f>
        <v>41.568638238872438</v>
      </c>
    </row>
    <row r="623" spans="1:9" x14ac:dyDescent="0.35">
      <c r="A623">
        <v>622</v>
      </c>
      <c r="B623" t="s">
        <v>11</v>
      </c>
      <c r="C623" s="2">
        <v>38155</v>
      </c>
      <c r="D623">
        <f>YEAR(ProductLine[[#This Row],[Date]])</f>
        <v>2004</v>
      </c>
      <c r="E623">
        <f>MONTH(ProductLine[[#This Row],[Date]])</f>
        <v>6</v>
      </c>
      <c r="F623" t="s">
        <v>26</v>
      </c>
      <c r="G623">
        <v>8</v>
      </c>
      <c r="H623" s="3">
        <v>25.899680153324056</v>
      </c>
      <c r="I623" s="3">
        <f>ProductLine[[#This Row],[Units]]*ProductLine[[#This Row],[Dollars]]</f>
        <v>207.19744122659245</v>
      </c>
    </row>
    <row r="624" spans="1:9" x14ac:dyDescent="0.35">
      <c r="A624">
        <v>623</v>
      </c>
      <c r="B624" t="s">
        <v>13</v>
      </c>
      <c r="C624" s="2">
        <v>38078</v>
      </c>
      <c r="D624">
        <f>YEAR(ProductLine[[#This Row],[Date]])</f>
        <v>2004</v>
      </c>
      <c r="E624">
        <f>MONTH(ProductLine[[#This Row],[Date]])</f>
        <v>4</v>
      </c>
      <c r="F624" t="s">
        <v>27</v>
      </c>
      <c r="G624">
        <v>-8</v>
      </c>
      <c r="H624" s="3">
        <v>-22.23218548835203</v>
      </c>
      <c r="I624" s="3">
        <f>ProductLine[[#This Row],[Units]]*ProductLine[[#This Row],[Dollars]]</f>
        <v>177.85748390681624</v>
      </c>
    </row>
    <row r="625" spans="1:9" x14ac:dyDescent="0.35">
      <c r="A625">
        <v>624</v>
      </c>
      <c r="B625" t="s">
        <v>10</v>
      </c>
      <c r="C625" s="2">
        <v>38254</v>
      </c>
      <c r="D625">
        <f>YEAR(ProductLine[[#This Row],[Date]])</f>
        <v>2004</v>
      </c>
      <c r="E625">
        <f>MONTH(ProductLine[[#This Row],[Date]])</f>
        <v>9</v>
      </c>
      <c r="F625" t="s">
        <v>27</v>
      </c>
      <c r="G625">
        <v>72</v>
      </c>
      <c r="H625" s="3">
        <v>218.68777878091251</v>
      </c>
      <c r="I625" s="3">
        <f>ProductLine[[#This Row],[Units]]*ProductLine[[#This Row],[Dollars]]</f>
        <v>15745.520072225701</v>
      </c>
    </row>
    <row r="626" spans="1:9" x14ac:dyDescent="0.35">
      <c r="A626">
        <v>625</v>
      </c>
      <c r="B626" t="s">
        <v>16</v>
      </c>
      <c r="C626" s="2">
        <v>38738</v>
      </c>
      <c r="D626">
        <f>YEAR(ProductLine[[#This Row],[Date]])</f>
        <v>2006</v>
      </c>
      <c r="E626">
        <f>MONTH(ProductLine[[#This Row],[Date]])</f>
        <v>1</v>
      </c>
      <c r="F626" t="s">
        <v>26</v>
      </c>
      <c r="G626">
        <v>83</v>
      </c>
      <c r="H626" s="3">
        <v>250.66590250032371</v>
      </c>
      <c r="I626" s="3">
        <f>ProductLine[[#This Row],[Units]]*ProductLine[[#This Row],[Dollars]]</f>
        <v>20805.269907526868</v>
      </c>
    </row>
    <row r="627" spans="1:9" x14ac:dyDescent="0.35">
      <c r="A627">
        <v>626</v>
      </c>
      <c r="B627" t="s">
        <v>12</v>
      </c>
      <c r="C627" s="2">
        <v>38870</v>
      </c>
      <c r="D627">
        <f>YEAR(ProductLine[[#This Row],[Date]])</f>
        <v>2006</v>
      </c>
      <c r="E627">
        <f>MONTH(ProductLine[[#This Row],[Date]])</f>
        <v>6</v>
      </c>
      <c r="F627" t="s">
        <v>24</v>
      </c>
      <c r="G627">
        <v>12</v>
      </c>
      <c r="H627" s="3">
        <v>38.977588204951147</v>
      </c>
      <c r="I627" s="3">
        <f>ProductLine[[#This Row],[Units]]*ProductLine[[#This Row],[Dollars]]</f>
        <v>467.73105845941376</v>
      </c>
    </row>
    <row r="628" spans="1:9" x14ac:dyDescent="0.35">
      <c r="A628">
        <v>627</v>
      </c>
      <c r="B628" t="s">
        <v>13</v>
      </c>
      <c r="C628" s="2">
        <v>38859</v>
      </c>
      <c r="D628">
        <f>YEAR(ProductLine[[#This Row],[Date]])</f>
        <v>2006</v>
      </c>
      <c r="E628">
        <f>MONTH(ProductLine[[#This Row],[Date]])</f>
        <v>5</v>
      </c>
      <c r="F628" t="s">
        <v>24</v>
      </c>
      <c r="G628">
        <v>-8</v>
      </c>
      <c r="H628" s="3">
        <v>-21.533260342562944</v>
      </c>
      <c r="I628" s="3">
        <f>ProductLine[[#This Row],[Units]]*ProductLine[[#This Row],[Dollars]]</f>
        <v>172.26608274050355</v>
      </c>
    </row>
    <row r="629" spans="1:9" x14ac:dyDescent="0.35">
      <c r="A629">
        <v>628</v>
      </c>
      <c r="B629" t="s">
        <v>9</v>
      </c>
      <c r="C629" s="2">
        <v>38760</v>
      </c>
      <c r="D629">
        <f>YEAR(ProductLine[[#This Row],[Date]])</f>
        <v>2006</v>
      </c>
      <c r="E629">
        <f>MONTH(ProductLine[[#This Row],[Date]])</f>
        <v>2</v>
      </c>
      <c r="F629" t="s">
        <v>26</v>
      </c>
      <c r="G629">
        <v>22</v>
      </c>
      <c r="H629" s="3">
        <v>68.129641213452771</v>
      </c>
      <c r="I629" s="3">
        <f>ProductLine[[#This Row],[Units]]*ProductLine[[#This Row],[Dollars]]</f>
        <v>1498.8521066959611</v>
      </c>
    </row>
    <row r="630" spans="1:9" x14ac:dyDescent="0.35">
      <c r="A630">
        <v>629</v>
      </c>
      <c r="B630" t="s">
        <v>14</v>
      </c>
      <c r="C630" s="2">
        <v>39024</v>
      </c>
      <c r="D630">
        <f>YEAR(ProductLine[[#This Row],[Date]])</f>
        <v>2006</v>
      </c>
      <c r="E630">
        <f>MONTH(ProductLine[[#This Row],[Date]])</f>
        <v>11</v>
      </c>
      <c r="F630" t="s">
        <v>27</v>
      </c>
      <c r="G630">
        <v>-2</v>
      </c>
      <c r="H630" s="3">
        <v>-3.8295287737581956</v>
      </c>
      <c r="I630" s="3">
        <f>ProductLine[[#This Row],[Units]]*ProductLine[[#This Row],[Dollars]]</f>
        <v>7.6590575475163911</v>
      </c>
    </row>
    <row r="631" spans="1:9" x14ac:dyDescent="0.35">
      <c r="A631">
        <v>630</v>
      </c>
      <c r="B631" t="s">
        <v>10</v>
      </c>
      <c r="C631" s="2">
        <v>38727</v>
      </c>
      <c r="D631">
        <f>YEAR(ProductLine[[#This Row],[Date]])</f>
        <v>2006</v>
      </c>
      <c r="E631">
        <f>MONTH(ProductLine[[#This Row],[Date]])</f>
        <v>1</v>
      </c>
      <c r="F631" t="s">
        <v>24</v>
      </c>
      <c r="G631">
        <v>55</v>
      </c>
      <c r="H631" s="3">
        <v>166.77106419074752</v>
      </c>
      <c r="I631" s="3">
        <f>ProductLine[[#This Row],[Units]]*ProductLine[[#This Row],[Dollars]]</f>
        <v>9172.4085304911132</v>
      </c>
    </row>
    <row r="632" spans="1:9" x14ac:dyDescent="0.35">
      <c r="A632">
        <v>631</v>
      </c>
      <c r="B632" t="s">
        <v>16</v>
      </c>
      <c r="C632" s="2">
        <v>38892</v>
      </c>
      <c r="D632">
        <f>YEAR(ProductLine[[#This Row],[Date]])</f>
        <v>2006</v>
      </c>
      <c r="E632">
        <f>MONTH(ProductLine[[#This Row],[Date]])</f>
        <v>6</v>
      </c>
      <c r="F632" t="s">
        <v>26</v>
      </c>
      <c r="G632">
        <v>40</v>
      </c>
      <c r="H632" s="3">
        <v>122.55166369572477</v>
      </c>
      <c r="I632" s="3">
        <f>ProductLine[[#This Row],[Units]]*ProductLine[[#This Row],[Dollars]]</f>
        <v>4902.0665478289911</v>
      </c>
    </row>
    <row r="633" spans="1:9" x14ac:dyDescent="0.35">
      <c r="A633">
        <v>632</v>
      </c>
      <c r="B633" t="s">
        <v>9</v>
      </c>
      <c r="C633" s="2">
        <v>38529</v>
      </c>
      <c r="D633">
        <f>YEAR(ProductLine[[#This Row],[Date]])</f>
        <v>2005</v>
      </c>
      <c r="E633">
        <f>MONTH(ProductLine[[#This Row],[Date]])</f>
        <v>6</v>
      </c>
      <c r="F633" t="s">
        <v>24</v>
      </c>
      <c r="G633">
        <v>61</v>
      </c>
      <c r="H633" s="3">
        <v>183.9597681482735</v>
      </c>
      <c r="I633" s="3">
        <f>ProductLine[[#This Row],[Units]]*ProductLine[[#This Row],[Dollars]]</f>
        <v>11221.545857044683</v>
      </c>
    </row>
    <row r="634" spans="1:9" x14ac:dyDescent="0.35">
      <c r="A634">
        <v>633</v>
      </c>
      <c r="B634" t="s">
        <v>10</v>
      </c>
      <c r="C634" s="2">
        <v>38518</v>
      </c>
      <c r="D634">
        <f>YEAR(ProductLine[[#This Row],[Date]])</f>
        <v>2005</v>
      </c>
      <c r="E634">
        <f>MONTH(ProductLine[[#This Row],[Date]])</f>
        <v>6</v>
      </c>
      <c r="F634" t="s">
        <v>26</v>
      </c>
      <c r="G634">
        <v>40</v>
      </c>
      <c r="H634" s="3">
        <v>122.54107894599883</v>
      </c>
      <c r="I634" s="3">
        <f>ProductLine[[#This Row],[Units]]*ProductLine[[#This Row],[Dollars]]</f>
        <v>4901.6431578399533</v>
      </c>
    </row>
    <row r="635" spans="1:9" x14ac:dyDescent="0.35">
      <c r="A635">
        <v>634</v>
      </c>
      <c r="B635" t="s">
        <v>16</v>
      </c>
      <c r="C635" s="2">
        <v>38969</v>
      </c>
      <c r="D635">
        <f>YEAR(ProductLine[[#This Row],[Date]])</f>
        <v>2006</v>
      </c>
      <c r="E635">
        <f>MONTH(ProductLine[[#This Row],[Date]])</f>
        <v>9</v>
      </c>
      <c r="F635" t="s">
        <v>26</v>
      </c>
      <c r="G635">
        <v>31</v>
      </c>
      <c r="H635" s="3">
        <v>94.683925421109407</v>
      </c>
      <c r="I635" s="3">
        <f>ProductLine[[#This Row],[Units]]*ProductLine[[#This Row],[Dollars]]</f>
        <v>2935.2016880543915</v>
      </c>
    </row>
    <row r="636" spans="1:9" x14ac:dyDescent="0.35">
      <c r="A636">
        <v>635</v>
      </c>
      <c r="B636" t="s">
        <v>9</v>
      </c>
      <c r="C636" s="2">
        <v>38100</v>
      </c>
      <c r="D636">
        <f>YEAR(ProductLine[[#This Row],[Date]])</f>
        <v>2004</v>
      </c>
      <c r="E636">
        <f>MONTH(ProductLine[[#This Row],[Date]])</f>
        <v>4</v>
      </c>
      <c r="F636" t="s">
        <v>27</v>
      </c>
      <c r="G636">
        <v>6</v>
      </c>
      <c r="H636" s="3">
        <v>20.454607256507078</v>
      </c>
      <c r="I636" s="3">
        <f>ProductLine[[#This Row],[Units]]*ProductLine[[#This Row],[Dollars]]</f>
        <v>122.72764353904248</v>
      </c>
    </row>
    <row r="637" spans="1:9" x14ac:dyDescent="0.35">
      <c r="A637">
        <v>636</v>
      </c>
      <c r="B637" t="s">
        <v>10</v>
      </c>
      <c r="C637" s="2">
        <v>38650</v>
      </c>
      <c r="D637">
        <f>YEAR(ProductLine[[#This Row],[Date]])</f>
        <v>2005</v>
      </c>
      <c r="E637">
        <f>MONTH(ProductLine[[#This Row],[Date]])</f>
        <v>10</v>
      </c>
      <c r="F637" t="s">
        <v>24</v>
      </c>
      <c r="G637">
        <v>-6</v>
      </c>
      <c r="H637" s="3">
        <v>-16.100658619760122</v>
      </c>
      <c r="I637" s="3">
        <f>ProductLine[[#This Row],[Units]]*ProductLine[[#This Row],[Dollars]]</f>
        <v>96.603951718560722</v>
      </c>
    </row>
    <row r="638" spans="1:9" x14ac:dyDescent="0.35">
      <c r="A638">
        <v>637</v>
      </c>
      <c r="B638" t="s">
        <v>10</v>
      </c>
      <c r="C638" s="2">
        <v>38540</v>
      </c>
      <c r="D638">
        <f>YEAR(ProductLine[[#This Row],[Date]])</f>
        <v>2005</v>
      </c>
      <c r="E638">
        <f>MONTH(ProductLine[[#This Row],[Date]])</f>
        <v>7</v>
      </c>
      <c r="F638" t="s">
        <v>26</v>
      </c>
      <c r="G638">
        <v>14</v>
      </c>
      <c r="H638" s="3">
        <v>43.396216100245972</v>
      </c>
      <c r="I638" s="3">
        <f>ProductLine[[#This Row],[Units]]*ProductLine[[#This Row],[Dollars]]</f>
        <v>607.54702540344363</v>
      </c>
    </row>
    <row r="639" spans="1:9" x14ac:dyDescent="0.35">
      <c r="A639">
        <v>638</v>
      </c>
      <c r="B639" t="s">
        <v>10</v>
      </c>
      <c r="C639" s="2">
        <v>38199</v>
      </c>
      <c r="D639">
        <f>YEAR(ProductLine[[#This Row],[Date]])</f>
        <v>2004</v>
      </c>
      <c r="E639">
        <f>MONTH(ProductLine[[#This Row],[Date]])</f>
        <v>7</v>
      </c>
      <c r="F639" t="s">
        <v>27</v>
      </c>
      <c r="G639">
        <v>94</v>
      </c>
      <c r="H639" s="3">
        <v>283.87519041996188</v>
      </c>
      <c r="I639" s="3">
        <f>ProductLine[[#This Row],[Units]]*ProductLine[[#This Row],[Dollars]]</f>
        <v>26684.267899476417</v>
      </c>
    </row>
    <row r="640" spans="1:9" x14ac:dyDescent="0.35">
      <c r="A640">
        <v>639</v>
      </c>
      <c r="B640" t="s">
        <v>16</v>
      </c>
      <c r="C640" s="2">
        <v>38562</v>
      </c>
      <c r="D640">
        <f>YEAR(ProductLine[[#This Row],[Date]])</f>
        <v>2005</v>
      </c>
      <c r="E640">
        <f>MONTH(ProductLine[[#This Row],[Date]])</f>
        <v>7</v>
      </c>
      <c r="F640" t="s">
        <v>27</v>
      </c>
      <c r="G640">
        <v>70</v>
      </c>
      <c r="H640" s="3">
        <v>212.26863794218977</v>
      </c>
      <c r="I640" s="3">
        <f>ProductLine[[#This Row],[Units]]*ProductLine[[#This Row],[Dollars]]</f>
        <v>14858.804655953283</v>
      </c>
    </row>
    <row r="641" spans="1:9" x14ac:dyDescent="0.35">
      <c r="A641">
        <v>640</v>
      </c>
      <c r="B641" t="s">
        <v>15</v>
      </c>
      <c r="C641" s="2">
        <v>38298</v>
      </c>
      <c r="D641">
        <f>YEAR(ProductLine[[#This Row],[Date]])</f>
        <v>2004</v>
      </c>
      <c r="E641">
        <f>MONTH(ProductLine[[#This Row],[Date]])</f>
        <v>11</v>
      </c>
      <c r="F641" t="s">
        <v>23</v>
      </c>
      <c r="G641">
        <v>-8</v>
      </c>
      <c r="H641" s="3">
        <v>-21.44176526239897</v>
      </c>
      <c r="I641" s="3">
        <f>ProductLine[[#This Row],[Units]]*ProductLine[[#This Row],[Dollars]]</f>
        <v>171.53412209919176</v>
      </c>
    </row>
    <row r="642" spans="1:9" x14ac:dyDescent="0.35">
      <c r="A642">
        <v>641</v>
      </c>
      <c r="B642" t="s">
        <v>15</v>
      </c>
      <c r="C642" s="2">
        <v>39024</v>
      </c>
      <c r="D642">
        <f>YEAR(ProductLine[[#This Row],[Date]])</f>
        <v>2006</v>
      </c>
      <c r="E642">
        <f>MONTH(ProductLine[[#This Row],[Date]])</f>
        <v>11</v>
      </c>
      <c r="F642" t="s">
        <v>23</v>
      </c>
      <c r="G642">
        <v>-8</v>
      </c>
      <c r="H642" s="3">
        <v>-21.90881602461678</v>
      </c>
      <c r="I642" s="3">
        <f>ProductLine[[#This Row],[Units]]*ProductLine[[#This Row],[Dollars]]</f>
        <v>175.27052819693424</v>
      </c>
    </row>
    <row r="643" spans="1:9" x14ac:dyDescent="0.35">
      <c r="A643">
        <v>642</v>
      </c>
      <c r="B643" t="s">
        <v>11</v>
      </c>
      <c r="C643" s="2">
        <v>38716</v>
      </c>
      <c r="D643">
        <f>YEAR(ProductLine[[#This Row],[Date]])</f>
        <v>2005</v>
      </c>
      <c r="E643">
        <f>MONTH(ProductLine[[#This Row],[Date]])</f>
        <v>12</v>
      </c>
      <c r="F643" t="s">
        <v>27</v>
      </c>
      <c r="G643">
        <v>2</v>
      </c>
      <c r="H643" s="3">
        <v>7.6416014365752867</v>
      </c>
      <c r="I643" s="3">
        <f>ProductLine[[#This Row],[Units]]*ProductLine[[#This Row],[Dollars]]</f>
        <v>15.283202873150573</v>
      </c>
    </row>
    <row r="644" spans="1:9" x14ac:dyDescent="0.35">
      <c r="A644">
        <v>643</v>
      </c>
      <c r="B644" t="s">
        <v>10</v>
      </c>
      <c r="C644" s="2">
        <v>37990</v>
      </c>
      <c r="D644">
        <f>YEAR(ProductLine[[#This Row],[Date]])</f>
        <v>2004</v>
      </c>
      <c r="E644">
        <f>MONTH(ProductLine[[#This Row],[Date]])</f>
        <v>1</v>
      </c>
      <c r="F644" t="s">
        <v>25</v>
      </c>
      <c r="G644">
        <v>10</v>
      </c>
      <c r="H644" s="3">
        <v>31.842188072685396</v>
      </c>
      <c r="I644" s="3">
        <f>ProductLine[[#This Row],[Units]]*ProductLine[[#This Row],[Dollars]]</f>
        <v>318.42188072685394</v>
      </c>
    </row>
    <row r="645" spans="1:9" x14ac:dyDescent="0.35">
      <c r="A645">
        <v>644</v>
      </c>
      <c r="B645" t="s">
        <v>17</v>
      </c>
      <c r="C645" s="2">
        <v>38474</v>
      </c>
      <c r="D645">
        <f>YEAR(ProductLine[[#This Row],[Date]])</f>
        <v>2005</v>
      </c>
      <c r="E645">
        <f>MONTH(ProductLine[[#This Row],[Date]])</f>
        <v>5</v>
      </c>
      <c r="F645" t="s">
        <v>26</v>
      </c>
      <c r="G645">
        <v>51</v>
      </c>
      <c r="H645" s="3">
        <v>154.53175695635341</v>
      </c>
      <c r="I645" s="3">
        <f>ProductLine[[#This Row],[Units]]*ProductLine[[#This Row],[Dollars]]</f>
        <v>7881.1196047740241</v>
      </c>
    </row>
    <row r="646" spans="1:9" x14ac:dyDescent="0.35">
      <c r="A646">
        <v>645</v>
      </c>
      <c r="B646" t="s">
        <v>17</v>
      </c>
      <c r="C646" s="2">
        <v>38078</v>
      </c>
      <c r="D646">
        <f>YEAR(ProductLine[[#This Row],[Date]])</f>
        <v>2004</v>
      </c>
      <c r="E646">
        <f>MONTH(ProductLine[[#This Row],[Date]])</f>
        <v>4</v>
      </c>
      <c r="F646" t="s">
        <v>26</v>
      </c>
      <c r="G646">
        <v>5</v>
      </c>
      <c r="H646" s="3">
        <v>16.85379509706091</v>
      </c>
      <c r="I646" s="3">
        <f>ProductLine[[#This Row],[Units]]*ProductLine[[#This Row],[Dollars]]</f>
        <v>84.268975485304551</v>
      </c>
    </row>
    <row r="647" spans="1:9" x14ac:dyDescent="0.35">
      <c r="A647">
        <v>646</v>
      </c>
      <c r="B647" t="s">
        <v>15</v>
      </c>
      <c r="C647" s="2">
        <v>38870</v>
      </c>
      <c r="D647">
        <f>YEAR(ProductLine[[#This Row],[Date]])</f>
        <v>2006</v>
      </c>
      <c r="E647">
        <f>MONTH(ProductLine[[#This Row],[Date]])</f>
        <v>6</v>
      </c>
      <c r="F647" t="s">
        <v>26</v>
      </c>
      <c r="G647">
        <v>39</v>
      </c>
      <c r="H647" s="3">
        <v>119.48835042374725</v>
      </c>
      <c r="I647" s="3">
        <f>ProductLine[[#This Row],[Units]]*ProductLine[[#This Row],[Dollars]]</f>
        <v>4660.0456665261427</v>
      </c>
    </row>
    <row r="648" spans="1:9" x14ac:dyDescent="0.35">
      <c r="A648">
        <v>647</v>
      </c>
      <c r="B648" t="s">
        <v>11</v>
      </c>
      <c r="C648" s="2">
        <v>38067</v>
      </c>
      <c r="D648">
        <f>YEAR(ProductLine[[#This Row],[Date]])</f>
        <v>2004</v>
      </c>
      <c r="E648">
        <f>MONTH(ProductLine[[#This Row],[Date]])</f>
        <v>3</v>
      </c>
      <c r="F648" t="s">
        <v>26</v>
      </c>
      <c r="G648">
        <v>20</v>
      </c>
      <c r="H648" s="3">
        <v>61.926239627210521</v>
      </c>
      <c r="I648" s="3">
        <f>ProductLine[[#This Row],[Units]]*ProductLine[[#This Row],[Dollars]]</f>
        <v>1238.5247925442104</v>
      </c>
    </row>
    <row r="649" spans="1:9" x14ac:dyDescent="0.35">
      <c r="A649">
        <v>648</v>
      </c>
      <c r="B649" t="s">
        <v>15</v>
      </c>
      <c r="C649" s="2">
        <v>38320</v>
      </c>
      <c r="D649">
        <f>YEAR(ProductLine[[#This Row],[Date]])</f>
        <v>2004</v>
      </c>
      <c r="E649">
        <f>MONTH(ProductLine[[#This Row],[Date]])</f>
        <v>11</v>
      </c>
      <c r="F649" t="s">
        <v>24</v>
      </c>
      <c r="G649">
        <v>29</v>
      </c>
      <c r="H649" s="3">
        <v>88.79031532479398</v>
      </c>
      <c r="I649" s="3">
        <f>ProductLine[[#This Row],[Units]]*ProductLine[[#This Row],[Dollars]]</f>
        <v>2574.9191444190255</v>
      </c>
    </row>
    <row r="650" spans="1:9" x14ac:dyDescent="0.35">
      <c r="A650">
        <v>649</v>
      </c>
      <c r="B650" t="s">
        <v>12</v>
      </c>
      <c r="C650" s="2">
        <v>38749</v>
      </c>
      <c r="D650">
        <f>YEAR(ProductLine[[#This Row],[Date]])</f>
        <v>2006</v>
      </c>
      <c r="E650">
        <f>MONTH(ProductLine[[#This Row],[Date]])</f>
        <v>2</v>
      </c>
      <c r="F650" t="s">
        <v>24</v>
      </c>
      <c r="G650">
        <v>43</v>
      </c>
      <c r="H650" s="3">
        <v>130.59550390758056</v>
      </c>
      <c r="I650" s="3">
        <f>ProductLine[[#This Row],[Units]]*ProductLine[[#This Row],[Dollars]]</f>
        <v>5615.6066680259646</v>
      </c>
    </row>
    <row r="651" spans="1:9" x14ac:dyDescent="0.35">
      <c r="A651">
        <v>650</v>
      </c>
      <c r="B651" t="s">
        <v>11</v>
      </c>
      <c r="C651" s="2">
        <v>38232</v>
      </c>
      <c r="D651">
        <f>YEAR(ProductLine[[#This Row],[Date]])</f>
        <v>2004</v>
      </c>
      <c r="E651">
        <f>MONTH(ProductLine[[#This Row],[Date]])</f>
        <v>9</v>
      </c>
      <c r="F651" t="s">
        <v>27</v>
      </c>
      <c r="G651">
        <v>40</v>
      </c>
      <c r="H651" s="3">
        <v>122.34177646477217</v>
      </c>
      <c r="I651" s="3">
        <f>ProductLine[[#This Row],[Units]]*ProductLine[[#This Row],[Dollars]]</f>
        <v>4893.6710585908868</v>
      </c>
    </row>
    <row r="652" spans="1:9" x14ac:dyDescent="0.35">
      <c r="A652">
        <v>651</v>
      </c>
      <c r="B652" t="s">
        <v>15</v>
      </c>
      <c r="C652" s="2">
        <v>38760</v>
      </c>
      <c r="D652">
        <f>YEAR(ProductLine[[#This Row],[Date]])</f>
        <v>2006</v>
      </c>
      <c r="E652">
        <f>MONTH(ProductLine[[#This Row],[Date]])</f>
        <v>2</v>
      </c>
      <c r="F652" t="s">
        <v>24</v>
      </c>
      <c r="G652">
        <v>36</v>
      </c>
      <c r="H652" s="3">
        <v>109.40924257339921</v>
      </c>
      <c r="I652" s="3">
        <f>ProductLine[[#This Row],[Units]]*ProductLine[[#This Row],[Dollars]]</f>
        <v>3938.7327326423715</v>
      </c>
    </row>
    <row r="653" spans="1:9" x14ac:dyDescent="0.35">
      <c r="A653">
        <v>652</v>
      </c>
      <c r="B653" t="s">
        <v>15</v>
      </c>
      <c r="C653" s="2">
        <v>38375</v>
      </c>
      <c r="D653">
        <f>YEAR(ProductLine[[#This Row],[Date]])</f>
        <v>2005</v>
      </c>
      <c r="E653">
        <f>MONTH(ProductLine[[#This Row],[Date]])</f>
        <v>1</v>
      </c>
      <c r="F653" t="s">
        <v>26</v>
      </c>
      <c r="G653">
        <v>88</v>
      </c>
      <c r="H653" s="3">
        <v>265.7031232579136</v>
      </c>
      <c r="I653" s="3">
        <f>ProductLine[[#This Row],[Units]]*ProductLine[[#This Row],[Dollars]]</f>
        <v>23381.874846696395</v>
      </c>
    </row>
    <row r="654" spans="1:9" x14ac:dyDescent="0.35">
      <c r="A654">
        <v>653</v>
      </c>
      <c r="B654" t="s">
        <v>9</v>
      </c>
      <c r="C654" s="2">
        <v>38386</v>
      </c>
      <c r="D654">
        <f>YEAR(ProductLine[[#This Row],[Date]])</f>
        <v>2005</v>
      </c>
      <c r="E654">
        <f>MONTH(ProductLine[[#This Row],[Date]])</f>
        <v>2</v>
      </c>
      <c r="F654" t="s">
        <v>27</v>
      </c>
      <c r="G654">
        <v>55</v>
      </c>
      <c r="H654" s="3">
        <v>166.43173248267502</v>
      </c>
      <c r="I654" s="3">
        <f>ProductLine[[#This Row],[Units]]*ProductLine[[#This Row],[Dollars]]</f>
        <v>9153.7452865471259</v>
      </c>
    </row>
    <row r="655" spans="1:9" x14ac:dyDescent="0.35">
      <c r="A655">
        <v>654</v>
      </c>
      <c r="B655" t="s">
        <v>16</v>
      </c>
      <c r="C655" s="2">
        <v>38342</v>
      </c>
      <c r="D655">
        <f>YEAR(ProductLine[[#This Row],[Date]])</f>
        <v>2004</v>
      </c>
      <c r="E655">
        <f>MONTH(ProductLine[[#This Row],[Date]])</f>
        <v>12</v>
      </c>
      <c r="F655" t="s">
        <v>26</v>
      </c>
      <c r="G655">
        <v>65</v>
      </c>
      <c r="H655" s="3">
        <v>196.86478787466569</v>
      </c>
      <c r="I655" s="3">
        <f>ProductLine[[#This Row],[Units]]*ProductLine[[#This Row],[Dollars]]</f>
        <v>12796.21121185327</v>
      </c>
    </row>
    <row r="656" spans="1:9" x14ac:dyDescent="0.35">
      <c r="A656">
        <v>655</v>
      </c>
      <c r="B656" t="s">
        <v>16</v>
      </c>
      <c r="C656" s="2">
        <v>38540</v>
      </c>
      <c r="D656">
        <f>YEAR(ProductLine[[#This Row],[Date]])</f>
        <v>2005</v>
      </c>
      <c r="E656">
        <f>MONTH(ProductLine[[#This Row],[Date]])</f>
        <v>7</v>
      </c>
      <c r="F656" t="s">
        <v>23</v>
      </c>
      <c r="G656">
        <v>6</v>
      </c>
      <c r="H656" s="3">
        <v>19.488992935915519</v>
      </c>
      <c r="I656" s="3">
        <f>ProductLine[[#This Row],[Units]]*ProductLine[[#This Row],[Dollars]]</f>
        <v>116.93395761549311</v>
      </c>
    </row>
    <row r="657" spans="1:9" x14ac:dyDescent="0.35">
      <c r="A657">
        <v>656</v>
      </c>
      <c r="B657" t="s">
        <v>17</v>
      </c>
      <c r="C657" s="2">
        <v>38859</v>
      </c>
      <c r="D657">
        <f>YEAR(ProductLine[[#This Row],[Date]])</f>
        <v>2006</v>
      </c>
      <c r="E657">
        <f>MONTH(ProductLine[[#This Row],[Date]])</f>
        <v>5</v>
      </c>
      <c r="F657" t="s">
        <v>24</v>
      </c>
      <c r="G657">
        <v>-1</v>
      </c>
      <c r="H657" s="3">
        <v>-1.2299707953687746</v>
      </c>
      <c r="I657" s="3">
        <f>ProductLine[[#This Row],[Units]]*ProductLine[[#This Row],[Dollars]]</f>
        <v>1.2299707953687746</v>
      </c>
    </row>
    <row r="658" spans="1:9" x14ac:dyDescent="0.35">
      <c r="A658">
        <v>657</v>
      </c>
      <c r="B658" t="s">
        <v>16</v>
      </c>
      <c r="C658" s="2">
        <v>38980</v>
      </c>
      <c r="D658">
        <f>YEAR(ProductLine[[#This Row],[Date]])</f>
        <v>2006</v>
      </c>
      <c r="E658">
        <f>MONTH(ProductLine[[#This Row],[Date]])</f>
        <v>9</v>
      </c>
      <c r="F658" t="s">
        <v>24</v>
      </c>
      <c r="G658">
        <v>32</v>
      </c>
      <c r="H658" s="3">
        <v>97.808768000127685</v>
      </c>
      <c r="I658" s="3">
        <f>ProductLine[[#This Row],[Units]]*ProductLine[[#This Row],[Dollars]]</f>
        <v>3129.8805760040859</v>
      </c>
    </row>
    <row r="659" spans="1:9" x14ac:dyDescent="0.35">
      <c r="A659">
        <v>658</v>
      </c>
      <c r="B659" t="s">
        <v>10</v>
      </c>
      <c r="C659" s="2">
        <v>38738</v>
      </c>
      <c r="D659">
        <f>YEAR(ProductLine[[#This Row],[Date]])</f>
        <v>2006</v>
      </c>
      <c r="E659">
        <f>MONTH(ProductLine[[#This Row],[Date]])</f>
        <v>1</v>
      </c>
      <c r="F659" t="s">
        <v>27</v>
      </c>
      <c r="G659">
        <v>17</v>
      </c>
      <c r="H659" s="3">
        <v>53.061016492331653</v>
      </c>
      <c r="I659" s="3">
        <f>ProductLine[[#This Row],[Units]]*ProductLine[[#This Row],[Dollars]]</f>
        <v>902.0372803696381</v>
      </c>
    </row>
    <row r="660" spans="1:9" x14ac:dyDescent="0.35">
      <c r="A660">
        <v>659</v>
      </c>
      <c r="B660" t="s">
        <v>12</v>
      </c>
      <c r="C660" s="2">
        <v>38177</v>
      </c>
      <c r="D660">
        <f>YEAR(ProductLine[[#This Row],[Date]])</f>
        <v>2004</v>
      </c>
      <c r="E660">
        <f>MONTH(ProductLine[[#This Row],[Date]])</f>
        <v>7</v>
      </c>
      <c r="F660" t="s">
        <v>26</v>
      </c>
      <c r="G660">
        <v>25</v>
      </c>
      <c r="H660" s="3">
        <v>76.378602488098551</v>
      </c>
      <c r="I660" s="3">
        <f>ProductLine[[#This Row],[Units]]*ProductLine[[#This Row],[Dollars]]</f>
        <v>1909.4650622024637</v>
      </c>
    </row>
    <row r="661" spans="1:9" x14ac:dyDescent="0.35">
      <c r="A661">
        <v>660</v>
      </c>
      <c r="B661" t="s">
        <v>12</v>
      </c>
      <c r="C661" s="2">
        <v>38441</v>
      </c>
      <c r="D661">
        <f>YEAR(ProductLine[[#This Row],[Date]])</f>
        <v>2005</v>
      </c>
      <c r="E661">
        <f>MONTH(ProductLine[[#This Row],[Date]])</f>
        <v>3</v>
      </c>
      <c r="F661" t="s">
        <v>26</v>
      </c>
      <c r="G661">
        <v>11</v>
      </c>
      <c r="H661" s="3">
        <v>35.7534803858521</v>
      </c>
      <c r="I661" s="3">
        <f>ProductLine[[#This Row],[Units]]*ProductLine[[#This Row],[Dollars]]</f>
        <v>393.28828424437313</v>
      </c>
    </row>
    <row r="662" spans="1:9" x14ac:dyDescent="0.35">
      <c r="A662">
        <v>661</v>
      </c>
      <c r="B662" t="s">
        <v>12</v>
      </c>
      <c r="C662" s="2">
        <v>38034</v>
      </c>
      <c r="D662">
        <f>YEAR(ProductLine[[#This Row],[Date]])</f>
        <v>2004</v>
      </c>
      <c r="E662">
        <f>MONTH(ProductLine[[#This Row],[Date]])</f>
        <v>2</v>
      </c>
      <c r="F662" t="s">
        <v>27</v>
      </c>
      <c r="G662">
        <v>51</v>
      </c>
      <c r="H662" s="3">
        <v>155.019536467064</v>
      </c>
      <c r="I662" s="3">
        <f>ProductLine[[#This Row],[Units]]*ProductLine[[#This Row],[Dollars]]</f>
        <v>7905.9963598202639</v>
      </c>
    </row>
    <row r="663" spans="1:9" x14ac:dyDescent="0.35">
      <c r="A663">
        <v>662</v>
      </c>
      <c r="B663" t="s">
        <v>15</v>
      </c>
      <c r="C663" s="2">
        <v>39024</v>
      </c>
      <c r="D663">
        <f>YEAR(ProductLine[[#This Row],[Date]])</f>
        <v>2006</v>
      </c>
      <c r="E663">
        <f>MONTH(ProductLine[[#This Row],[Date]])</f>
        <v>11</v>
      </c>
      <c r="F663" t="s">
        <v>25</v>
      </c>
      <c r="G663">
        <v>25</v>
      </c>
      <c r="H663" s="3">
        <v>78.068436112651099</v>
      </c>
      <c r="I663" s="3">
        <f>ProductLine[[#This Row],[Units]]*ProductLine[[#This Row],[Dollars]]</f>
        <v>1951.7109028162774</v>
      </c>
    </row>
    <row r="664" spans="1:9" x14ac:dyDescent="0.35">
      <c r="A664">
        <v>663</v>
      </c>
      <c r="B664" t="s">
        <v>10</v>
      </c>
      <c r="C664" s="2">
        <v>39035</v>
      </c>
      <c r="D664">
        <f>YEAR(ProductLine[[#This Row],[Date]])</f>
        <v>2006</v>
      </c>
      <c r="E664">
        <f>MONTH(ProductLine[[#This Row],[Date]])</f>
        <v>11</v>
      </c>
      <c r="F664" t="s">
        <v>26</v>
      </c>
      <c r="G664">
        <v>27</v>
      </c>
      <c r="H664" s="3">
        <v>82.450851057331235</v>
      </c>
      <c r="I664" s="3">
        <f>ProductLine[[#This Row],[Units]]*ProductLine[[#This Row],[Dollars]]</f>
        <v>2226.1729785479433</v>
      </c>
    </row>
    <row r="665" spans="1:9" x14ac:dyDescent="0.35">
      <c r="A665">
        <v>664</v>
      </c>
      <c r="B665" t="s">
        <v>9</v>
      </c>
      <c r="C665" s="2">
        <v>38518</v>
      </c>
      <c r="D665">
        <f>YEAR(ProductLine[[#This Row],[Date]])</f>
        <v>2005</v>
      </c>
      <c r="E665">
        <f>MONTH(ProductLine[[#This Row],[Date]])</f>
        <v>6</v>
      </c>
      <c r="F665" t="s">
        <v>23</v>
      </c>
      <c r="G665">
        <v>38</v>
      </c>
      <c r="H665" s="3">
        <v>116.7885336432518</v>
      </c>
      <c r="I665" s="3">
        <f>ProductLine[[#This Row],[Units]]*ProductLine[[#This Row],[Dollars]]</f>
        <v>4437.9642784435682</v>
      </c>
    </row>
    <row r="666" spans="1:9" x14ac:dyDescent="0.35">
      <c r="A666">
        <v>665</v>
      </c>
      <c r="B666" t="s">
        <v>14</v>
      </c>
      <c r="C666" s="2">
        <v>38980</v>
      </c>
      <c r="D666">
        <f>YEAR(ProductLine[[#This Row],[Date]])</f>
        <v>2006</v>
      </c>
      <c r="E666">
        <f>MONTH(ProductLine[[#This Row],[Date]])</f>
        <v>9</v>
      </c>
      <c r="F666" t="s">
        <v>24</v>
      </c>
      <c r="G666">
        <v>27</v>
      </c>
      <c r="H666" s="3">
        <v>82.569702610812897</v>
      </c>
      <c r="I666" s="3">
        <f>ProductLine[[#This Row],[Units]]*ProductLine[[#This Row],[Dollars]]</f>
        <v>2229.3819704919483</v>
      </c>
    </row>
    <row r="667" spans="1:9" x14ac:dyDescent="0.35">
      <c r="A667">
        <v>666</v>
      </c>
      <c r="B667" t="s">
        <v>16</v>
      </c>
      <c r="C667" s="2">
        <v>38881</v>
      </c>
      <c r="D667">
        <f>YEAR(ProductLine[[#This Row],[Date]])</f>
        <v>2006</v>
      </c>
      <c r="E667">
        <f>MONTH(ProductLine[[#This Row],[Date]])</f>
        <v>6</v>
      </c>
      <c r="F667" t="s">
        <v>26</v>
      </c>
      <c r="G667">
        <v>59</v>
      </c>
      <c r="H667" s="3">
        <v>178.6321576680669</v>
      </c>
      <c r="I667" s="3">
        <f>ProductLine[[#This Row],[Units]]*ProductLine[[#This Row],[Dollars]]</f>
        <v>10539.297302415947</v>
      </c>
    </row>
    <row r="668" spans="1:9" x14ac:dyDescent="0.35">
      <c r="A668">
        <v>667</v>
      </c>
      <c r="B668" t="s">
        <v>17</v>
      </c>
      <c r="C668" s="2">
        <v>38760</v>
      </c>
      <c r="D668">
        <f>YEAR(ProductLine[[#This Row],[Date]])</f>
        <v>2006</v>
      </c>
      <c r="E668">
        <f>MONTH(ProductLine[[#This Row],[Date]])</f>
        <v>2</v>
      </c>
      <c r="F668" t="s">
        <v>24</v>
      </c>
      <c r="G668">
        <v>73</v>
      </c>
      <c r="H668" s="3">
        <v>220.44792756124494</v>
      </c>
      <c r="I668" s="3">
        <f>ProductLine[[#This Row],[Units]]*ProductLine[[#This Row],[Dollars]]</f>
        <v>16092.698711970881</v>
      </c>
    </row>
    <row r="669" spans="1:9" x14ac:dyDescent="0.35">
      <c r="A669">
        <v>668</v>
      </c>
      <c r="B669" t="s">
        <v>13</v>
      </c>
      <c r="C669" s="2">
        <v>38595</v>
      </c>
      <c r="D669">
        <f>YEAR(ProductLine[[#This Row],[Date]])</f>
        <v>2005</v>
      </c>
      <c r="E669">
        <f>MONTH(ProductLine[[#This Row],[Date]])</f>
        <v>8</v>
      </c>
      <c r="F669" t="s">
        <v>26</v>
      </c>
      <c r="G669">
        <v>43</v>
      </c>
      <c r="H669" s="3">
        <v>131.45497532370047</v>
      </c>
      <c r="I669" s="3">
        <f>ProductLine[[#This Row],[Units]]*ProductLine[[#This Row],[Dollars]]</f>
        <v>5652.5639389191201</v>
      </c>
    </row>
    <row r="670" spans="1:9" x14ac:dyDescent="0.35">
      <c r="A670">
        <v>669</v>
      </c>
      <c r="B670" t="s">
        <v>14</v>
      </c>
      <c r="C670" s="2">
        <v>38903</v>
      </c>
      <c r="D670">
        <f>YEAR(ProductLine[[#This Row],[Date]])</f>
        <v>2006</v>
      </c>
      <c r="E670">
        <f>MONTH(ProductLine[[#This Row],[Date]])</f>
        <v>7</v>
      </c>
      <c r="F670" t="s">
        <v>27</v>
      </c>
      <c r="G670">
        <v>51</v>
      </c>
      <c r="H670" s="3">
        <v>154.77819453893821</v>
      </c>
      <c r="I670" s="3">
        <f>ProductLine[[#This Row],[Units]]*ProductLine[[#This Row],[Dollars]]</f>
        <v>7893.6879214858491</v>
      </c>
    </row>
    <row r="671" spans="1:9" x14ac:dyDescent="0.35">
      <c r="A671">
        <v>670</v>
      </c>
      <c r="B671" t="s">
        <v>9</v>
      </c>
      <c r="C671" s="2">
        <v>38243</v>
      </c>
      <c r="D671">
        <f>YEAR(ProductLine[[#This Row],[Date]])</f>
        <v>2004</v>
      </c>
      <c r="E671">
        <f>MONTH(ProductLine[[#This Row],[Date]])</f>
        <v>9</v>
      </c>
      <c r="F671" t="s">
        <v>23</v>
      </c>
      <c r="G671">
        <v>32</v>
      </c>
      <c r="H671" s="3">
        <v>98.006987571648764</v>
      </c>
      <c r="I671" s="3">
        <f>ProductLine[[#This Row],[Units]]*ProductLine[[#This Row],[Dollars]]</f>
        <v>3136.2236022927605</v>
      </c>
    </row>
    <row r="672" spans="1:9" x14ac:dyDescent="0.35">
      <c r="A672">
        <v>671</v>
      </c>
      <c r="B672" t="s">
        <v>12</v>
      </c>
      <c r="C672" s="2">
        <v>38815</v>
      </c>
      <c r="D672">
        <f>YEAR(ProductLine[[#This Row],[Date]])</f>
        <v>2006</v>
      </c>
      <c r="E672">
        <f>MONTH(ProductLine[[#This Row],[Date]])</f>
        <v>4</v>
      </c>
      <c r="F672" t="s">
        <v>23</v>
      </c>
      <c r="G672">
        <v>89</v>
      </c>
      <c r="H672" s="3">
        <v>268.58829363415754</v>
      </c>
      <c r="I672" s="3">
        <f>ProductLine[[#This Row],[Units]]*ProductLine[[#This Row],[Dollars]]</f>
        <v>23904.358133440022</v>
      </c>
    </row>
    <row r="673" spans="1:9" x14ac:dyDescent="0.35">
      <c r="A673">
        <v>672</v>
      </c>
      <c r="B673" t="s">
        <v>16</v>
      </c>
      <c r="C673" s="2">
        <v>38683</v>
      </c>
      <c r="D673">
        <f>YEAR(ProductLine[[#This Row],[Date]])</f>
        <v>2005</v>
      </c>
      <c r="E673">
        <f>MONTH(ProductLine[[#This Row],[Date]])</f>
        <v>11</v>
      </c>
      <c r="F673" t="s">
        <v>27</v>
      </c>
      <c r="G673">
        <v>-1</v>
      </c>
      <c r="H673" s="3">
        <v>-0.61047743439715862</v>
      </c>
      <c r="I673" s="3">
        <f>ProductLine[[#This Row],[Units]]*ProductLine[[#This Row],[Dollars]]</f>
        <v>0.61047743439715862</v>
      </c>
    </row>
    <row r="674" spans="1:9" x14ac:dyDescent="0.35">
      <c r="A674">
        <v>673</v>
      </c>
      <c r="B674" t="s">
        <v>10</v>
      </c>
      <c r="C674" s="2">
        <v>38793</v>
      </c>
      <c r="D674">
        <f>YEAR(ProductLine[[#This Row],[Date]])</f>
        <v>2006</v>
      </c>
      <c r="E674">
        <f>MONTH(ProductLine[[#This Row],[Date]])</f>
        <v>3</v>
      </c>
      <c r="F674" t="s">
        <v>26</v>
      </c>
      <c r="G674">
        <v>26</v>
      </c>
      <c r="H674" s="3">
        <v>81.086402502793618</v>
      </c>
      <c r="I674" s="3">
        <f>ProductLine[[#This Row],[Units]]*ProductLine[[#This Row],[Dollars]]</f>
        <v>2108.2464650726342</v>
      </c>
    </row>
    <row r="675" spans="1:9" x14ac:dyDescent="0.35">
      <c r="A675">
        <v>674</v>
      </c>
      <c r="B675" t="s">
        <v>16</v>
      </c>
      <c r="C675" s="2">
        <v>38408</v>
      </c>
      <c r="D675">
        <f>YEAR(ProductLine[[#This Row],[Date]])</f>
        <v>2005</v>
      </c>
      <c r="E675">
        <f>MONTH(ProductLine[[#This Row],[Date]])</f>
        <v>2</v>
      </c>
      <c r="F675" t="s">
        <v>24</v>
      </c>
      <c r="G675">
        <v>56</v>
      </c>
      <c r="H675" s="3">
        <v>170.28880484978066</v>
      </c>
      <c r="I675" s="3">
        <f>ProductLine[[#This Row],[Units]]*ProductLine[[#This Row],[Dollars]]</f>
        <v>9536.1730715877165</v>
      </c>
    </row>
    <row r="676" spans="1:9" x14ac:dyDescent="0.35">
      <c r="A676">
        <v>675</v>
      </c>
      <c r="B676" t="s">
        <v>9</v>
      </c>
      <c r="C676" s="2">
        <v>38221</v>
      </c>
      <c r="D676">
        <f>YEAR(ProductLine[[#This Row],[Date]])</f>
        <v>2004</v>
      </c>
      <c r="E676">
        <f>MONTH(ProductLine[[#This Row],[Date]])</f>
        <v>8</v>
      </c>
      <c r="F676" t="s">
        <v>23</v>
      </c>
      <c r="G676">
        <v>10</v>
      </c>
      <c r="H676" s="3">
        <v>32.446099013561927</v>
      </c>
      <c r="I676" s="3">
        <f>ProductLine[[#This Row],[Units]]*ProductLine[[#This Row],[Dollars]]</f>
        <v>324.46099013561928</v>
      </c>
    </row>
    <row r="677" spans="1:9" x14ac:dyDescent="0.35">
      <c r="A677">
        <v>676</v>
      </c>
      <c r="B677" t="s">
        <v>10</v>
      </c>
      <c r="C677" s="2">
        <v>38023</v>
      </c>
      <c r="D677">
        <f>YEAR(ProductLine[[#This Row],[Date]])</f>
        <v>2004</v>
      </c>
      <c r="E677">
        <f>MONTH(ProductLine[[#This Row],[Date]])</f>
        <v>2</v>
      </c>
      <c r="F677" t="s">
        <v>25</v>
      </c>
      <c r="G677">
        <v>8</v>
      </c>
      <c r="H677" s="3">
        <v>25.639457060752605</v>
      </c>
      <c r="I677" s="3">
        <f>ProductLine[[#This Row],[Units]]*ProductLine[[#This Row],[Dollars]]</f>
        <v>205.11565648602084</v>
      </c>
    </row>
    <row r="678" spans="1:9" x14ac:dyDescent="0.35">
      <c r="A678">
        <v>677</v>
      </c>
      <c r="B678" t="s">
        <v>13</v>
      </c>
      <c r="C678" s="2">
        <v>38474</v>
      </c>
      <c r="D678">
        <f>YEAR(ProductLine[[#This Row],[Date]])</f>
        <v>2005</v>
      </c>
      <c r="E678">
        <f>MONTH(ProductLine[[#This Row],[Date]])</f>
        <v>5</v>
      </c>
      <c r="F678" t="s">
        <v>26</v>
      </c>
      <c r="G678">
        <v>75</v>
      </c>
      <c r="H678" s="3">
        <v>226.81359807971779</v>
      </c>
      <c r="I678" s="3">
        <f>ProductLine[[#This Row],[Units]]*ProductLine[[#This Row],[Dollars]]</f>
        <v>17011.019855978833</v>
      </c>
    </row>
    <row r="679" spans="1:9" x14ac:dyDescent="0.35">
      <c r="A679">
        <v>678</v>
      </c>
      <c r="B679" t="s">
        <v>16</v>
      </c>
      <c r="C679" s="2">
        <v>38386</v>
      </c>
      <c r="D679">
        <f>YEAR(ProductLine[[#This Row],[Date]])</f>
        <v>2005</v>
      </c>
      <c r="E679">
        <f>MONTH(ProductLine[[#This Row],[Date]])</f>
        <v>2</v>
      </c>
      <c r="F679" t="s">
        <v>24</v>
      </c>
      <c r="G679">
        <v>79</v>
      </c>
      <c r="H679" s="3">
        <v>239.4766385714239</v>
      </c>
      <c r="I679" s="3">
        <f>ProductLine[[#This Row],[Units]]*ProductLine[[#This Row],[Dollars]]</f>
        <v>18918.65444714249</v>
      </c>
    </row>
    <row r="680" spans="1:9" x14ac:dyDescent="0.35">
      <c r="A680">
        <v>679</v>
      </c>
      <c r="B680" t="s">
        <v>13</v>
      </c>
      <c r="C680" s="2">
        <v>38485</v>
      </c>
      <c r="D680">
        <f>YEAR(ProductLine[[#This Row],[Date]])</f>
        <v>2005</v>
      </c>
      <c r="E680">
        <f>MONTH(ProductLine[[#This Row],[Date]])</f>
        <v>5</v>
      </c>
      <c r="F680" t="s">
        <v>24</v>
      </c>
      <c r="G680">
        <v>25</v>
      </c>
      <c r="H680" s="3">
        <v>75.944187671627063</v>
      </c>
      <c r="I680" s="3">
        <f>ProductLine[[#This Row],[Units]]*ProductLine[[#This Row],[Dollars]]</f>
        <v>1898.6046917906765</v>
      </c>
    </row>
    <row r="681" spans="1:9" x14ac:dyDescent="0.35">
      <c r="A681">
        <v>680</v>
      </c>
      <c r="B681" t="s">
        <v>14</v>
      </c>
      <c r="C681" s="2">
        <v>39002</v>
      </c>
      <c r="D681">
        <f>YEAR(ProductLine[[#This Row],[Date]])</f>
        <v>2006</v>
      </c>
      <c r="E681">
        <f>MONTH(ProductLine[[#This Row],[Date]])</f>
        <v>10</v>
      </c>
      <c r="F681" t="s">
        <v>23</v>
      </c>
      <c r="G681">
        <v>22</v>
      </c>
      <c r="H681" s="3">
        <v>68.814390503031333</v>
      </c>
      <c r="I681" s="3">
        <f>ProductLine[[#This Row],[Units]]*ProductLine[[#This Row],[Dollars]]</f>
        <v>1513.9165910666893</v>
      </c>
    </row>
    <row r="682" spans="1:9" x14ac:dyDescent="0.35">
      <c r="A682">
        <v>681</v>
      </c>
      <c r="B682" t="s">
        <v>9</v>
      </c>
      <c r="C682" s="2">
        <v>38243</v>
      </c>
      <c r="D682">
        <f>YEAR(ProductLine[[#This Row],[Date]])</f>
        <v>2004</v>
      </c>
      <c r="E682">
        <f>MONTH(ProductLine[[#This Row],[Date]])</f>
        <v>9</v>
      </c>
      <c r="F682" t="s">
        <v>25</v>
      </c>
      <c r="G682">
        <v>88</v>
      </c>
      <c r="H682" s="3">
        <v>265.64166976022739</v>
      </c>
      <c r="I682" s="3">
        <f>ProductLine[[#This Row],[Units]]*ProductLine[[#This Row],[Dollars]]</f>
        <v>23376.466938900012</v>
      </c>
    </row>
    <row r="683" spans="1:9" x14ac:dyDescent="0.35">
      <c r="A683">
        <v>682</v>
      </c>
      <c r="B683" t="s">
        <v>15</v>
      </c>
      <c r="C683" s="2">
        <v>38298</v>
      </c>
      <c r="D683">
        <f>YEAR(ProductLine[[#This Row],[Date]])</f>
        <v>2004</v>
      </c>
      <c r="E683">
        <f>MONTH(ProductLine[[#This Row],[Date]])</f>
        <v>11</v>
      </c>
      <c r="F683" t="s">
        <v>24</v>
      </c>
      <c r="G683">
        <v>94</v>
      </c>
      <c r="H683" s="3">
        <v>284.32899274536834</v>
      </c>
      <c r="I683" s="3">
        <f>ProductLine[[#This Row],[Units]]*ProductLine[[#This Row],[Dollars]]</f>
        <v>26726.925318064623</v>
      </c>
    </row>
    <row r="684" spans="1:9" x14ac:dyDescent="0.35">
      <c r="A684">
        <v>683</v>
      </c>
      <c r="B684" t="s">
        <v>16</v>
      </c>
      <c r="C684" s="2">
        <v>38628</v>
      </c>
      <c r="D684">
        <f>YEAR(ProductLine[[#This Row],[Date]])</f>
        <v>2005</v>
      </c>
      <c r="E684">
        <f>MONTH(ProductLine[[#This Row],[Date]])</f>
        <v>10</v>
      </c>
      <c r="F684" t="s">
        <v>27</v>
      </c>
      <c r="G684">
        <v>58</v>
      </c>
      <c r="H684" s="3">
        <v>176.72593852578336</v>
      </c>
      <c r="I684" s="3">
        <f>ProductLine[[#This Row],[Units]]*ProductLine[[#This Row],[Dollars]]</f>
        <v>10250.104434495435</v>
      </c>
    </row>
    <row r="685" spans="1:9" x14ac:dyDescent="0.35">
      <c r="A685">
        <v>684</v>
      </c>
      <c r="B685" t="s">
        <v>15</v>
      </c>
      <c r="C685" s="2">
        <v>38507</v>
      </c>
      <c r="D685">
        <f>YEAR(ProductLine[[#This Row],[Date]])</f>
        <v>2005</v>
      </c>
      <c r="E685">
        <f>MONTH(ProductLine[[#This Row],[Date]])</f>
        <v>6</v>
      </c>
      <c r="F685" t="s">
        <v>23</v>
      </c>
      <c r="G685">
        <v>66</v>
      </c>
      <c r="H685" s="3">
        <v>200.20830019781053</v>
      </c>
      <c r="I685" s="3">
        <f>ProductLine[[#This Row],[Units]]*ProductLine[[#This Row],[Dollars]]</f>
        <v>13213.747813055495</v>
      </c>
    </row>
    <row r="686" spans="1:9" x14ac:dyDescent="0.35">
      <c r="A686">
        <v>685</v>
      </c>
      <c r="B686" t="s">
        <v>16</v>
      </c>
      <c r="C686" s="2">
        <v>38936</v>
      </c>
      <c r="D686">
        <f>YEAR(ProductLine[[#This Row],[Date]])</f>
        <v>2006</v>
      </c>
      <c r="E686">
        <f>MONTH(ProductLine[[#This Row],[Date]])</f>
        <v>8</v>
      </c>
      <c r="F686" t="s">
        <v>26</v>
      </c>
      <c r="G686">
        <v>82</v>
      </c>
      <c r="H686" s="3">
        <v>247.93546068655294</v>
      </c>
      <c r="I686" s="3">
        <f>ProductLine[[#This Row],[Units]]*ProductLine[[#This Row],[Dollars]]</f>
        <v>20330.707776297342</v>
      </c>
    </row>
    <row r="687" spans="1:9" x14ac:dyDescent="0.35">
      <c r="A687">
        <v>686</v>
      </c>
      <c r="B687" t="s">
        <v>10</v>
      </c>
      <c r="C687" s="2">
        <v>38991</v>
      </c>
      <c r="D687">
        <f>YEAR(ProductLine[[#This Row],[Date]])</f>
        <v>2006</v>
      </c>
      <c r="E687">
        <f>MONTH(ProductLine[[#This Row],[Date]])</f>
        <v>10</v>
      </c>
      <c r="F687" t="s">
        <v>24</v>
      </c>
      <c r="G687">
        <v>94</v>
      </c>
      <c r="H687" s="3">
        <v>283.7655668516507</v>
      </c>
      <c r="I687" s="3">
        <f>ProductLine[[#This Row],[Units]]*ProductLine[[#This Row],[Dollars]]</f>
        <v>26673.963284055168</v>
      </c>
    </row>
    <row r="688" spans="1:9" x14ac:dyDescent="0.35">
      <c r="A688">
        <v>687</v>
      </c>
      <c r="B688" t="s">
        <v>11</v>
      </c>
      <c r="C688" s="2">
        <v>39079</v>
      </c>
      <c r="D688">
        <f>YEAR(ProductLine[[#This Row],[Date]])</f>
        <v>2006</v>
      </c>
      <c r="E688">
        <f>MONTH(ProductLine[[#This Row],[Date]])</f>
        <v>12</v>
      </c>
      <c r="F688" t="s">
        <v>23</v>
      </c>
      <c r="G688">
        <v>27</v>
      </c>
      <c r="H688" s="3">
        <v>82.883173616974645</v>
      </c>
      <c r="I688" s="3">
        <f>ProductLine[[#This Row],[Units]]*ProductLine[[#This Row],[Dollars]]</f>
        <v>2237.8456876583155</v>
      </c>
    </row>
    <row r="689" spans="1:9" x14ac:dyDescent="0.35">
      <c r="A689">
        <v>688</v>
      </c>
      <c r="B689" t="s">
        <v>9</v>
      </c>
      <c r="C689" s="2">
        <v>38089</v>
      </c>
      <c r="D689">
        <f>YEAR(ProductLine[[#This Row],[Date]])</f>
        <v>2004</v>
      </c>
      <c r="E689">
        <f>MONTH(ProductLine[[#This Row],[Date]])</f>
        <v>4</v>
      </c>
      <c r="F689" t="s">
        <v>25</v>
      </c>
      <c r="G689">
        <v>56</v>
      </c>
      <c r="H689" s="3">
        <v>169.95658667826987</v>
      </c>
      <c r="I689" s="3">
        <f>ProductLine[[#This Row],[Units]]*ProductLine[[#This Row],[Dollars]]</f>
        <v>9517.5688539831135</v>
      </c>
    </row>
    <row r="690" spans="1:9" x14ac:dyDescent="0.35">
      <c r="A690">
        <v>689</v>
      </c>
      <c r="B690" t="s">
        <v>15</v>
      </c>
      <c r="C690" s="2">
        <v>38826</v>
      </c>
      <c r="D690">
        <f>YEAR(ProductLine[[#This Row],[Date]])</f>
        <v>2006</v>
      </c>
      <c r="E690">
        <f>MONTH(ProductLine[[#This Row],[Date]])</f>
        <v>4</v>
      </c>
      <c r="F690" t="s">
        <v>27</v>
      </c>
      <c r="G690">
        <v>82</v>
      </c>
      <c r="H690" s="3">
        <v>247.80094907753815</v>
      </c>
      <c r="I690" s="3">
        <f>ProductLine[[#This Row],[Units]]*ProductLine[[#This Row],[Dollars]]</f>
        <v>20319.677824358128</v>
      </c>
    </row>
    <row r="691" spans="1:9" x14ac:dyDescent="0.35">
      <c r="A691">
        <v>690</v>
      </c>
      <c r="B691" t="s">
        <v>15</v>
      </c>
      <c r="C691" s="2">
        <v>38606</v>
      </c>
      <c r="D691">
        <f>YEAR(ProductLine[[#This Row],[Date]])</f>
        <v>2005</v>
      </c>
      <c r="E691">
        <f>MONTH(ProductLine[[#This Row],[Date]])</f>
        <v>9</v>
      </c>
      <c r="F691" t="s">
        <v>27</v>
      </c>
      <c r="G691">
        <v>7</v>
      </c>
      <c r="H691" s="3">
        <v>23.067714309015152</v>
      </c>
      <c r="I691" s="3">
        <f>ProductLine[[#This Row],[Units]]*ProductLine[[#This Row],[Dollars]]</f>
        <v>161.47400016310607</v>
      </c>
    </row>
    <row r="692" spans="1:9" x14ac:dyDescent="0.35">
      <c r="A692">
        <v>691</v>
      </c>
      <c r="B692" t="s">
        <v>9</v>
      </c>
      <c r="C692" s="2">
        <v>38727</v>
      </c>
      <c r="D692">
        <f>YEAR(ProductLine[[#This Row],[Date]])</f>
        <v>2006</v>
      </c>
      <c r="E692">
        <f>MONTH(ProductLine[[#This Row],[Date]])</f>
        <v>1</v>
      </c>
      <c r="F692" t="s">
        <v>23</v>
      </c>
      <c r="G692">
        <v>25</v>
      </c>
      <c r="H692" s="3">
        <v>77.367215999588439</v>
      </c>
      <c r="I692" s="3">
        <f>ProductLine[[#This Row],[Units]]*ProductLine[[#This Row],[Dollars]]</f>
        <v>1934.1803999897111</v>
      </c>
    </row>
    <row r="693" spans="1:9" x14ac:dyDescent="0.35">
      <c r="A693">
        <v>692</v>
      </c>
      <c r="B693" t="s">
        <v>11</v>
      </c>
      <c r="C693" s="2">
        <v>39079</v>
      </c>
      <c r="D693">
        <f>YEAR(ProductLine[[#This Row],[Date]])</f>
        <v>2006</v>
      </c>
      <c r="E693">
        <f>MONTH(ProductLine[[#This Row],[Date]])</f>
        <v>12</v>
      </c>
      <c r="F693" t="s">
        <v>24</v>
      </c>
      <c r="G693">
        <v>15</v>
      </c>
      <c r="H693" s="3">
        <v>46.808970139122437</v>
      </c>
      <c r="I693" s="3">
        <f>ProductLine[[#This Row],[Units]]*ProductLine[[#This Row],[Dollars]]</f>
        <v>702.13455208683649</v>
      </c>
    </row>
    <row r="694" spans="1:9" x14ac:dyDescent="0.35">
      <c r="A694">
        <v>693</v>
      </c>
      <c r="B694" t="s">
        <v>16</v>
      </c>
      <c r="C694" s="2">
        <v>38265</v>
      </c>
      <c r="D694">
        <f>YEAR(ProductLine[[#This Row],[Date]])</f>
        <v>2004</v>
      </c>
      <c r="E694">
        <f>MONTH(ProductLine[[#This Row],[Date]])</f>
        <v>10</v>
      </c>
      <c r="F694" t="s">
        <v>24</v>
      </c>
      <c r="G694">
        <v>39</v>
      </c>
      <c r="H694" s="3">
        <v>118.82068608795676</v>
      </c>
      <c r="I694" s="3">
        <f>ProductLine[[#This Row],[Units]]*ProductLine[[#This Row],[Dollars]]</f>
        <v>4634.0067574303139</v>
      </c>
    </row>
    <row r="695" spans="1:9" x14ac:dyDescent="0.35">
      <c r="A695">
        <v>694</v>
      </c>
      <c r="B695" t="s">
        <v>9</v>
      </c>
      <c r="C695" s="2">
        <v>38628</v>
      </c>
      <c r="D695">
        <f>YEAR(ProductLine[[#This Row],[Date]])</f>
        <v>2005</v>
      </c>
      <c r="E695">
        <f>MONTH(ProductLine[[#This Row],[Date]])</f>
        <v>10</v>
      </c>
      <c r="F695" t="s">
        <v>23</v>
      </c>
      <c r="G695">
        <v>22</v>
      </c>
      <c r="H695" s="3">
        <v>67.920921050637091</v>
      </c>
      <c r="I695" s="3">
        <f>ProductLine[[#This Row],[Units]]*ProductLine[[#This Row],[Dollars]]</f>
        <v>1494.260263114016</v>
      </c>
    </row>
    <row r="696" spans="1:9" x14ac:dyDescent="0.35">
      <c r="A696">
        <v>695</v>
      </c>
      <c r="B696" t="s">
        <v>12</v>
      </c>
      <c r="C696" s="2">
        <v>38430</v>
      </c>
      <c r="D696">
        <f>YEAR(ProductLine[[#This Row],[Date]])</f>
        <v>2005</v>
      </c>
      <c r="E696">
        <f>MONTH(ProductLine[[#This Row],[Date]])</f>
        <v>3</v>
      </c>
      <c r="F696" t="s">
        <v>25</v>
      </c>
      <c r="G696">
        <v>0</v>
      </c>
      <c r="H696" s="3">
        <v>1.5802940518086344</v>
      </c>
      <c r="I696" s="3">
        <f>ProductLine[[#This Row],[Units]]*ProductLine[[#This Row],[Dollars]]</f>
        <v>0</v>
      </c>
    </row>
    <row r="697" spans="1:9" x14ac:dyDescent="0.35">
      <c r="A697">
        <v>696</v>
      </c>
      <c r="B697" t="s">
        <v>9</v>
      </c>
      <c r="C697" s="2">
        <v>38188</v>
      </c>
      <c r="D697">
        <f>YEAR(ProductLine[[#This Row],[Date]])</f>
        <v>2004</v>
      </c>
      <c r="E697">
        <f>MONTH(ProductLine[[#This Row],[Date]])</f>
        <v>7</v>
      </c>
      <c r="F697" t="s">
        <v>27</v>
      </c>
      <c r="G697">
        <v>47</v>
      </c>
      <c r="H697" s="3">
        <v>142.62566704955398</v>
      </c>
      <c r="I697" s="3">
        <f>ProductLine[[#This Row],[Units]]*ProductLine[[#This Row],[Dollars]]</f>
        <v>6703.4063513290375</v>
      </c>
    </row>
    <row r="698" spans="1:9" x14ac:dyDescent="0.35">
      <c r="A698">
        <v>697</v>
      </c>
      <c r="B698" t="s">
        <v>16</v>
      </c>
      <c r="C698" s="2">
        <v>38782</v>
      </c>
      <c r="D698">
        <f>YEAR(ProductLine[[#This Row],[Date]])</f>
        <v>2006</v>
      </c>
      <c r="E698">
        <f>MONTH(ProductLine[[#This Row],[Date]])</f>
        <v>3</v>
      </c>
      <c r="F698" t="s">
        <v>25</v>
      </c>
      <c r="G698">
        <v>36</v>
      </c>
      <c r="H698" s="3">
        <v>110.25851548113316</v>
      </c>
      <c r="I698" s="3">
        <f>ProductLine[[#This Row],[Units]]*ProductLine[[#This Row],[Dollars]]</f>
        <v>3969.3065573207937</v>
      </c>
    </row>
    <row r="699" spans="1:9" x14ac:dyDescent="0.35">
      <c r="A699">
        <v>698</v>
      </c>
      <c r="B699" t="s">
        <v>16</v>
      </c>
      <c r="C699" s="2">
        <v>38243</v>
      </c>
      <c r="D699">
        <f>YEAR(ProductLine[[#This Row],[Date]])</f>
        <v>2004</v>
      </c>
      <c r="E699">
        <f>MONTH(ProductLine[[#This Row],[Date]])</f>
        <v>9</v>
      </c>
      <c r="F699" t="s">
        <v>26</v>
      </c>
      <c r="G699">
        <v>46</v>
      </c>
      <c r="H699" s="3">
        <v>139.52847109810006</v>
      </c>
      <c r="I699" s="3">
        <f>ProductLine[[#This Row],[Units]]*ProductLine[[#This Row],[Dollars]]</f>
        <v>6418.3096705126027</v>
      </c>
    </row>
    <row r="700" spans="1:9" x14ac:dyDescent="0.35">
      <c r="A700">
        <v>699</v>
      </c>
      <c r="B700" t="s">
        <v>15</v>
      </c>
      <c r="C700" s="2">
        <v>38837</v>
      </c>
      <c r="D700">
        <f>YEAR(ProductLine[[#This Row],[Date]])</f>
        <v>2006</v>
      </c>
      <c r="E700">
        <f>MONTH(ProductLine[[#This Row],[Date]])</f>
        <v>4</v>
      </c>
      <c r="F700" t="s">
        <v>26</v>
      </c>
      <c r="G700">
        <v>84</v>
      </c>
      <c r="H700" s="3">
        <v>253.68258531303155</v>
      </c>
      <c r="I700" s="3">
        <f>ProductLine[[#This Row],[Units]]*ProductLine[[#This Row],[Dollars]]</f>
        <v>21309.337166294652</v>
      </c>
    </row>
    <row r="701" spans="1:9" x14ac:dyDescent="0.35">
      <c r="A701">
        <v>700</v>
      </c>
      <c r="B701" t="s">
        <v>14</v>
      </c>
      <c r="C701" s="2">
        <v>38067</v>
      </c>
      <c r="D701">
        <f>YEAR(ProductLine[[#This Row],[Date]])</f>
        <v>2004</v>
      </c>
      <c r="E701">
        <f>MONTH(ProductLine[[#This Row],[Date]])</f>
        <v>3</v>
      </c>
      <c r="F701" t="s">
        <v>23</v>
      </c>
      <c r="G701">
        <v>38</v>
      </c>
      <c r="H701" s="3">
        <v>115.76504648002317</v>
      </c>
      <c r="I701" s="3">
        <f>ProductLine[[#This Row],[Units]]*ProductLine[[#This Row],[Dollars]]</f>
        <v>4399.0717662408806</v>
      </c>
    </row>
    <row r="702" spans="1:9" x14ac:dyDescent="0.35">
      <c r="A702">
        <v>701</v>
      </c>
      <c r="B702" t="s">
        <v>9</v>
      </c>
      <c r="C702" s="2">
        <v>38133</v>
      </c>
      <c r="D702">
        <f>YEAR(ProductLine[[#This Row],[Date]])</f>
        <v>2004</v>
      </c>
      <c r="E702">
        <f>MONTH(ProductLine[[#This Row],[Date]])</f>
        <v>5</v>
      </c>
      <c r="F702" t="s">
        <v>23</v>
      </c>
      <c r="G702">
        <v>13</v>
      </c>
      <c r="H702" s="3">
        <v>40.473506204312045</v>
      </c>
      <c r="I702" s="3">
        <f>ProductLine[[#This Row],[Units]]*ProductLine[[#This Row],[Dollars]]</f>
        <v>526.1555806560566</v>
      </c>
    </row>
    <row r="703" spans="1:9" x14ac:dyDescent="0.35">
      <c r="A703">
        <v>702</v>
      </c>
      <c r="B703" t="s">
        <v>15</v>
      </c>
      <c r="C703" s="2">
        <v>38826</v>
      </c>
      <c r="D703">
        <f>YEAR(ProductLine[[#This Row],[Date]])</f>
        <v>2006</v>
      </c>
      <c r="E703">
        <f>MONTH(ProductLine[[#This Row],[Date]])</f>
        <v>4</v>
      </c>
      <c r="F703" t="s">
        <v>24</v>
      </c>
      <c r="G703">
        <v>40</v>
      </c>
      <c r="H703" s="3">
        <v>122.42180451643387</v>
      </c>
      <c r="I703" s="3">
        <f>ProductLine[[#This Row],[Units]]*ProductLine[[#This Row],[Dollars]]</f>
        <v>4896.8721806573549</v>
      </c>
    </row>
    <row r="704" spans="1:9" x14ac:dyDescent="0.35">
      <c r="A704">
        <v>703</v>
      </c>
      <c r="B704" t="s">
        <v>13</v>
      </c>
      <c r="C704" s="2">
        <v>38155</v>
      </c>
      <c r="D704">
        <f>YEAR(ProductLine[[#This Row],[Date]])</f>
        <v>2004</v>
      </c>
      <c r="E704">
        <f>MONTH(ProductLine[[#This Row],[Date]])</f>
        <v>6</v>
      </c>
      <c r="F704" t="s">
        <v>25</v>
      </c>
      <c r="G704">
        <v>46</v>
      </c>
      <c r="H704" s="3">
        <v>139.4072220659846</v>
      </c>
      <c r="I704" s="3">
        <f>ProductLine[[#This Row],[Units]]*ProductLine[[#This Row],[Dollars]]</f>
        <v>6412.7322150352911</v>
      </c>
    </row>
    <row r="705" spans="1:9" x14ac:dyDescent="0.35">
      <c r="A705">
        <v>704</v>
      </c>
      <c r="B705" t="s">
        <v>17</v>
      </c>
      <c r="C705" s="2">
        <v>38199</v>
      </c>
      <c r="D705">
        <f>YEAR(ProductLine[[#This Row],[Date]])</f>
        <v>2004</v>
      </c>
      <c r="E705">
        <f>MONTH(ProductLine[[#This Row],[Date]])</f>
        <v>7</v>
      </c>
      <c r="F705" t="s">
        <v>26</v>
      </c>
      <c r="G705">
        <v>11</v>
      </c>
      <c r="H705" s="3">
        <v>35.105222117013575</v>
      </c>
      <c r="I705" s="3">
        <f>ProductLine[[#This Row],[Units]]*ProductLine[[#This Row],[Dollars]]</f>
        <v>386.15744328714931</v>
      </c>
    </row>
    <row r="706" spans="1:9" x14ac:dyDescent="0.35">
      <c r="A706">
        <v>705</v>
      </c>
      <c r="B706" t="s">
        <v>11</v>
      </c>
      <c r="C706" s="2">
        <v>38518</v>
      </c>
      <c r="D706">
        <f>YEAR(ProductLine[[#This Row],[Date]])</f>
        <v>2005</v>
      </c>
      <c r="E706">
        <f>MONTH(ProductLine[[#This Row],[Date]])</f>
        <v>6</v>
      </c>
      <c r="F706" t="s">
        <v>23</v>
      </c>
      <c r="G706">
        <v>-1</v>
      </c>
      <c r="H706" s="3">
        <v>-0.89822589573278755</v>
      </c>
      <c r="I706" s="3">
        <f>ProductLine[[#This Row],[Units]]*ProductLine[[#This Row],[Dollars]]</f>
        <v>0.89822589573278755</v>
      </c>
    </row>
    <row r="707" spans="1:9" x14ac:dyDescent="0.35">
      <c r="A707">
        <v>706</v>
      </c>
      <c r="B707" t="s">
        <v>11</v>
      </c>
      <c r="C707" s="2">
        <v>38056</v>
      </c>
      <c r="D707">
        <f>YEAR(ProductLine[[#This Row],[Date]])</f>
        <v>2004</v>
      </c>
      <c r="E707">
        <f>MONTH(ProductLine[[#This Row],[Date]])</f>
        <v>3</v>
      </c>
      <c r="F707" t="s">
        <v>23</v>
      </c>
      <c r="G707">
        <v>32</v>
      </c>
      <c r="H707" s="3">
        <v>98.618549497009866</v>
      </c>
      <c r="I707" s="3">
        <f>ProductLine[[#This Row],[Units]]*ProductLine[[#This Row],[Dollars]]</f>
        <v>3155.7935839043157</v>
      </c>
    </row>
    <row r="708" spans="1:9" x14ac:dyDescent="0.35">
      <c r="A708">
        <v>707</v>
      </c>
      <c r="B708" t="s">
        <v>17</v>
      </c>
      <c r="C708" s="2">
        <v>38001</v>
      </c>
      <c r="D708">
        <f>YEAR(ProductLine[[#This Row],[Date]])</f>
        <v>2004</v>
      </c>
      <c r="E708">
        <f>MONTH(ProductLine[[#This Row],[Date]])</f>
        <v>1</v>
      </c>
      <c r="F708" t="s">
        <v>24</v>
      </c>
      <c r="G708">
        <v>78</v>
      </c>
      <c r="H708" s="3">
        <v>235.37746360511863</v>
      </c>
      <c r="I708" s="3">
        <f>ProductLine[[#This Row],[Units]]*ProductLine[[#This Row],[Dollars]]</f>
        <v>18359.442161199255</v>
      </c>
    </row>
    <row r="709" spans="1:9" x14ac:dyDescent="0.35">
      <c r="A709">
        <v>708</v>
      </c>
      <c r="B709" t="s">
        <v>11</v>
      </c>
      <c r="C709" s="2">
        <v>38375</v>
      </c>
      <c r="D709">
        <f>YEAR(ProductLine[[#This Row],[Date]])</f>
        <v>2005</v>
      </c>
      <c r="E709">
        <f>MONTH(ProductLine[[#This Row],[Date]])</f>
        <v>1</v>
      </c>
      <c r="F709" t="s">
        <v>25</v>
      </c>
      <c r="G709">
        <v>71</v>
      </c>
      <c r="H709" s="3">
        <v>215.14334620644152</v>
      </c>
      <c r="I709" s="3">
        <f>ProductLine[[#This Row],[Units]]*ProductLine[[#This Row],[Dollars]]</f>
        <v>15275.177580657348</v>
      </c>
    </row>
    <row r="710" spans="1:9" x14ac:dyDescent="0.35">
      <c r="A710">
        <v>709</v>
      </c>
      <c r="B710" t="s">
        <v>13</v>
      </c>
      <c r="C710" s="2">
        <v>38100</v>
      </c>
      <c r="D710">
        <f>YEAR(ProductLine[[#This Row],[Date]])</f>
        <v>2004</v>
      </c>
      <c r="E710">
        <f>MONTH(ProductLine[[#This Row],[Date]])</f>
        <v>4</v>
      </c>
      <c r="F710" t="s">
        <v>23</v>
      </c>
      <c r="G710">
        <v>36</v>
      </c>
      <c r="H710" s="3">
        <v>109.79941093344995</v>
      </c>
      <c r="I710" s="3">
        <f>ProductLine[[#This Row],[Units]]*ProductLine[[#This Row],[Dollars]]</f>
        <v>3952.7787936041982</v>
      </c>
    </row>
    <row r="711" spans="1:9" x14ac:dyDescent="0.35">
      <c r="A711">
        <v>710</v>
      </c>
      <c r="B711" t="s">
        <v>16</v>
      </c>
      <c r="C711" s="2">
        <v>38221</v>
      </c>
      <c r="D711">
        <f>YEAR(ProductLine[[#This Row],[Date]])</f>
        <v>2004</v>
      </c>
      <c r="E711">
        <f>MONTH(ProductLine[[#This Row],[Date]])</f>
        <v>8</v>
      </c>
      <c r="F711" t="s">
        <v>27</v>
      </c>
      <c r="G711">
        <v>79</v>
      </c>
      <c r="H711" s="3">
        <v>238.7528909715526</v>
      </c>
      <c r="I711" s="3">
        <f>ProductLine[[#This Row],[Units]]*ProductLine[[#This Row],[Dollars]]</f>
        <v>18861.478386752657</v>
      </c>
    </row>
    <row r="712" spans="1:9" x14ac:dyDescent="0.35">
      <c r="A712">
        <v>711</v>
      </c>
      <c r="B712" t="s">
        <v>11</v>
      </c>
      <c r="C712" s="2">
        <v>38573</v>
      </c>
      <c r="D712">
        <f>YEAR(ProductLine[[#This Row],[Date]])</f>
        <v>2005</v>
      </c>
      <c r="E712">
        <f>MONTH(ProductLine[[#This Row],[Date]])</f>
        <v>8</v>
      </c>
      <c r="F712" t="s">
        <v>25</v>
      </c>
      <c r="G712">
        <v>92</v>
      </c>
      <c r="H712" s="3">
        <v>278.33689319640729</v>
      </c>
      <c r="I712" s="3">
        <f>ProductLine[[#This Row],[Units]]*ProductLine[[#This Row],[Dollars]]</f>
        <v>25606.99417406947</v>
      </c>
    </row>
    <row r="713" spans="1:9" x14ac:dyDescent="0.35">
      <c r="A713">
        <v>712</v>
      </c>
      <c r="B713" t="s">
        <v>10</v>
      </c>
      <c r="C713" s="2">
        <v>38001</v>
      </c>
      <c r="D713">
        <f>YEAR(ProductLine[[#This Row],[Date]])</f>
        <v>2004</v>
      </c>
      <c r="E713">
        <f>MONTH(ProductLine[[#This Row],[Date]])</f>
        <v>1</v>
      </c>
      <c r="F713" t="s">
        <v>24</v>
      </c>
      <c r="G713">
        <v>38</v>
      </c>
      <c r="H713" s="3">
        <v>116.20226134841927</v>
      </c>
      <c r="I713" s="3">
        <f>ProductLine[[#This Row],[Units]]*ProductLine[[#This Row],[Dollars]]</f>
        <v>4415.685931239932</v>
      </c>
    </row>
    <row r="714" spans="1:9" x14ac:dyDescent="0.35">
      <c r="A714">
        <v>713</v>
      </c>
      <c r="B714" t="s">
        <v>9</v>
      </c>
      <c r="C714" s="2">
        <v>39057</v>
      </c>
      <c r="D714">
        <f>YEAR(ProductLine[[#This Row],[Date]])</f>
        <v>2006</v>
      </c>
      <c r="E714">
        <f>MONTH(ProductLine[[#This Row],[Date]])</f>
        <v>12</v>
      </c>
      <c r="F714" t="s">
        <v>27</v>
      </c>
      <c r="G714">
        <v>50</v>
      </c>
      <c r="H714" s="3">
        <v>152.08468006915191</v>
      </c>
      <c r="I714" s="3">
        <f>ProductLine[[#This Row],[Units]]*ProductLine[[#This Row],[Dollars]]</f>
        <v>7604.2340034575955</v>
      </c>
    </row>
    <row r="715" spans="1:9" x14ac:dyDescent="0.35">
      <c r="A715">
        <v>714</v>
      </c>
      <c r="B715" t="s">
        <v>14</v>
      </c>
      <c r="C715" s="2">
        <v>38771</v>
      </c>
      <c r="D715">
        <f>YEAR(ProductLine[[#This Row],[Date]])</f>
        <v>2006</v>
      </c>
      <c r="E715">
        <f>MONTH(ProductLine[[#This Row],[Date]])</f>
        <v>2</v>
      </c>
      <c r="F715" t="s">
        <v>24</v>
      </c>
      <c r="G715">
        <v>31</v>
      </c>
      <c r="H715" s="3">
        <v>93.734083542235183</v>
      </c>
      <c r="I715" s="3">
        <f>ProductLine[[#This Row],[Units]]*ProductLine[[#This Row],[Dollars]]</f>
        <v>2905.7565898092907</v>
      </c>
    </row>
    <row r="716" spans="1:9" x14ac:dyDescent="0.35">
      <c r="A716">
        <v>715</v>
      </c>
      <c r="B716" t="s">
        <v>16</v>
      </c>
      <c r="C716" s="2">
        <v>38881</v>
      </c>
      <c r="D716">
        <f>YEAR(ProductLine[[#This Row],[Date]])</f>
        <v>2006</v>
      </c>
      <c r="E716">
        <f>MONTH(ProductLine[[#This Row],[Date]])</f>
        <v>6</v>
      </c>
      <c r="F716" t="s">
        <v>23</v>
      </c>
      <c r="G716">
        <v>9</v>
      </c>
      <c r="H716" s="3">
        <v>29.386098665239906</v>
      </c>
      <c r="I716" s="3">
        <f>ProductLine[[#This Row],[Units]]*ProductLine[[#This Row],[Dollars]]</f>
        <v>264.47488798715915</v>
      </c>
    </row>
    <row r="717" spans="1:9" x14ac:dyDescent="0.35">
      <c r="A717">
        <v>716</v>
      </c>
      <c r="B717" t="s">
        <v>10</v>
      </c>
      <c r="C717" s="2">
        <v>38408</v>
      </c>
      <c r="D717">
        <f>YEAR(ProductLine[[#This Row],[Date]])</f>
        <v>2005</v>
      </c>
      <c r="E717">
        <f>MONTH(ProductLine[[#This Row],[Date]])</f>
        <v>2</v>
      </c>
      <c r="F717" t="s">
        <v>26</v>
      </c>
      <c r="G717">
        <v>24</v>
      </c>
      <c r="H717" s="3">
        <v>73.278886055388639</v>
      </c>
      <c r="I717" s="3">
        <f>ProductLine[[#This Row],[Units]]*ProductLine[[#This Row],[Dollars]]</f>
        <v>1758.6932653293275</v>
      </c>
    </row>
    <row r="718" spans="1:9" x14ac:dyDescent="0.35">
      <c r="A718">
        <v>717</v>
      </c>
      <c r="B718" t="s">
        <v>11</v>
      </c>
      <c r="C718" s="2">
        <v>38364</v>
      </c>
      <c r="D718">
        <f>YEAR(ProductLine[[#This Row],[Date]])</f>
        <v>2005</v>
      </c>
      <c r="E718">
        <f>MONTH(ProductLine[[#This Row],[Date]])</f>
        <v>1</v>
      </c>
      <c r="F718" t="s">
        <v>23</v>
      </c>
      <c r="G718">
        <v>50</v>
      </c>
      <c r="H718" s="3">
        <v>152.58608557503928</v>
      </c>
      <c r="I718" s="3">
        <f>ProductLine[[#This Row],[Units]]*ProductLine[[#This Row],[Dollars]]</f>
        <v>7629.3042787519635</v>
      </c>
    </row>
    <row r="719" spans="1:9" x14ac:dyDescent="0.35">
      <c r="A719">
        <v>718</v>
      </c>
      <c r="B719" t="s">
        <v>16</v>
      </c>
      <c r="C719" s="2">
        <v>38760</v>
      </c>
      <c r="D719">
        <f>YEAR(ProductLine[[#This Row],[Date]])</f>
        <v>2006</v>
      </c>
      <c r="E719">
        <f>MONTH(ProductLine[[#This Row],[Date]])</f>
        <v>2</v>
      </c>
      <c r="F719" t="s">
        <v>25</v>
      </c>
      <c r="G719">
        <v>32</v>
      </c>
      <c r="H719" s="3">
        <v>98.191983875169328</v>
      </c>
      <c r="I719" s="3">
        <f>ProductLine[[#This Row],[Units]]*ProductLine[[#This Row],[Dollars]]</f>
        <v>3142.1434840054185</v>
      </c>
    </row>
    <row r="720" spans="1:9" x14ac:dyDescent="0.35">
      <c r="A720">
        <v>719</v>
      </c>
      <c r="B720" t="s">
        <v>17</v>
      </c>
      <c r="C720" s="2">
        <v>38243</v>
      </c>
      <c r="D720">
        <f>YEAR(ProductLine[[#This Row],[Date]])</f>
        <v>2004</v>
      </c>
      <c r="E720">
        <f>MONTH(ProductLine[[#This Row],[Date]])</f>
        <v>9</v>
      </c>
      <c r="F720" t="s">
        <v>24</v>
      </c>
      <c r="G720">
        <v>71</v>
      </c>
      <c r="H720" s="3">
        <v>214.9278284338051</v>
      </c>
      <c r="I720" s="3">
        <f>ProductLine[[#This Row],[Units]]*ProductLine[[#This Row],[Dollars]]</f>
        <v>15259.875818800163</v>
      </c>
    </row>
    <row r="721" spans="1:9" x14ac:dyDescent="0.35">
      <c r="A721">
        <v>720</v>
      </c>
      <c r="B721" t="s">
        <v>14</v>
      </c>
      <c r="C721" s="2">
        <v>39024</v>
      </c>
      <c r="D721">
        <f>YEAR(ProductLine[[#This Row],[Date]])</f>
        <v>2006</v>
      </c>
      <c r="E721">
        <f>MONTH(ProductLine[[#This Row],[Date]])</f>
        <v>11</v>
      </c>
      <c r="F721" t="s">
        <v>27</v>
      </c>
      <c r="G721">
        <v>28</v>
      </c>
      <c r="H721" s="3">
        <v>86.107203598905883</v>
      </c>
      <c r="I721" s="3">
        <f>ProductLine[[#This Row],[Units]]*ProductLine[[#This Row],[Dollars]]</f>
        <v>2411.0017007693646</v>
      </c>
    </row>
    <row r="722" spans="1:9" x14ac:dyDescent="0.35">
      <c r="A722">
        <v>721</v>
      </c>
      <c r="B722" t="s">
        <v>11</v>
      </c>
      <c r="C722" s="2">
        <v>39013</v>
      </c>
      <c r="D722">
        <f>YEAR(ProductLine[[#This Row],[Date]])</f>
        <v>2006</v>
      </c>
      <c r="E722">
        <f>MONTH(ProductLine[[#This Row],[Date]])</f>
        <v>10</v>
      </c>
      <c r="F722" t="s">
        <v>23</v>
      </c>
      <c r="G722">
        <v>40</v>
      </c>
      <c r="H722" s="3">
        <v>121.83146625489913</v>
      </c>
      <c r="I722" s="3">
        <f>ProductLine[[#This Row],[Units]]*ProductLine[[#This Row],[Dollars]]</f>
        <v>4873.2586501959649</v>
      </c>
    </row>
    <row r="723" spans="1:9" x14ac:dyDescent="0.35">
      <c r="A723">
        <v>722</v>
      </c>
      <c r="B723" t="s">
        <v>14</v>
      </c>
      <c r="C723" s="2">
        <v>38001</v>
      </c>
      <c r="D723">
        <f>YEAR(ProductLine[[#This Row],[Date]])</f>
        <v>2004</v>
      </c>
      <c r="E723">
        <f>MONTH(ProductLine[[#This Row],[Date]])</f>
        <v>1</v>
      </c>
      <c r="F723" t="s">
        <v>26</v>
      </c>
      <c r="G723">
        <v>75</v>
      </c>
      <c r="H723" s="3">
        <v>226.98711570221042</v>
      </c>
      <c r="I723" s="3">
        <f>ProductLine[[#This Row],[Units]]*ProductLine[[#This Row],[Dollars]]</f>
        <v>17024.033677665782</v>
      </c>
    </row>
    <row r="724" spans="1:9" x14ac:dyDescent="0.35">
      <c r="A724">
        <v>723</v>
      </c>
      <c r="B724" t="s">
        <v>12</v>
      </c>
      <c r="C724" s="2">
        <v>38221</v>
      </c>
      <c r="D724">
        <f>YEAR(ProductLine[[#This Row],[Date]])</f>
        <v>2004</v>
      </c>
      <c r="E724">
        <f>MONTH(ProductLine[[#This Row],[Date]])</f>
        <v>8</v>
      </c>
      <c r="F724" t="s">
        <v>23</v>
      </c>
      <c r="G724">
        <v>30</v>
      </c>
      <c r="H724" s="3">
        <v>92.030625673172352</v>
      </c>
      <c r="I724" s="3">
        <f>ProductLine[[#This Row],[Units]]*ProductLine[[#This Row],[Dollars]]</f>
        <v>2760.9187701951705</v>
      </c>
    </row>
    <row r="725" spans="1:9" x14ac:dyDescent="0.35">
      <c r="A725">
        <v>724</v>
      </c>
      <c r="B725" t="s">
        <v>16</v>
      </c>
      <c r="C725" s="2">
        <v>38694</v>
      </c>
      <c r="D725">
        <f>YEAR(ProductLine[[#This Row],[Date]])</f>
        <v>2005</v>
      </c>
      <c r="E725">
        <f>MONTH(ProductLine[[#This Row],[Date]])</f>
        <v>12</v>
      </c>
      <c r="F725" t="s">
        <v>23</v>
      </c>
      <c r="G725">
        <v>78</v>
      </c>
      <c r="H725" s="3">
        <v>235.89718296494317</v>
      </c>
      <c r="I725" s="3">
        <f>ProductLine[[#This Row],[Units]]*ProductLine[[#This Row],[Dollars]]</f>
        <v>18399.980271265566</v>
      </c>
    </row>
    <row r="726" spans="1:9" x14ac:dyDescent="0.35">
      <c r="A726">
        <v>725</v>
      </c>
      <c r="B726" t="s">
        <v>13</v>
      </c>
      <c r="C726" s="2">
        <v>38573</v>
      </c>
      <c r="D726">
        <f>YEAR(ProductLine[[#This Row],[Date]])</f>
        <v>2005</v>
      </c>
      <c r="E726">
        <f>MONTH(ProductLine[[#This Row],[Date]])</f>
        <v>8</v>
      </c>
      <c r="F726" t="s">
        <v>27</v>
      </c>
      <c r="G726">
        <v>15</v>
      </c>
      <c r="H726" s="3">
        <v>47.09802134338382</v>
      </c>
      <c r="I726" s="3">
        <f>ProductLine[[#This Row],[Units]]*ProductLine[[#This Row],[Dollars]]</f>
        <v>706.47032015075729</v>
      </c>
    </row>
    <row r="727" spans="1:9" x14ac:dyDescent="0.35">
      <c r="A727">
        <v>726</v>
      </c>
      <c r="B727" t="s">
        <v>14</v>
      </c>
      <c r="C727" s="2">
        <v>38298</v>
      </c>
      <c r="D727">
        <f>YEAR(ProductLine[[#This Row],[Date]])</f>
        <v>2004</v>
      </c>
      <c r="E727">
        <f>MONTH(ProductLine[[#This Row],[Date]])</f>
        <v>11</v>
      </c>
      <c r="F727" t="s">
        <v>25</v>
      </c>
      <c r="G727">
        <v>30</v>
      </c>
      <c r="H727" s="3">
        <v>91.800989942743342</v>
      </c>
      <c r="I727" s="3">
        <f>ProductLine[[#This Row],[Units]]*ProductLine[[#This Row],[Dollars]]</f>
        <v>2754.0296982823002</v>
      </c>
    </row>
    <row r="728" spans="1:9" x14ac:dyDescent="0.35">
      <c r="A728">
        <v>727</v>
      </c>
      <c r="B728" t="s">
        <v>12</v>
      </c>
      <c r="C728" s="2">
        <v>38628</v>
      </c>
      <c r="D728">
        <f>YEAR(ProductLine[[#This Row],[Date]])</f>
        <v>2005</v>
      </c>
      <c r="E728">
        <f>MONTH(ProductLine[[#This Row],[Date]])</f>
        <v>10</v>
      </c>
      <c r="F728" t="s">
        <v>24</v>
      </c>
      <c r="G728">
        <v>27</v>
      </c>
      <c r="H728" s="3">
        <v>83.564417753264919</v>
      </c>
      <c r="I728" s="3">
        <f>ProductLine[[#This Row],[Units]]*ProductLine[[#This Row],[Dollars]]</f>
        <v>2256.2392793381528</v>
      </c>
    </row>
    <row r="729" spans="1:9" x14ac:dyDescent="0.35">
      <c r="A729">
        <v>728</v>
      </c>
      <c r="B729" t="s">
        <v>10</v>
      </c>
      <c r="C729" s="2">
        <v>38881</v>
      </c>
      <c r="D729">
        <f>YEAR(ProductLine[[#This Row],[Date]])</f>
        <v>2006</v>
      </c>
      <c r="E729">
        <f>MONTH(ProductLine[[#This Row],[Date]])</f>
        <v>6</v>
      </c>
      <c r="F729" t="s">
        <v>23</v>
      </c>
      <c r="G729">
        <v>95</v>
      </c>
      <c r="H729" s="3">
        <v>286.68421658470419</v>
      </c>
      <c r="I729" s="3">
        <f>ProductLine[[#This Row],[Units]]*ProductLine[[#This Row],[Dollars]]</f>
        <v>27235.000575546899</v>
      </c>
    </row>
    <row r="730" spans="1:9" x14ac:dyDescent="0.35">
      <c r="A730">
        <v>729</v>
      </c>
      <c r="B730" t="s">
        <v>16</v>
      </c>
      <c r="C730" s="2">
        <v>38034</v>
      </c>
      <c r="D730">
        <f>YEAR(ProductLine[[#This Row],[Date]])</f>
        <v>2004</v>
      </c>
      <c r="E730">
        <f>MONTH(ProductLine[[#This Row],[Date]])</f>
        <v>2</v>
      </c>
      <c r="F730" t="s">
        <v>24</v>
      </c>
      <c r="G730">
        <v>62</v>
      </c>
      <c r="H730" s="3">
        <v>188.69979320640692</v>
      </c>
      <c r="I730" s="3">
        <f>ProductLine[[#This Row],[Units]]*ProductLine[[#This Row],[Dollars]]</f>
        <v>11699.387178797229</v>
      </c>
    </row>
    <row r="731" spans="1:9" x14ac:dyDescent="0.35">
      <c r="A731">
        <v>730</v>
      </c>
      <c r="B731" t="s">
        <v>14</v>
      </c>
      <c r="C731" s="2">
        <v>38793</v>
      </c>
      <c r="D731">
        <f>YEAR(ProductLine[[#This Row],[Date]])</f>
        <v>2006</v>
      </c>
      <c r="E731">
        <f>MONTH(ProductLine[[#This Row],[Date]])</f>
        <v>3</v>
      </c>
      <c r="F731" t="s">
        <v>23</v>
      </c>
      <c r="G731">
        <v>-4</v>
      </c>
      <c r="H731" s="3">
        <v>-10.151413084603679</v>
      </c>
      <c r="I731" s="3">
        <f>ProductLine[[#This Row],[Units]]*ProductLine[[#This Row],[Dollars]]</f>
        <v>40.605652338414714</v>
      </c>
    </row>
    <row r="732" spans="1:9" x14ac:dyDescent="0.35">
      <c r="A732">
        <v>731</v>
      </c>
      <c r="B732" t="s">
        <v>9</v>
      </c>
      <c r="C732" s="2">
        <v>38188</v>
      </c>
      <c r="D732">
        <f>YEAR(ProductLine[[#This Row],[Date]])</f>
        <v>2004</v>
      </c>
      <c r="E732">
        <f>MONTH(ProductLine[[#This Row],[Date]])</f>
        <v>7</v>
      </c>
      <c r="F732" t="s">
        <v>27</v>
      </c>
      <c r="G732">
        <v>-3</v>
      </c>
      <c r="H732" s="3">
        <v>-7.2263762915654137</v>
      </c>
      <c r="I732" s="3">
        <f>ProductLine[[#This Row],[Units]]*ProductLine[[#This Row],[Dollars]]</f>
        <v>21.679128874696239</v>
      </c>
    </row>
    <row r="733" spans="1:9" x14ac:dyDescent="0.35">
      <c r="A733">
        <v>732</v>
      </c>
      <c r="B733" t="s">
        <v>10</v>
      </c>
      <c r="C733" s="2">
        <v>38540</v>
      </c>
      <c r="D733">
        <f>YEAR(ProductLine[[#This Row],[Date]])</f>
        <v>2005</v>
      </c>
      <c r="E733">
        <f>MONTH(ProductLine[[#This Row],[Date]])</f>
        <v>7</v>
      </c>
      <c r="F733" t="s">
        <v>27</v>
      </c>
      <c r="G733">
        <v>62</v>
      </c>
      <c r="H733" s="3">
        <v>187.71484715081846</v>
      </c>
      <c r="I733" s="3">
        <f>ProductLine[[#This Row],[Units]]*ProductLine[[#This Row],[Dollars]]</f>
        <v>11638.320523350745</v>
      </c>
    </row>
    <row r="734" spans="1:9" x14ac:dyDescent="0.35">
      <c r="A734">
        <v>733</v>
      </c>
      <c r="B734" t="s">
        <v>9</v>
      </c>
      <c r="C734" s="2">
        <v>38210</v>
      </c>
      <c r="D734">
        <f>YEAR(ProductLine[[#This Row],[Date]])</f>
        <v>2004</v>
      </c>
      <c r="E734">
        <f>MONTH(ProductLine[[#This Row],[Date]])</f>
        <v>8</v>
      </c>
      <c r="F734" t="s">
        <v>25</v>
      </c>
      <c r="G734">
        <v>92</v>
      </c>
      <c r="H734" s="3">
        <v>277.67657907264578</v>
      </c>
      <c r="I734" s="3">
        <f>ProductLine[[#This Row],[Units]]*ProductLine[[#This Row],[Dollars]]</f>
        <v>25546.245274683413</v>
      </c>
    </row>
    <row r="735" spans="1:9" x14ac:dyDescent="0.35">
      <c r="A735">
        <v>734</v>
      </c>
      <c r="B735" t="s">
        <v>12</v>
      </c>
      <c r="C735" s="2">
        <v>39068</v>
      </c>
      <c r="D735">
        <f>YEAR(ProductLine[[#This Row],[Date]])</f>
        <v>2006</v>
      </c>
      <c r="E735">
        <f>MONTH(ProductLine[[#This Row],[Date]])</f>
        <v>12</v>
      </c>
      <c r="F735" t="s">
        <v>24</v>
      </c>
      <c r="G735">
        <v>35</v>
      </c>
      <c r="H735" s="3">
        <v>107.09519938129719</v>
      </c>
      <c r="I735" s="3">
        <f>ProductLine[[#This Row],[Units]]*ProductLine[[#This Row],[Dollars]]</f>
        <v>3748.3319783454017</v>
      </c>
    </row>
    <row r="736" spans="1:9" x14ac:dyDescent="0.35">
      <c r="A736">
        <v>735</v>
      </c>
      <c r="B736" t="s">
        <v>9</v>
      </c>
      <c r="C736" s="2">
        <v>38474</v>
      </c>
      <c r="D736">
        <f>YEAR(ProductLine[[#This Row],[Date]])</f>
        <v>2005</v>
      </c>
      <c r="E736">
        <f>MONTH(ProductLine[[#This Row],[Date]])</f>
        <v>5</v>
      </c>
      <c r="F736" t="s">
        <v>26</v>
      </c>
      <c r="G736">
        <v>91</v>
      </c>
      <c r="H736" s="3">
        <v>274.96271641831527</v>
      </c>
      <c r="I736" s="3">
        <f>ProductLine[[#This Row],[Units]]*ProductLine[[#This Row],[Dollars]]</f>
        <v>25021.607194066688</v>
      </c>
    </row>
    <row r="737" spans="1:9" x14ac:dyDescent="0.35">
      <c r="A737">
        <v>736</v>
      </c>
      <c r="B737" t="s">
        <v>14</v>
      </c>
      <c r="C737" s="2">
        <v>38177</v>
      </c>
      <c r="D737">
        <f>YEAR(ProductLine[[#This Row],[Date]])</f>
        <v>2004</v>
      </c>
      <c r="E737">
        <f>MONTH(ProductLine[[#This Row],[Date]])</f>
        <v>7</v>
      </c>
      <c r="F737" t="s">
        <v>27</v>
      </c>
      <c r="G737">
        <v>21</v>
      </c>
      <c r="H737" s="3">
        <v>64.321884288799509</v>
      </c>
      <c r="I737" s="3">
        <f>ProductLine[[#This Row],[Units]]*ProductLine[[#This Row],[Dollars]]</f>
        <v>1350.7595700647896</v>
      </c>
    </row>
    <row r="738" spans="1:9" x14ac:dyDescent="0.35">
      <c r="A738">
        <v>737</v>
      </c>
      <c r="B738" t="s">
        <v>13</v>
      </c>
      <c r="C738" s="2">
        <v>38738</v>
      </c>
      <c r="D738">
        <f>YEAR(ProductLine[[#This Row],[Date]])</f>
        <v>2006</v>
      </c>
      <c r="E738">
        <f>MONTH(ProductLine[[#This Row],[Date]])</f>
        <v>1</v>
      </c>
      <c r="F738" t="s">
        <v>27</v>
      </c>
      <c r="G738">
        <v>49</v>
      </c>
      <c r="H738" s="3">
        <v>148.73893149445496</v>
      </c>
      <c r="I738" s="3">
        <f>ProductLine[[#This Row],[Units]]*ProductLine[[#This Row],[Dollars]]</f>
        <v>7288.2076432282929</v>
      </c>
    </row>
    <row r="739" spans="1:9" x14ac:dyDescent="0.35">
      <c r="A739">
        <v>738</v>
      </c>
      <c r="B739" t="s">
        <v>12</v>
      </c>
      <c r="C739" s="2">
        <v>38430</v>
      </c>
      <c r="D739">
        <f>YEAR(ProductLine[[#This Row],[Date]])</f>
        <v>2005</v>
      </c>
      <c r="E739">
        <f>MONTH(ProductLine[[#This Row],[Date]])</f>
        <v>3</v>
      </c>
      <c r="F739" t="s">
        <v>24</v>
      </c>
      <c r="G739">
        <v>34</v>
      </c>
      <c r="H739" s="3">
        <v>103.34843435833068</v>
      </c>
      <c r="I739" s="3">
        <f>ProductLine[[#This Row],[Units]]*ProductLine[[#This Row],[Dollars]]</f>
        <v>3513.8467681832431</v>
      </c>
    </row>
    <row r="740" spans="1:9" x14ac:dyDescent="0.35">
      <c r="A740">
        <v>739</v>
      </c>
      <c r="B740" t="s">
        <v>10</v>
      </c>
      <c r="C740" s="2">
        <v>38375</v>
      </c>
      <c r="D740">
        <f>YEAR(ProductLine[[#This Row],[Date]])</f>
        <v>2005</v>
      </c>
      <c r="E740">
        <f>MONTH(ProductLine[[#This Row],[Date]])</f>
        <v>1</v>
      </c>
      <c r="F740" t="s">
        <v>23</v>
      </c>
      <c r="G740">
        <v>56</v>
      </c>
      <c r="H740" s="3">
        <v>170.12124352907122</v>
      </c>
      <c r="I740" s="3">
        <f>ProductLine[[#This Row],[Units]]*ProductLine[[#This Row],[Dollars]]</f>
        <v>9526.7896376279878</v>
      </c>
    </row>
    <row r="741" spans="1:9" x14ac:dyDescent="0.35">
      <c r="A741">
        <v>740</v>
      </c>
      <c r="B741" t="s">
        <v>14</v>
      </c>
      <c r="C741" s="2">
        <v>38133</v>
      </c>
      <c r="D741">
        <f>YEAR(ProductLine[[#This Row],[Date]])</f>
        <v>2004</v>
      </c>
      <c r="E741">
        <f>MONTH(ProductLine[[#This Row],[Date]])</f>
        <v>5</v>
      </c>
      <c r="F741" t="s">
        <v>26</v>
      </c>
      <c r="G741">
        <v>81</v>
      </c>
      <c r="H741" s="3">
        <v>244.85421438007515</v>
      </c>
      <c r="I741" s="3">
        <f>ProductLine[[#This Row],[Units]]*ProductLine[[#This Row],[Dollars]]</f>
        <v>19833.191364786086</v>
      </c>
    </row>
    <row r="742" spans="1:9" x14ac:dyDescent="0.35">
      <c r="A742">
        <v>741</v>
      </c>
      <c r="B742" t="s">
        <v>9</v>
      </c>
      <c r="C742" s="2">
        <v>38089</v>
      </c>
      <c r="D742">
        <f>YEAR(ProductLine[[#This Row],[Date]])</f>
        <v>2004</v>
      </c>
      <c r="E742">
        <f>MONTH(ProductLine[[#This Row],[Date]])</f>
        <v>4</v>
      </c>
      <c r="F742" t="s">
        <v>26</v>
      </c>
      <c r="G742">
        <v>63</v>
      </c>
      <c r="H742" s="3">
        <v>191.24656039127012</v>
      </c>
      <c r="I742" s="3">
        <f>ProductLine[[#This Row],[Units]]*ProductLine[[#This Row],[Dollars]]</f>
        <v>12048.533304650018</v>
      </c>
    </row>
    <row r="743" spans="1:9" x14ac:dyDescent="0.35">
      <c r="A743">
        <v>742</v>
      </c>
      <c r="B743" t="s">
        <v>14</v>
      </c>
      <c r="C743" s="2">
        <v>38474</v>
      </c>
      <c r="D743">
        <f>YEAR(ProductLine[[#This Row],[Date]])</f>
        <v>2005</v>
      </c>
      <c r="E743">
        <f>MONTH(ProductLine[[#This Row],[Date]])</f>
        <v>5</v>
      </c>
      <c r="F743" t="s">
        <v>24</v>
      </c>
      <c r="G743">
        <v>-3</v>
      </c>
      <c r="H743" s="3">
        <v>-7.3657850032017285</v>
      </c>
      <c r="I743" s="3">
        <f>ProductLine[[#This Row],[Units]]*ProductLine[[#This Row],[Dollars]]</f>
        <v>22.097355009605185</v>
      </c>
    </row>
    <row r="744" spans="1:9" x14ac:dyDescent="0.35">
      <c r="A744">
        <v>743</v>
      </c>
      <c r="B744" t="s">
        <v>13</v>
      </c>
      <c r="C744" s="2">
        <v>38540</v>
      </c>
      <c r="D744">
        <f>YEAR(ProductLine[[#This Row],[Date]])</f>
        <v>2005</v>
      </c>
      <c r="E744">
        <f>MONTH(ProductLine[[#This Row],[Date]])</f>
        <v>7</v>
      </c>
      <c r="F744" t="s">
        <v>24</v>
      </c>
      <c r="G744">
        <v>8</v>
      </c>
      <c r="H744" s="3">
        <v>25.810666689825588</v>
      </c>
      <c r="I744" s="3">
        <f>ProductLine[[#This Row],[Units]]*ProductLine[[#This Row],[Dollars]]</f>
        <v>206.4853335186047</v>
      </c>
    </row>
    <row r="745" spans="1:9" x14ac:dyDescent="0.35">
      <c r="A745">
        <v>744</v>
      </c>
      <c r="B745" t="s">
        <v>16</v>
      </c>
      <c r="C745" s="2">
        <v>38078</v>
      </c>
      <c r="D745">
        <f>YEAR(ProductLine[[#This Row],[Date]])</f>
        <v>2004</v>
      </c>
      <c r="E745">
        <f>MONTH(ProductLine[[#This Row],[Date]])</f>
        <v>4</v>
      </c>
      <c r="F745" t="s">
        <v>23</v>
      </c>
      <c r="G745">
        <v>46</v>
      </c>
      <c r="H745" s="3">
        <v>139.61633299698832</v>
      </c>
      <c r="I745" s="3">
        <f>ProductLine[[#This Row],[Units]]*ProductLine[[#This Row],[Dollars]]</f>
        <v>6422.351317861463</v>
      </c>
    </row>
    <row r="746" spans="1:9" x14ac:dyDescent="0.35">
      <c r="A746">
        <v>745</v>
      </c>
      <c r="B746" t="s">
        <v>13</v>
      </c>
      <c r="C746" s="2">
        <v>38397</v>
      </c>
      <c r="D746">
        <f>YEAR(ProductLine[[#This Row],[Date]])</f>
        <v>2005</v>
      </c>
      <c r="E746">
        <f>MONTH(ProductLine[[#This Row],[Date]])</f>
        <v>2</v>
      </c>
      <c r="F746" t="s">
        <v>23</v>
      </c>
      <c r="G746">
        <v>3</v>
      </c>
      <c r="H746" s="3">
        <v>10.87686297512148</v>
      </c>
      <c r="I746" s="3">
        <f>ProductLine[[#This Row],[Units]]*ProductLine[[#This Row],[Dollars]]</f>
        <v>32.630588925364435</v>
      </c>
    </row>
    <row r="747" spans="1:9" x14ac:dyDescent="0.35">
      <c r="A747">
        <v>746</v>
      </c>
      <c r="B747" t="s">
        <v>13</v>
      </c>
      <c r="C747" s="2">
        <v>38859</v>
      </c>
      <c r="D747">
        <f>YEAR(ProductLine[[#This Row],[Date]])</f>
        <v>2006</v>
      </c>
      <c r="E747">
        <f>MONTH(ProductLine[[#This Row],[Date]])</f>
        <v>5</v>
      </c>
      <c r="F747" t="s">
        <v>24</v>
      </c>
      <c r="G747">
        <v>68</v>
      </c>
      <c r="H747" s="3">
        <v>205.86039765882776</v>
      </c>
      <c r="I747" s="3">
        <f>ProductLine[[#This Row],[Units]]*ProductLine[[#This Row],[Dollars]]</f>
        <v>13998.507040800288</v>
      </c>
    </row>
    <row r="748" spans="1:9" x14ac:dyDescent="0.35">
      <c r="A748">
        <v>747</v>
      </c>
      <c r="B748" t="s">
        <v>9</v>
      </c>
      <c r="C748" s="2">
        <v>38826</v>
      </c>
      <c r="D748">
        <f>YEAR(ProductLine[[#This Row],[Date]])</f>
        <v>2006</v>
      </c>
      <c r="E748">
        <f>MONTH(ProductLine[[#This Row],[Date]])</f>
        <v>4</v>
      </c>
      <c r="F748" t="s">
        <v>24</v>
      </c>
      <c r="G748">
        <v>83</v>
      </c>
      <c r="H748" s="3">
        <v>251.06283096017734</v>
      </c>
      <c r="I748" s="3">
        <f>ProductLine[[#This Row],[Units]]*ProductLine[[#This Row],[Dollars]]</f>
        <v>20838.21496969472</v>
      </c>
    </row>
    <row r="749" spans="1:9" x14ac:dyDescent="0.35">
      <c r="A749">
        <v>748</v>
      </c>
      <c r="B749" t="s">
        <v>14</v>
      </c>
      <c r="C749" s="2">
        <v>38397</v>
      </c>
      <c r="D749">
        <f>YEAR(ProductLine[[#This Row],[Date]])</f>
        <v>2005</v>
      </c>
      <c r="E749">
        <f>MONTH(ProductLine[[#This Row],[Date]])</f>
        <v>2</v>
      </c>
      <c r="F749" t="s">
        <v>26</v>
      </c>
      <c r="G749">
        <v>51</v>
      </c>
      <c r="H749" s="3">
        <v>155.12341917228474</v>
      </c>
      <c r="I749" s="3">
        <f>ProductLine[[#This Row],[Units]]*ProductLine[[#This Row],[Dollars]]</f>
        <v>7911.2943777865221</v>
      </c>
    </row>
    <row r="750" spans="1:9" x14ac:dyDescent="0.35">
      <c r="A750">
        <v>749</v>
      </c>
      <c r="B750" t="s">
        <v>17</v>
      </c>
      <c r="C750" s="2">
        <v>38826</v>
      </c>
      <c r="D750">
        <f>YEAR(ProductLine[[#This Row],[Date]])</f>
        <v>2006</v>
      </c>
      <c r="E750">
        <f>MONTH(ProductLine[[#This Row],[Date]])</f>
        <v>4</v>
      </c>
      <c r="F750" t="s">
        <v>24</v>
      </c>
      <c r="G750">
        <v>16</v>
      </c>
      <c r="H750" s="3">
        <v>50.203538747394113</v>
      </c>
      <c r="I750" s="3">
        <f>ProductLine[[#This Row],[Units]]*ProductLine[[#This Row],[Dollars]]</f>
        <v>803.25661995830581</v>
      </c>
    </row>
    <row r="751" spans="1:9" x14ac:dyDescent="0.35">
      <c r="A751">
        <v>750</v>
      </c>
      <c r="B751" t="s">
        <v>17</v>
      </c>
      <c r="C751" s="2">
        <v>38848</v>
      </c>
      <c r="D751">
        <f>YEAR(ProductLine[[#This Row],[Date]])</f>
        <v>2006</v>
      </c>
      <c r="E751">
        <f>MONTH(ProductLine[[#This Row],[Date]])</f>
        <v>5</v>
      </c>
      <c r="F751" t="s">
        <v>26</v>
      </c>
      <c r="G751">
        <v>-2</v>
      </c>
      <c r="H751" s="3">
        <v>-3.9135627833735267</v>
      </c>
      <c r="I751" s="3">
        <f>ProductLine[[#This Row],[Units]]*ProductLine[[#This Row],[Dollars]]</f>
        <v>7.8271255667470534</v>
      </c>
    </row>
    <row r="752" spans="1:9" x14ac:dyDescent="0.35">
      <c r="A752">
        <v>751</v>
      </c>
      <c r="B752" t="s">
        <v>14</v>
      </c>
      <c r="C752" s="2">
        <v>38320</v>
      </c>
      <c r="D752">
        <f>YEAR(ProductLine[[#This Row],[Date]])</f>
        <v>2004</v>
      </c>
      <c r="E752">
        <f>MONTH(ProductLine[[#This Row],[Date]])</f>
        <v>11</v>
      </c>
      <c r="F752" t="s">
        <v>23</v>
      </c>
      <c r="G752">
        <v>6</v>
      </c>
      <c r="H752" s="3">
        <v>20.370424027363761</v>
      </c>
      <c r="I752" s="3">
        <f>ProductLine[[#This Row],[Units]]*ProductLine[[#This Row],[Dollars]]</f>
        <v>122.22254416418257</v>
      </c>
    </row>
    <row r="753" spans="1:9" x14ac:dyDescent="0.35">
      <c r="A753">
        <v>752</v>
      </c>
      <c r="B753" t="s">
        <v>13</v>
      </c>
      <c r="C753" s="2">
        <v>38650</v>
      </c>
      <c r="D753">
        <f>YEAR(ProductLine[[#This Row],[Date]])</f>
        <v>2005</v>
      </c>
      <c r="E753">
        <f>MONTH(ProductLine[[#This Row],[Date]])</f>
        <v>10</v>
      </c>
      <c r="F753" t="s">
        <v>23</v>
      </c>
      <c r="G753">
        <v>-5</v>
      </c>
      <c r="H753" s="3">
        <v>-12.571701775011148</v>
      </c>
      <c r="I753" s="3">
        <f>ProductLine[[#This Row],[Units]]*ProductLine[[#This Row],[Dollars]]</f>
        <v>62.85850887505574</v>
      </c>
    </row>
    <row r="754" spans="1:9" x14ac:dyDescent="0.35">
      <c r="A754">
        <v>753</v>
      </c>
      <c r="B754" t="s">
        <v>9</v>
      </c>
      <c r="C754" s="2">
        <v>38738</v>
      </c>
      <c r="D754">
        <f>YEAR(ProductLine[[#This Row],[Date]])</f>
        <v>2006</v>
      </c>
      <c r="E754">
        <f>MONTH(ProductLine[[#This Row],[Date]])</f>
        <v>1</v>
      </c>
      <c r="F754" t="s">
        <v>26</v>
      </c>
      <c r="G754">
        <v>42</v>
      </c>
      <c r="H754" s="3">
        <v>127.71123178411425</v>
      </c>
      <c r="I754" s="3">
        <f>ProductLine[[#This Row],[Units]]*ProductLine[[#This Row],[Dollars]]</f>
        <v>5363.8717349327981</v>
      </c>
    </row>
    <row r="755" spans="1:9" x14ac:dyDescent="0.35">
      <c r="A755">
        <v>754</v>
      </c>
      <c r="B755" t="s">
        <v>14</v>
      </c>
      <c r="C755" s="2">
        <v>38364</v>
      </c>
      <c r="D755">
        <f>YEAR(ProductLine[[#This Row],[Date]])</f>
        <v>2005</v>
      </c>
      <c r="E755">
        <f>MONTH(ProductLine[[#This Row],[Date]])</f>
        <v>1</v>
      </c>
      <c r="F755" t="s">
        <v>26</v>
      </c>
      <c r="G755">
        <v>47</v>
      </c>
      <c r="H755" s="3">
        <v>143.38409457230034</v>
      </c>
      <c r="I755" s="3">
        <f>ProductLine[[#This Row],[Units]]*ProductLine[[#This Row],[Dollars]]</f>
        <v>6739.0524448981159</v>
      </c>
    </row>
    <row r="756" spans="1:9" x14ac:dyDescent="0.35">
      <c r="A756">
        <v>755</v>
      </c>
      <c r="B756" t="s">
        <v>10</v>
      </c>
      <c r="C756" s="2">
        <v>38925</v>
      </c>
      <c r="D756">
        <f>YEAR(ProductLine[[#This Row],[Date]])</f>
        <v>2006</v>
      </c>
      <c r="E756">
        <f>MONTH(ProductLine[[#This Row],[Date]])</f>
        <v>7</v>
      </c>
      <c r="F756" t="s">
        <v>27</v>
      </c>
      <c r="G756">
        <v>16</v>
      </c>
      <c r="H756" s="3">
        <v>50.193862989445165</v>
      </c>
      <c r="I756" s="3">
        <f>ProductLine[[#This Row],[Units]]*ProductLine[[#This Row],[Dollars]]</f>
        <v>803.10180783112264</v>
      </c>
    </row>
    <row r="757" spans="1:9" x14ac:dyDescent="0.35">
      <c r="A757">
        <v>756</v>
      </c>
      <c r="B757" t="s">
        <v>17</v>
      </c>
      <c r="C757" s="2">
        <v>38122</v>
      </c>
      <c r="D757">
        <f>YEAR(ProductLine[[#This Row],[Date]])</f>
        <v>2004</v>
      </c>
      <c r="E757">
        <f>MONTH(ProductLine[[#This Row],[Date]])</f>
        <v>5</v>
      </c>
      <c r="F757" t="s">
        <v>23</v>
      </c>
      <c r="G757">
        <v>11</v>
      </c>
      <c r="H757" s="3">
        <v>35.356196404749518</v>
      </c>
      <c r="I757" s="3">
        <f>ProductLine[[#This Row],[Units]]*ProductLine[[#This Row],[Dollars]]</f>
        <v>388.91816045224471</v>
      </c>
    </row>
    <row r="758" spans="1:9" x14ac:dyDescent="0.35">
      <c r="A758">
        <v>757</v>
      </c>
      <c r="B758" t="s">
        <v>9</v>
      </c>
      <c r="C758" s="2">
        <v>38320</v>
      </c>
      <c r="D758">
        <f>YEAR(ProductLine[[#This Row],[Date]])</f>
        <v>2004</v>
      </c>
      <c r="E758">
        <f>MONTH(ProductLine[[#This Row],[Date]])</f>
        <v>11</v>
      </c>
      <c r="F758" t="s">
        <v>26</v>
      </c>
      <c r="G758">
        <v>-10</v>
      </c>
      <c r="H758" s="3">
        <v>-27.896760549483552</v>
      </c>
      <c r="I758" s="3">
        <f>ProductLine[[#This Row],[Units]]*ProductLine[[#This Row],[Dollars]]</f>
        <v>278.96760549483554</v>
      </c>
    </row>
    <row r="759" spans="1:9" x14ac:dyDescent="0.35">
      <c r="A759">
        <v>758</v>
      </c>
      <c r="B759" t="s">
        <v>11</v>
      </c>
      <c r="C759" s="2">
        <v>38056</v>
      </c>
      <c r="D759">
        <f>YEAR(ProductLine[[#This Row],[Date]])</f>
        <v>2004</v>
      </c>
      <c r="E759">
        <f>MONTH(ProductLine[[#This Row],[Date]])</f>
        <v>3</v>
      </c>
      <c r="F759" t="s">
        <v>26</v>
      </c>
      <c r="G759">
        <v>21</v>
      </c>
      <c r="H759" s="3">
        <v>65.379195576752196</v>
      </c>
      <c r="I759" s="3">
        <f>ProductLine[[#This Row],[Units]]*ProductLine[[#This Row],[Dollars]]</f>
        <v>1372.963107111796</v>
      </c>
    </row>
    <row r="760" spans="1:9" x14ac:dyDescent="0.35">
      <c r="A760">
        <v>759</v>
      </c>
      <c r="B760" t="s">
        <v>17</v>
      </c>
      <c r="C760" s="2">
        <v>38650</v>
      </c>
      <c r="D760">
        <f>YEAR(ProductLine[[#This Row],[Date]])</f>
        <v>2005</v>
      </c>
      <c r="E760">
        <f>MONTH(ProductLine[[#This Row],[Date]])</f>
        <v>10</v>
      </c>
      <c r="F760" t="s">
        <v>27</v>
      </c>
      <c r="G760">
        <v>52</v>
      </c>
      <c r="H760" s="3">
        <v>157.72596503790041</v>
      </c>
      <c r="I760" s="3">
        <f>ProductLine[[#This Row],[Units]]*ProductLine[[#This Row],[Dollars]]</f>
        <v>8201.7501819708214</v>
      </c>
    </row>
    <row r="761" spans="1:9" x14ac:dyDescent="0.35">
      <c r="A761">
        <v>760</v>
      </c>
      <c r="B761" t="s">
        <v>14</v>
      </c>
      <c r="C761" s="2">
        <v>38089</v>
      </c>
      <c r="D761">
        <f>YEAR(ProductLine[[#This Row],[Date]])</f>
        <v>2004</v>
      </c>
      <c r="E761">
        <f>MONTH(ProductLine[[#This Row],[Date]])</f>
        <v>4</v>
      </c>
      <c r="F761" t="s">
        <v>25</v>
      </c>
      <c r="G761">
        <v>5</v>
      </c>
      <c r="H761" s="3">
        <v>17.005120052550815</v>
      </c>
      <c r="I761" s="3">
        <f>ProductLine[[#This Row],[Units]]*ProductLine[[#This Row],[Dollars]]</f>
        <v>85.025600262754068</v>
      </c>
    </row>
    <row r="762" spans="1:9" x14ac:dyDescent="0.35">
      <c r="A762">
        <v>761</v>
      </c>
      <c r="B762" t="s">
        <v>14</v>
      </c>
      <c r="C762" s="2">
        <v>38562</v>
      </c>
      <c r="D762">
        <f>YEAR(ProductLine[[#This Row],[Date]])</f>
        <v>2005</v>
      </c>
      <c r="E762">
        <f>MONTH(ProductLine[[#This Row],[Date]])</f>
        <v>7</v>
      </c>
      <c r="F762" t="s">
        <v>26</v>
      </c>
      <c r="G762">
        <v>52</v>
      </c>
      <c r="H762" s="3">
        <v>158.43447603180036</v>
      </c>
      <c r="I762" s="3">
        <f>ProductLine[[#This Row],[Units]]*ProductLine[[#This Row],[Dollars]]</f>
        <v>8238.5927536536183</v>
      </c>
    </row>
    <row r="763" spans="1:9" x14ac:dyDescent="0.35">
      <c r="A763">
        <v>762</v>
      </c>
      <c r="B763" t="s">
        <v>13</v>
      </c>
      <c r="C763" s="2">
        <v>38441</v>
      </c>
      <c r="D763">
        <f>YEAR(ProductLine[[#This Row],[Date]])</f>
        <v>2005</v>
      </c>
      <c r="E763">
        <f>MONTH(ProductLine[[#This Row],[Date]])</f>
        <v>3</v>
      </c>
      <c r="F763" t="s">
        <v>27</v>
      </c>
      <c r="G763">
        <v>38</v>
      </c>
      <c r="H763" s="3">
        <v>115.38889596804569</v>
      </c>
      <c r="I763" s="3">
        <f>ProductLine[[#This Row],[Units]]*ProductLine[[#This Row],[Dollars]]</f>
        <v>4384.7780467857365</v>
      </c>
    </row>
    <row r="764" spans="1:9" x14ac:dyDescent="0.35">
      <c r="A764">
        <v>763</v>
      </c>
      <c r="B764" t="s">
        <v>15</v>
      </c>
      <c r="C764" s="2">
        <v>38848</v>
      </c>
      <c r="D764">
        <f>YEAR(ProductLine[[#This Row],[Date]])</f>
        <v>2006</v>
      </c>
      <c r="E764">
        <f>MONTH(ProductLine[[#This Row],[Date]])</f>
        <v>5</v>
      </c>
      <c r="F764" t="s">
        <v>27</v>
      </c>
      <c r="G764">
        <v>84</v>
      </c>
      <c r="H764" s="3">
        <v>254.2621659223083</v>
      </c>
      <c r="I764" s="3">
        <f>ProductLine[[#This Row],[Units]]*ProductLine[[#This Row],[Dollars]]</f>
        <v>21358.021937473895</v>
      </c>
    </row>
    <row r="765" spans="1:9" x14ac:dyDescent="0.35">
      <c r="A765">
        <v>764</v>
      </c>
      <c r="B765" t="s">
        <v>17</v>
      </c>
      <c r="C765" s="2">
        <v>39057</v>
      </c>
      <c r="D765">
        <f>YEAR(ProductLine[[#This Row],[Date]])</f>
        <v>2006</v>
      </c>
      <c r="E765">
        <f>MONTH(ProductLine[[#This Row],[Date]])</f>
        <v>12</v>
      </c>
      <c r="F765" t="s">
        <v>25</v>
      </c>
      <c r="G765">
        <v>18</v>
      </c>
      <c r="H765" s="3">
        <v>55.343428443559006</v>
      </c>
      <c r="I765" s="3">
        <f>ProductLine[[#This Row],[Units]]*ProductLine[[#This Row],[Dollars]]</f>
        <v>996.18171198406208</v>
      </c>
    </row>
    <row r="766" spans="1:9" x14ac:dyDescent="0.35">
      <c r="A766">
        <v>765</v>
      </c>
      <c r="B766" t="s">
        <v>16</v>
      </c>
      <c r="C766" s="2">
        <v>38111</v>
      </c>
      <c r="D766">
        <f>YEAR(ProductLine[[#This Row],[Date]])</f>
        <v>2004</v>
      </c>
      <c r="E766">
        <f>MONTH(ProductLine[[#This Row],[Date]])</f>
        <v>5</v>
      </c>
      <c r="F766" t="s">
        <v>23</v>
      </c>
      <c r="G766">
        <v>-6</v>
      </c>
      <c r="H766" s="3">
        <v>-15.742829763147856</v>
      </c>
      <c r="I766" s="3">
        <f>ProductLine[[#This Row],[Units]]*ProductLine[[#This Row],[Dollars]]</f>
        <v>94.456978578887146</v>
      </c>
    </row>
    <row r="767" spans="1:9" x14ac:dyDescent="0.35">
      <c r="A767">
        <v>766</v>
      </c>
      <c r="B767" t="s">
        <v>17</v>
      </c>
      <c r="C767" s="2">
        <v>38078</v>
      </c>
      <c r="D767">
        <f>YEAR(ProductLine[[#This Row],[Date]])</f>
        <v>2004</v>
      </c>
      <c r="E767">
        <f>MONTH(ProductLine[[#This Row],[Date]])</f>
        <v>4</v>
      </c>
      <c r="F767" t="s">
        <v>23</v>
      </c>
      <c r="G767">
        <v>5</v>
      </c>
      <c r="H767" s="3">
        <v>16.913541625810112</v>
      </c>
      <c r="I767" s="3">
        <f>ProductLine[[#This Row],[Units]]*ProductLine[[#This Row],[Dollars]]</f>
        <v>84.567708129050558</v>
      </c>
    </row>
    <row r="768" spans="1:9" x14ac:dyDescent="0.35">
      <c r="A768">
        <v>767</v>
      </c>
      <c r="B768" t="s">
        <v>13</v>
      </c>
      <c r="C768" s="2">
        <v>39057</v>
      </c>
      <c r="D768">
        <f>YEAR(ProductLine[[#This Row],[Date]])</f>
        <v>2006</v>
      </c>
      <c r="E768">
        <f>MONTH(ProductLine[[#This Row],[Date]])</f>
        <v>12</v>
      </c>
      <c r="F768" t="s">
        <v>24</v>
      </c>
      <c r="G768">
        <v>59</v>
      </c>
      <c r="H768" s="3">
        <v>178.89597357687876</v>
      </c>
      <c r="I768" s="3">
        <f>ProductLine[[#This Row],[Units]]*ProductLine[[#This Row],[Dollars]]</f>
        <v>10554.862441035846</v>
      </c>
    </row>
    <row r="769" spans="1:9" x14ac:dyDescent="0.35">
      <c r="A769">
        <v>768</v>
      </c>
      <c r="B769" t="s">
        <v>13</v>
      </c>
      <c r="C769" s="2">
        <v>38529</v>
      </c>
      <c r="D769">
        <f>YEAR(ProductLine[[#This Row],[Date]])</f>
        <v>2005</v>
      </c>
      <c r="E769">
        <f>MONTH(ProductLine[[#This Row],[Date]])</f>
        <v>6</v>
      </c>
      <c r="F769" t="s">
        <v>27</v>
      </c>
      <c r="G769">
        <v>-1</v>
      </c>
      <c r="H769" s="3">
        <v>-1.4317242178607446</v>
      </c>
      <c r="I769" s="3">
        <f>ProductLine[[#This Row],[Units]]*ProductLine[[#This Row],[Dollars]]</f>
        <v>1.4317242178607446</v>
      </c>
    </row>
    <row r="770" spans="1:9" x14ac:dyDescent="0.35">
      <c r="A770">
        <v>769</v>
      </c>
      <c r="B770" t="s">
        <v>16</v>
      </c>
      <c r="C770" s="2">
        <v>38375</v>
      </c>
      <c r="D770">
        <f>YEAR(ProductLine[[#This Row],[Date]])</f>
        <v>2005</v>
      </c>
      <c r="E770">
        <f>MONTH(ProductLine[[#This Row],[Date]])</f>
        <v>1</v>
      </c>
      <c r="F770" t="s">
        <v>25</v>
      </c>
      <c r="G770">
        <v>12</v>
      </c>
      <c r="H770" s="3">
        <v>37.854496358374917</v>
      </c>
      <c r="I770" s="3">
        <f>ProductLine[[#This Row],[Units]]*ProductLine[[#This Row],[Dollars]]</f>
        <v>454.253956300499</v>
      </c>
    </row>
    <row r="771" spans="1:9" x14ac:dyDescent="0.35">
      <c r="A771">
        <v>770</v>
      </c>
      <c r="B771" t="s">
        <v>13</v>
      </c>
      <c r="C771" s="2">
        <v>38067</v>
      </c>
      <c r="D771">
        <f>YEAR(ProductLine[[#This Row],[Date]])</f>
        <v>2004</v>
      </c>
      <c r="E771">
        <f>MONTH(ProductLine[[#This Row],[Date]])</f>
        <v>3</v>
      </c>
      <c r="F771" t="s">
        <v>25</v>
      </c>
      <c r="G771">
        <v>25</v>
      </c>
      <c r="H771" s="3">
        <v>76.808458339015715</v>
      </c>
      <c r="I771" s="3">
        <f>ProductLine[[#This Row],[Units]]*ProductLine[[#This Row],[Dollars]]</f>
        <v>1920.2114584753929</v>
      </c>
    </row>
    <row r="772" spans="1:9" x14ac:dyDescent="0.35">
      <c r="A772">
        <v>771</v>
      </c>
      <c r="B772" t="s">
        <v>14</v>
      </c>
      <c r="C772" s="2">
        <v>38529</v>
      </c>
      <c r="D772">
        <f>YEAR(ProductLine[[#This Row],[Date]])</f>
        <v>2005</v>
      </c>
      <c r="E772">
        <f>MONTH(ProductLine[[#This Row],[Date]])</f>
        <v>6</v>
      </c>
      <c r="F772" t="s">
        <v>27</v>
      </c>
      <c r="G772">
        <v>33</v>
      </c>
      <c r="H772" s="3">
        <v>101.42418309364238</v>
      </c>
      <c r="I772" s="3">
        <f>ProductLine[[#This Row],[Units]]*ProductLine[[#This Row],[Dollars]]</f>
        <v>3346.9980420901989</v>
      </c>
    </row>
    <row r="773" spans="1:9" x14ac:dyDescent="0.35">
      <c r="A773">
        <v>772</v>
      </c>
      <c r="B773" t="s">
        <v>9</v>
      </c>
      <c r="C773" s="2">
        <v>38045</v>
      </c>
      <c r="D773">
        <f>YEAR(ProductLine[[#This Row],[Date]])</f>
        <v>2004</v>
      </c>
      <c r="E773">
        <f>MONTH(ProductLine[[#This Row],[Date]])</f>
        <v>2</v>
      </c>
      <c r="F773" t="s">
        <v>27</v>
      </c>
      <c r="G773">
        <v>12</v>
      </c>
      <c r="H773" s="3">
        <v>37.887038047747772</v>
      </c>
      <c r="I773" s="3">
        <f>ProductLine[[#This Row],[Units]]*ProductLine[[#This Row],[Dollars]]</f>
        <v>454.64445657297324</v>
      </c>
    </row>
    <row r="774" spans="1:9" x14ac:dyDescent="0.35">
      <c r="A774">
        <v>773</v>
      </c>
      <c r="B774" t="s">
        <v>15</v>
      </c>
      <c r="C774" s="2">
        <v>38573</v>
      </c>
      <c r="D774">
        <f>YEAR(ProductLine[[#This Row],[Date]])</f>
        <v>2005</v>
      </c>
      <c r="E774">
        <f>MONTH(ProductLine[[#This Row],[Date]])</f>
        <v>8</v>
      </c>
      <c r="F774" t="s">
        <v>26</v>
      </c>
      <c r="G774">
        <v>52</v>
      </c>
      <c r="H774" s="3">
        <v>158.30772051149228</v>
      </c>
      <c r="I774" s="3">
        <f>ProductLine[[#This Row],[Units]]*ProductLine[[#This Row],[Dollars]]</f>
        <v>8232.0014665975978</v>
      </c>
    </row>
    <row r="775" spans="1:9" x14ac:dyDescent="0.35">
      <c r="A775">
        <v>774</v>
      </c>
      <c r="B775" t="s">
        <v>16</v>
      </c>
      <c r="C775" s="2">
        <v>38441</v>
      </c>
      <c r="D775">
        <f>YEAR(ProductLine[[#This Row],[Date]])</f>
        <v>2005</v>
      </c>
      <c r="E775">
        <f>MONTH(ProductLine[[#This Row],[Date]])</f>
        <v>3</v>
      </c>
      <c r="F775" t="s">
        <v>26</v>
      </c>
      <c r="G775">
        <v>34</v>
      </c>
      <c r="H775" s="3">
        <v>103.62316183025368</v>
      </c>
      <c r="I775" s="3">
        <f>ProductLine[[#This Row],[Units]]*ProductLine[[#This Row],[Dollars]]</f>
        <v>3523.1875022286249</v>
      </c>
    </row>
    <row r="776" spans="1:9" x14ac:dyDescent="0.35">
      <c r="A776">
        <v>775</v>
      </c>
      <c r="B776" t="s">
        <v>14</v>
      </c>
      <c r="C776" s="2">
        <v>38562</v>
      </c>
      <c r="D776">
        <f>YEAR(ProductLine[[#This Row],[Date]])</f>
        <v>2005</v>
      </c>
      <c r="E776">
        <f>MONTH(ProductLine[[#This Row],[Date]])</f>
        <v>7</v>
      </c>
      <c r="F776" t="s">
        <v>24</v>
      </c>
      <c r="G776">
        <v>66</v>
      </c>
      <c r="H776" s="3">
        <v>200.65880996778469</v>
      </c>
      <c r="I776" s="3">
        <f>ProductLine[[#This Row],[Units]]*ProductLine[[#This Row],[Dollars]]</f>
        <v>13243.48145787379</v>
      </c>
    </row>
    <row r="777" spans="1:9" x14ac:dyDescent="0.35">
      <c r="A777">
        <v>776</v>
      </c>
      <c r="B777" t="s">
        <v>14</v>
      </c>
      <c r="C777" s="2">
        <v>38199</v>
      </c>
      <c r="D777">
        <f>YEAR(ProductLine[[#This Row],[Date]])</f>
        <v>2004</v>
      </c>
      <c r="E777">
        <f>MONTH(ProductLine[[#This Row],[Date]])</f>
        <v>7</v>
      </c>
      <c r="F777" t="s">
        <v>25</v>
      </c>
      <c r="G777">
        <v>10</v>
      </c>
      <c r="H777" s="3">
        <v>31.853247271934272</v>
      </c>
      <c r="I777" s="3">
        <f>ProductLine[[#This Row],[Units]]*ProductLine[[#This Row],[Dollars]]</f>
        <v>318.53247271934271</v>
      </c>
    </row>
    <row r="778" spans="1:9" x14ac:dyDescent="0.35">
      <c r="A778">
        <v>777</v>
      </c>
      <c r="B778" t="s">
        <v>17</v>
      </c>
      <c r="C778" s="2">
        <v>38045</v>
      </c>
      <c r="D778">
        <f>YEAR(ProductLine[[#This Row],[Date]])</f>
        <v>2004</v>
      </c>
      <c r="E778">
        <f>MONTH(ProductLine[[#This Row],[Date]])</f>
        <v>2</v>
      </c>
      <c r="F778" t="s">
        <v>24</v>
      </c>
      <c r="G778">
        <v>-5</v>
      </c>
      <c r="H778" s="3">
        <v>-12.547627479219663</v>
      </c>
      <c r="I778" s="3">
        <f>ProductLine[[#This Row],[Units]]*ProductLine[[#This Row],[Dollars]]</f>
        <v>62.738137396098317</v>
      </c>
    </row>
    <row r="779" spans="1:9" x14ac:dyDescent="0.35">
      <c r="A779">
        <v>778</v>
      </c>
      <c r="B779" t="s">
        <v>11</v>
      </c>
      <c r="C779" s="2">
        <v>38573</v>
      </c>
      <c r="D779">
        <f>YEAR(ProductLine[[#This Row],[Date]])</f>
        <v>2005</v>
      </c>
      <c r="E779">
        <f>MONTH(ProductLine[[#This Row],[Date]])</f>
        <v>8</v>
      </c>
      <c r="F779" t="s">
        <v>27</v>
      </c>
      <c r="G779">
        <v>89</v>
      </c>
      <c r="H779" s="3">
        <v>269.48918997457559</v>
      </c>
      <c r="I779" s="3">
        <f>ProductLine[[#This Row],[Units]]*ProductLine[[#This Row],[Dollars]]</f>
        <v>23984.537907737227</v>
      </c>
    </row>
    <row r="780" spans="1:9" x14ac:dyDescent="0.35">
      <c r="A780">
        <v>779</v>
      </c>
      <c r="B780" t="s">
        <v>17</v>
      </c>
      <c r="C780" s="2">
        <v>38452</v>
      </c>
      <c r="D780">
        <f>YEAR(ProductLine[[#This Row],[Date]])</f>
        <v>2005</v>
      </c>
      <c r="E780">
        <f>MONTH(ProductLine[[#This Row],[Date]])</f>
        <v>4</v>
      </c>
      <c r="F780" t="s">
        <v>24</v>
      </c>
      <c r="G780">
        <v>5</v>
      </c>
      <c r="H780" s="3">
        <v>16.818206363269947</v>
      </c>
      <c r="I780" s="3">
        <f>ProductLine[[#This Row],[Units]]*ProductLine[[#This Row],[Dollars]]</f>
        <v>84.091031816349741</v>
      </c>
    </row>
    <row r="781" spans="1:9" x14ac:dyDescent="0.35">
      <c r="A781">
        <v>780</v>
      </c>
      <c r="B781" t="s">
        <v>16</v>
      </c>
      <c r="C781" s="2">
        <v>39002</v>
      </c>
      <c r="D781">
        <f>YEAR(ProductLine[[#This Row],[Date]])</f>
        <v>2006</v>
      </c>
      <c r="E781">
        <f>MONTH(ProductLine[[#This Row],[Date]])</f>
        <v>10</v>
      </c>
      <c r="F781" t="s">
        <v>27</v>
      </c>
      <c r="G781">
        <v>48</v>
      </c>
      <c r="H781" s="3">
        <v>145.98516396408215</v>
      </c>
      <c r="I781" s="3">
        <f>ProductLine[[#This Row],[Units]]*ProductLine[[#This Row],[Dollars]]</f>
        <v>7007.2878702759426</v>
      </c>
    </row>
    <row r="782" spans="1:9" x14ac:dyDescent="0.35">
      <c r="A782">
        <v>781</v>
      </c>
      <c r="B782" t="s">
        <v>9</v>
      </c>
      <c r="C782" s="2">
        <v>39057</v>
      </c>
      <c r="D782">
        <f>YEAR(ProductLine[[#This Row],[Date]])</f>
        <v>2006</v>
      </c>
      <c r="E782">
        <f>MONTH(ProductLine[[#This Row],[Date]])</f>
        <v>12</v>
      </c>
      <c r="F782" t="s">
        <v>27</v>
      </c>
      <c r="G782">
        <v>36</v>
      </c>
      <c r="H782" s="3">
        <v>109.92397437204225</v>
      </c>
      <c r="I782" s="3">
        <f>ProductLine[[#This Row],[Units]]*ProductLine[[#This Row],[Dollars]]</f>
        <v>3957.2630773935211</v>
      </c>
    </row>
    <row r="783" spans="1:9" x14ac:dyDescent="0.35">
      <c r="A783">
        <v>782</v>
      </c>
      <c r="B783" t="s">
        <v>14</v>
      </c>
      <c r="C783" s="2">
        <v>39035</v>
      </c>
      <c r="D783">
        <f>YEAR(ProductLine[[#This Row],[Date]])</f>
        <v>2006</v>
      </c>
      <c r="E783">
        <f>MONTH(ProductLine[[#This Row],[Date]])</f>
        <v>11</v>
      </c>
      <c r="F783" t="s">
        <v>27</v>
      </c>
      <c r="G783">
        <v>80</v>
      </c>
      <c r="H783" s="3">
        <v>241.99741515278305</v>
      </c>
      <c r="I783" s="3">
        <f>ProductLine[[#This Row],[Units]]*ProductLine[[#This Row],[Dollars]]</f>
        <v>19359.793212222645</v>
      </c>
    </row>
    <row r="784" spans="1:9" x14ac:dyDescent="0.35">
      <c r="A784">
        <v>783</v>
      </c>
      <c r="B784" t="s">
        <v>9</v>
      </c>
      <c r="C784" s="2">
        <v>39046</v>
      </c>
      <c r="D784">
        <f>YEAR(ProductLine[[#This Row],[Date]])</f>
        <v>2006</v>
      </c>
      <c r="E784">
        <f>MONTH(ProductLine[[#This Row],[Date]])</f>
        <v>11</v>
      </c>
      <c r="F784" t="s">
        <v>23</v>
      </c>
      <c r="G784">
        <v>64</v>
      </c>
      <c r="H784" s="3">
        <v>193.891081917441</v>
      </c>
      <c r="I784" s="3">
        <f>ProductLine[[#This Row],[Units]]*ProductLine[[#This Row],[Dollars]]</f>
        <v>12409.029242716224</v>
      </c>
    </row>
    <row r="785" spans="1:9" x14ac:dyDescent="0.35">
      <c r="A785">
        <v>784</v>
      </c>
      <c r="B785" t="s">
        <v>9</v>
      </c>
      <c r="C785" s="2">
        <v>38639</v>
      </c>
      <c r="D785">
        <f>YEAR(ProductLine[[#This Row],[Date]])</f>
        <v>2005</v>
      </c>
      <c r="E785">
        <f>MONTH(ProductLine[[#This Row],[Date]])</f>
        <v>10</v>
      </c>
      <c r="F785" t="s">
        <v>24</v>
      </c>
      <c r="G785">
        <v>51</v>
      </c>
      <c r="H785" s="3">
        <v>155.49981680350626</v>
      </c>
      <c r="I785" s="3">
        <f>ProductLine[[#This Row],[Units]]*ProductLine[[#This Row],[Dollars]]</f>
        <v>7930.4906569788191</v>
      </c>
    </row>
    <row r="786" spans="1:9" x14ac:dyDescent="0.35">
      <c r="A786">
        <v>785</v>
      </c>
      <c r="B786" t="s">
        <v>11</v>
      </c>
      <c r="C786" s="2">
        <v>38452</v>
      </c>
      <c r="D786">
        <f>YEAR(ProductLine[[#This Row],[Date]])</f>
        <v>2005</v>
      </c>
      <c r="E786">
        <f>MONTH(ProductLine[[#This Row],[Date]])</f>
        <v>4</v>
      </c>
      <c r="F786" t="s">
        <v>26</v>
      </c>
      <c r="G786">
        <v>92</v>
      </c>
      <c r="H786" s="3">
        <v>278.34020387718806</v>
      </c>
      <c r="I786" s="3">
        <f>ProductLine[[#This Row],[Units]]*ProductLine[[#This Row],[Dollars]]</f>
        <v>25607.298756701301</v>
      </c>
    </row>
    <row r="787" spans="1:9" x14ac:dyDescent="0.35">
      <c r="A787">
        <v>786</v>
      </c>
      <c r="B787" t="s">
        <v>17</v>
      </c>
      <c r="C787" s="2">
        <v>38463</v>
      </c>
      <c r="D787">
        <f>YEAR(ProductLine[[#This Row],[Date]])</f>
        <v>2005</v>
      </c>
      <c r="E787">
        <f>MONTH(ProductLine[[#This Row],[Date]])</f>
        <v>4</v>
      </c>
      <c r="F787" t="s">
        <v>26</v>
      </c>
      <c r="G787">
        <v>93</v>
      </c>
      <c r="H787" s="3">
        <v>280.85575758245068</v>
      </c>
      <c r="I787" s="3">
        <f>ProductLine[[#This Row],[Units]]*ProductLine[[#This Row],[Dollars]]</f>
        <v>26119.585455167915</v>
      </c>
    </row>
    <row r="788" spans="1:9" x14ac:dyDescent="0.35">
      <c r="A788">
        <v>787</v>
      </c>
      <c r="B788" t="s">
        <v>16</v>
      </c>
      <c r="C788" s="2">
        <v>38386</v>
      </c>
      <c r="D788">
        <f>YEAR(ProductLine[[#This Row],[Date]])</f>
        <v>2005</v>
      </c>
      <c r="E788">
        <f>MONTH(ProductLine[[#This Row],[Date]])</f>
        <v>2</v>
      </c>
      <c r="F788" t="s">
        <v>24</v>
      </c>
      <c r="G788">
        <v>36</v>
      </c>
      <c r="H788" s="3">
        <v>110.48116735303131</v>
      </c>
      <c r="I788" s="3">
        <f>ProductLine[[#This Row],[Units]]*ProductLine[[#This Row],[Dollars]]</f>
        <v>3977.3220247091272</v>
      </c>
    </row>
    <row r="789" spans="1:9" x14ac:dyDescent="0.35">
      <c r="A789">
        <v>788</v>
      </c>
      <c r="B789" t="s">
        <v>11</v>
      </c>
      <c r="C789" s="2">
        <v>39002</v>
      </c>
      <c r="D789">
        <f>YEAR(ProductLine[[#This Row],[Date]])</f>
        <v>2006</v>
      </c>
      <c r="E789">
        <f>MONTH(ProductLine[[#This Row],[Date]])</f>
        <v>10</v>
      </c>
      <c r="F789" t="s">
        <v>23</v>
      </c>
      <c r="G789">
        <v>-9</v>
      </c>
      <c r="H789" s="3">
        <v>-24.826904970027119</v>
      </c>
      <c r="I789" s="3">
        <f>ProductLine[[#This Row],[Units]]*ProductLine[[#This Row],[Dollars]]</f>
        <v>223.44214473024408</v>
      </c>
    </row>
    <row r="790" spans="1:9" x14ac:dyDescent="0.35">
      <c r="A790">
        <v>789</v>
      </c>
      <c r="B790" t="s">
        <v>16</v>
      </c>
      <c r="C790" s="2">
        <v>38496</v>
      </c>
      <c r="D790">
        <f>YEAR(ProductLine[[#This Row],[Date]])</f>
        <v>2005</v>
      </c>
      <c r="E790">
        <f>MONTH(ProductLine[[#This Row],[Date]])</f>
        <v>5</v>
      </c>
      <c r="F790" t="s">
        <v>23</v>
      </c>
      <c r="G790">
        <v>48</v>
      </c>
      <c r="H790" s="3">
        <v>146.23287015814799</v>
      </c>
      <c r="I790" s="3">
        <f>ProductLine[[#This Row],[Units]]*ProductLine[[#This Row],[Dollars]]</f>
        <v>7019.1777675911035</v>
      </c>
    </row>
    <row r="791" spans="1:9" x14ac:dyDescent="0.35">
      <c r="A791">
        <v>790</v>
      </c>
      <c r="B791" t="s">
        <v>17</v>
      </c>
      <c r="C791" s="2">
        <v>38672</v>
      </c>
      <c r="D791">
        <f>YEAR(ProductLine[[#This Row],[Date]])</f>
        <v>2005</v>
      </c>
      <c r="E791">
        <f>MONTH(ProductLine[[#This Row],[Date]])</f>
        <v>11</v>
      </c>
      <c r="F791" t="s">
        <v>26</v>
      </c>
      <c r="G791">
        <v>11</v>
      </c>
      <c r="H791" s="3">
        <v>34.54792782212121</v>
      </c>
      <c r="I791" s="3">
        <f>ProductLine[[#This Row],[Units]]*ProductLine[[#This Row],[Dollars]]</f>
        <v>380.02720604333331</v>
      </c>
    </row>
    <row r="792" spans="1:9" x14ac:dyDescent="0.35">
      <c r="A792">
        <v>791</v>
      </c>
      <c r="B792" t="s">
        <v>17</v>
      </c>
      <c r="C792" s="2">
        <v>38188</v>
      </c>
      <c r="D792">
        <f>YEAR(ProductLine[[#This Row],[Date]])</f>
        <v>2004</v>
      </c>
      <c r="E792">
        <f>MONTH(ProductLine[[#This Row],[Date]])</f>
        <v>7</v>
      </c>
      <c r="F792" t="s">
        <v>25</v>
      </c>
      <c r="G792">
        <v>8</v>
      </c>
      <c r="H792" s="3">
        <v>25.453618816298423</v>
      </c>
      <c r="I792" s="3">
        <f>ProductLine[[#This Row],[Units]]*ProductLine[[#This Row],[Dollars]]</f>
        <v>203.62895053038739</v>
      </c>
    </row>
    <row r="793" spans="1:9" x14ac:dyDescent="0.35">
      <c r="A793">
        <v>792</v>
      </c>
      <c r="B793" t="s">
        <v>13</v>
      </c>
      <c r="C793" s="2">
        <v>38089</v>
      </c>
      <c r="D793">
        <f>YEAR(ProductLine[[#This Row],[Date]])</f>
        <v>2004</v>
      </c>
      <c r="E793">
        <f>MONTH(ProductLine[[#This Row],[Date]])</f>
        <v>4</v>
      </c>
      <c r="F793" t="s">
        <v>24</v>
      </c>
      <c r="G793">
        <v>36</v>
      </c>
      <c r="H793" s="3">
        <v>110.09171904672033</v>
      </c>
      <c r="I793" s="3">
        <f>ProductLine[[#This Row],[Units]]*ProductLine[[#This Row],[Dollars]]</f>
        <v>3963.3018856819317</v>
      </c>
    </row>
    <row r="794" spans="1:9" x14ac:dyDescent="0.35">
      <c r="A794">
        <v>793</v>
      </c>
      <c r="B794" t="s">
        <v>17</v>
      </c>
      <c r="C794" s="2">
        <v>38661</v>
      </c>
      <c r="D794">
        <f>YEAR(ProductLine[[#This Row],[Date]])</f>
        <v>2005</v>
      </c>
      <c r="E794">
        <f>MONTH(ProductLine[[#This Row],[Date]])</f>
        <v>11</v>
      </c>
      <c r="F794" t="s">
        <v>27</v>
      </c>
      <c r="G794">
        <v>93</v>
      </c>
      <c r="H794" s="3">
        <v>280.77976287020761</v>
      </c>
      <c r="I794" s="3">
        <f>ProductLine[[#This Row],[Units]]*ProductLine[[#This Row],[Dollars]]</f>
        <v>26112.517946929307</v>
      </c>
    </row>
    <row r="795" spans="1:9" x14ac:dyDescent="0.35">
      <c r="A795">
        <v>794</v>
      </c>
      <c r="B795" t="s">
        <v>10</v>
      </c>
      <c r="C795" s="2">
        <v>38089</v>
      </c>
      <c r="D795">
        <f>YEAR(ProductLine[[#This Row],[Date]])</f>
        <v>2004</v>
      </c>
      <c r="E795">
        <f>MONTH(ProductLine[[#This Row],[Date]])</f>
        <v>4</v>
      </c>
      <c r="F795" t="s">
        <v>23</v>
      </c>
      <c r="G795">
        <v>39</v>
      </c>
      <c r="H795" s="3">
        <v>119.20284079894812</v>
      </c>
      <c r="I795" s="3">
        <f>ProductLine[[#This Row],[Units]]*ProductLine[[#This Row],[Dollars]]</f>
        <v>4648.9107911589763</v>
      </c>
    </row>
    <row r="796" spans="1:9" x14ac:dyDescent="0.35">
      <c r="A796">
        <v>795</v>
      </c>
      <c r="B796" t="s">
        <v>10</v>
      </c>
      <c r="C796" s="2">
        <v>38133</v>
      </c>
      <c r="D796">
        <f>YEAR(ProductLine[[#This Row],[Date]])</f>
        <v>2004</v>
      </c>
      <c r="E796">
        <f>MONTH(ProductLine[[#This Row],[Date]])</f>
        <v>5</v>
      </c>
      <c r="F796" t="s">
        <v>26</v>
      </c>
      <c r="G796">
        <v>72</v>
      </c>
      <c r="H796" s="3">
        <v>218.07728873022205</v>
      </c>
      <c r="I796" s="3">
        <f>ProductLine[[#This Row],[Units]]*ProductLine[[#This Row],[Dollars]]</f>
        <v>15701.564788575988</v>
      </c>
    </row>
    <row r="797" spans="1:9" x14ac:dyDescent="0.35">
      <c r="A797">
        <v>796</v>
      </c>
      <c r="B797" t="s">
        <v>15</v>
      </c>
      <c r="C797" s="2">
        <v>38782</v>
      </c>
      <c r="D797">
        <f>YEAR(ProductLine[[#This Row],[Date]])</f>
        <v>2006</v>
      </c>
      <c r="E797">
        <f>MONTH(ProductLine[[#This Row],[Date]])</f>
        <v>3</v>
      </c>
      <c r="F797" t="s">
        <v>23</v>
      </c>
      <c r="G797">
        <v>3</v>
      </c>
      <c r="H797" s="3">
        <v>10.416176420457935</v>
      </c>
      <c r="I797" s="3">
        <f>ProductLine[[#This Row],[Units]]*ProductLine[[#This Row],[Dollars]]</f>
        <v>31.248529261373804</v>
      </c>
    </row>
    <row r="798" spans="1:9" x14ac:dyDescent="0.35">
      <c r="A798">
        <v>797</v>
      </c>
      <c r="B798" t="s">
        <v>12</v>
      </c>
      <c r="C798" s="2">
        <v>38353</v>
      </c>
      <c r="D798">
        <f>YEAR(ProductLine[[#This Row],[Date]])</f>
        <v>2005</v>
      </c>
      <c r="E798">
        <f>MONTH(ProductLine[[#This Row],[Date]])</f>
        <v>1</v>
      </c>
      <c r="F798" t="s">
        <v>27</v>
      </c>
      <c r="G798">
        <v>47</v>
      </c>
      <c r="H798" s="3">
        <v>142.8388636236887</v>
      </c>
      <c r="I798" s="3">
        <f>ProductLine[[#This Row],[Units]]*ProductLine[[#This Row],[Dollars]]</f>
        <v>6713.4265903133683</v>
      </c>
    </row>
    <row r="799" spans="1:9" x14ac:dyDescent="0.35">
      <c r="A799">
        <v>798</v>
      </c>
      <c r="B799" t="s">
        <v>14</v>
      </c>
      <c r="C799" s="2">
        <v>39079</v>
      </c>
      <c r="D799">
        <f>YEAR(ProductLine[[#This Row],[Date]])</f>
        <v>2006</v>
      </c>
      <c r="E799">
        <f>MONTH(ProductLine[[#This Row],[Date]])</f>
        <v>12</v>
      </c>
      <c r="F799" t="s">
        <v>27</v>
      </c>
      <c r="G799">
        <v>72</v>
      </c>
      <c r="H799" s="3">
        <v>217.32445132799407</v>
      </c>
      <c r="I799" s="3">
        <f>ProductLine[[#This Row],[Units]]*ProductLine[[#This Row],[Dollars]]</f>
        <v>15647.360495615572</v>
      </c>
    </row>
    <row r="800" spans="1:9" x14ac:dyDescent="0.35">
      <c r="A800">
        <v>799</v>
      </c>
      <c r="B800" t="s">
        <v>13</v>
      </c>
      <c r="C800" s="2">
        <v>39057</v>
      </c>
      <c r="D800">
        <f>YEAR(ProductLine[[#This Row],[Date]])</f>
        <v>2006</v>
      </c>
      <c r="E800">
        <f>MONTH(ProductLine[[#This Row],[Date]])</f>
        <v>12</v>
      </c>
      <c r="F800" t="s">
        <v>27</v>
      </c>
      <c r="G800">
        <v>26</v>
      </c>
      <c r="H800" s="3">
        <v>79.748589199087291</v>
      </c>
      <c r="I800" s="3">
        <f>ProductLine[[#This Row],[Units]]*ProductLine[[#This Row],[Dollars]]</f>
        <v>2073.4633191762696</v>
      </c>
    </row>
    <row r="801" spans="1:9" x14ac:dyDescent="0.35">
      <c r="A801">
        <v>800</v>
      </c>
      <c r="B801" t="s">
        <v>12</v>
      </c>
      <c r="C801" s="2">
        <v>38265</v>
      </c>
      <c r="D801">
        <f>YEAR(ProductLine[[#This Row],[Date]])</f>
        <v>2004</v>
      </c>
      <c r="E801">
        <f>MONTH(ProductLine[[#This Row],[Date]])</f>
        <v>10</v>
      </c>
      <c r="F801" t="s">
        <v>26</v>
      </c>
      <c r="G801">
        <v>47</v>
      </c>
      <c r="H801" s="3">
        <v>142.48755479367787</v>
      </c>
      <c r="I801" s="3">
        <f>ProductLine[[#This Row],[Units]]*ProductLine[[#This Row],[Dollars]]</f>
        <v>6696.9150753028598</v>
      </c>
    </row>
    <row r="802" spans="1:9" x14ac:dyDescent="0.35">
      <c r="A802">
        <v>801</v>
      </c>
      <c r="B802" t="s">
        <v>14</v>
      </c>
      <c r="C802" s="2">
        <v>38727</v>
      </c>
      <c r="D802">
        <f>YEAR(ProductLine[[#This Row],[Date]])</f>
        <v>2006</v>
      </c>
      <c r="E802">
        <f>MONTH(ProductLine[[#This Row],[Date]])</f>
        <v>1</v>
      </c>
      <c r="F802" t="s">
        <v>23</v>
      </c>
      <c r="G802">
        <v>14</v>
      </c>
      <c r="H802" s="3">
        <v>43.403824731122626</v>
      </c>
      <c r="I802" s="3">
        <f>ProductLine[[#This Row],[Units]]*ProductLine[[#This Row],[Dollars]]</f>
        <v>607.6535462357167</v>
      </c>
    </row>
    <row r="803" spans="1:9" x14ac:dyDescent="0.35">
      <c r="A803">
        <v>802</v>
      </c>
      <c r="B803" t="s">
        <v>12</v>
      </c>
      <c r="C803" s="2">
        <v>38529</v>
      </c>
      <c r="D803">
        <f>YEAR(ProductLine[[#This Row],[Date]])</f>
        <v>2005</v>
      </c>
      <c r="E803">
        <f>MONTH(ProductLine[[#This Row],[Date]])</f>
        <v>6</v>
      </c>
      <c r="F803" t="s">
        <v>27</v>
      </c>
      <c r="G803">
        <v>71</v>
      </c>
      <c r="H803" s="3">
        <v>215.07582310104507</v>
      </c>
      <c r="I803" s="3">
        <f>ProductLine[[#This Row],[Units]]*ProductLine[[#This Row],[Dollars]]</f>
        <v>15270.383440174201</v>
      </c>
    </row>
    <row r="804" spans="1:9" x14ac:dyDescent="0.35">
      <c r="A804">
        <v>803</v>
      </c>
      <c r="B804" t="s">
        <v>10</v>
      </c>
      <c r="C804" s="2">
        <v>38947</v>
      </c>
      <c r="D804">
        <f>YEAR(ProductLine[[#This Row],[Date]])</f>
        <v>2006</v>
      </c>
      <c r="E804">
        <f>MONTH(ProductLine[[#This Row],[Date]])</f>
        <v>8</v>
      </c>
      <c r="F804" t="s">
        <v>24</v>
      </c>
      <c r="G804">
        <v>95</v>
      </c>
      <c r="H804" s="3">
        <v>287.79738255613682</v>
      </c>
      <c r="I804" s="3">
        <f>ProductLine[[#This Row],[Units]]*ProductLine[[#This Row],[Dollars]]</f>
        <v>27340.751342832998</v>
      </c>
    </row>
    <row r="805" spans="1:9" x14ac:dyDescent="0.35">
      <c r="A805">
        <v>804</v>
      </c>
      <c r="B805" t="s">
        <v>17</v>
      </c>
      <c r="C805" s="2">
        <v>38782</v>
      </c>
      <c r="D805">
        <f>YEAR(ProductLine[[#This Row],[Date]])</f>
        <v>2006</v>
      </c>
      <c r="E805">
        <f>MONTH(ProductLine[[#This Row],[Date]])</f>
        <v>3</v>
      </c>
      <c r="F805" t="s">
        <v>27</v>
      </c>
      <c r="G805">
        <v>37</v>
      </c>
      <c r="H805" s="3">
        <v>112.77919739726129</v>
      </c>
      <c r="I805" s="3">
        <f>ProductLine[[#This Row],[Units]]*ProductLine[[#This Row],[Dollars]]</f>
        <v>4172.8303036986672</v>
      </c>
    </row>
    <row r="806" spans="1:9" x14ac:dyDescent="0.35">
      <c r="A806">
        <v>805</v>
      </c>
      <c r="B806" t="s">
        <v>10</v>
      </c>
      <c r="C806" s="2">
        <v>38694</v>
      </c>
      <c r="D806">
        <f>YEAR(ProductLine[[#This Row],[Date]])</f>
        <v>2005</v>
      </c>
      <c r="E806">
        <f>MONTH(ProductLine[[#This Row],[Date]])</f>
        <v>12</v>
      </c>
      <c r="F806" t="s">
        <v>23</v>
      </c>
      <c r="G806">
        <v>-1</v>
      </c>
      <c r="H806" s="3">
        <v>-0.39117514400995779</v>
      </c>
      <c r="I806" s="3">
        <f>ProductLine[[#This Row],[Units]]*ProductLine[[#This Row],[Dollars]]</f>
        <v>0.39117514400995779</v>
      </c>
    </row>
    <row r="807" spans="1:9" x14ac:dyDescent="0.35">
      <c r="A807">
        <v>806</v>
      </c>
      <c r="B807" t="s">
        <v>15</v>
      </c>
      <c r="C807" s="2">
        <v>38947</v>
      </c>
      <c r="D807">
        <f>YEAR(ProductLine[[#This Row],[Date]])</f>
        <v>2006</v>
      </c>
      <c r="E807">
        <f>MONTH(ProductLine[[#This Row],[Date]])</f>
        <v>8</v>
      </c>
      <c r="F807" t="s">
        <v>26</v>
      </c>
      <c r="G807">
        <v>26</v>
      </c>
      <c r="H807" s="3">
        <v>80.208589830999188</v>
      </c>
      <c r="I807" s="3">
        <f>ProductLine[[#This Row],[Units]]*ProductLine[[#This Row],[Dollars]]</f>
        <v>2085.423335605979</v>
      </c>
    </row>
    <row r="808" spans="1:9" x14ac:dyDescent="0.35">
      <c r="A808">
        <v>807</v>
      </c>
      <c r="B808" t="s">
        <v>12</v>
      </c>
      <c r="C808" s="2">
        <v>37990</v>
      </c>
      <c r="D808">
        <f>YEAR(ProductLine[[#This Row],[Date]])</f>
        <v>2004</v>
      </c>
      <c r="E808">
        <f>MONTH(ProductLine[[#This Row],[Date]])</f>
        <v>1</v>
      </c>
      <c r="F808" t="s">
        <v>26</v>
      </c>
      <c r="G808">
        <v>67</v>
      </c>
      <c r="H808" s="3">
        <v>203.54299038710067</v>
      </c>
      <c r="I808" s="3">
        <f>ProductLine[[#This Row],[Units]]*ProductLine[[#This Row],[Dollars]]</f>
        <v>13637.380355935746</v>
      </c>
    </row>
    <row r="809" spans="1:9" x14ac:dyDescent="0.35">
      <c r="A809">
        <v>808</v>
      </c>
      <c r="B809" t="s">
        <v>15</v>
      </c>
      <c r="C809" s="2">
        <v>38034</v>
      </c>
      <c r="D809">
        <f>YEAR(ProductLine[[#This Row],[Date]])</f>
        <v>2004</v>
      </c>
      <c r="E809">
        <f>MONTH(ProductLine[[#This Row],[Date]])</f>
        <v>2</v>
      </c>
      <c r="F809" t="s">
        <v>23</v>
      </c>
      <c r="G809">
        <v>15</v>
      </c>
      <c r="H809" s="3">
        <v>47.198351483731813</v>
      </c>
      <c r="I809" s="3">
        <f>ProductLine[[#This Row],[Units]]*ProductLine[[#This Row],[Dollars]]</f>
        <v>707.97527225597719</v>
      </c>
    </row>
    <row r="810" spans="1:9" x14ac:dyDescent="0.35">
      <c r="A810">
        <v>809</v>
      </c>
      <c r="B810" t="s">
        <v>16</v>
      </c>
      <c r="C810" s="2">
        <v>38771</v>
      </c>
      <c r="D810">
        <f>YEAR(ProductLine[[#This Row],[Date]])</f>
        <v>2006</v>
      </c>
      <c r="E810">
        <f>MONTH(ProductLine[[#This Row],[Date]])</f>
        <v>2</v>
      </c>
      <c r="F810" t="s">
        <v>23</v>
      </c>
      <c r="G810">
        <v>73</v>
      </c>
      <c r="H810" s="3">
        <v>221.33612349849449</v>
      </c>
      <c r="I810" s="3">
        <f>ProductLine[[#This Row],[Units]]*ProductLine[[#This Row],[Dollars]]</f>
        <v>16157.537015390097</v>
      </c>
    </row>
    <row r="811" spans="1:9" x14ac:dyDescent="0.35">
      <c r="A811">
        <v>810</v>
      </c>
      <c r="B811" t="s">
        <v>16</v>
      </c>
      <c r="C811" s="2">
        <v>38265</v>
      </c>
      <c r="D811">
        <f>YEAR(ProductLine[[#This Row],[Date]])</f>
        <v>2004</v>
      </c>
      <c r="E811">
        <f>MONTH(ProductLine[[#This Row],[Date]])</f>
        <v>10</v>
      </c>
      <c r="F811" t="s">
        <v>27</v>
      </c>
      <c r="G811">
        <v>13</v>
      </c>
      <c r="H811" s="3">
        <v>40.899875452377259</v>
      </c>
      <c r="I811" s="3">
        <f>ProductLine[[#This Row],[Units]]*ProductLine[[#This Row],[Dollars]]</f>
        <v>531.69838088090432</v>
      </c>
    </row>
    <row r="812" spans="1:9" x14ac:dyDescent="0.35">
      <c r="A812">
        <v>811</v>
      </c>
      <c r="B812" t="s">
        <v>15</v>
      </c>
      <c r="C812" s="2">
        <v>38067</v>
      </c>
      <c r="D812">
        <f>YEAR(ProductLine[[#This Row],[Date]])</f>
        <v>2004</v>
      </c>
      <c r="E812">
        <f>MONTH(ProductLine[[#This Row],[Date]])</f>
        <v>3</v>
      </c>
      <c r="F812" t="s">
        <v>24</v>
      </c>
      <c r="G812">
        <v>76</v>
      </c>
      <c r="H812" s="3">
        <v>229.55812152109252</v>
      </c>
      <c r="I812" s="3">
        <f>ProductLine[[#This Row],[Units]]*ProductLine[[#This Row],[Dollars]]</f>
        <v>17446.417235603032</v>
      </c>
    </row>
    <row r="813" spans="1:9" x14ac:dyDescent="0.35">
      <c r="A813">
        <v>812</v>
      </c>
      <c r="B813" t="s">
        <v>17</v>
      </c>
      <c r="C813" s="2">
        <v>38144</v>
      </c>
      <c r="D813">
        <f>YEAR(ProductLine[[#This Row],[Date]])</f>
        <v>2004</v>
      </c>
      <c r="E813">
        <f>MONTH(ProductLine[[#This Row],[Date]])</f>
        <v>6</v>
      </c>
      <c r="F813" t="s">
        <v>26</v>
      </c>
      <c r="G813">
        <v>-9</v>
      </c>
      <c r="H813" s="3">
        <v>-24.933082918901754</v>
      </c>
      <c r="I813" s="3">
        <f>ProductLine[[#This Row],[Units]]*ProductLine[[#This Row],[Dollars]]</f>
        <v>224.39774627011579</v>
      </c>
    </row>
    <row r="814" spans="1:9" x14ac:dyDescent="0.35">
      <c r="A814">
        <v>813</v>
      </c>
      <c r="B814" t="s">
        <v>13</v>
      </c>
      <c r="C814" s="2">
        <v>38507</v>
      </c>
      <c r="D814">
        <f>YEAR(ProductLine[[#This Row],[Date]])</f>
        <v>2005</v>
      </c>
      <c r="E814">
        <f>MONTH(ProductLine[[#This Row],[Date]])</f>
        <v>6</v>
      </c>
      <c r="F814" t="s">
        <v>25</v>
      </c>
      <c r="G814">
        <v>36</v>
      </c>
      <c r="H814" s="3">
        <v>109.53328220052806</v>
      </c>
      <c r="I814" s="3">
        <f>ProductLine[[#This Row],[Units]]*ProductLine[[#This Row],[Dollars]]</f>
        <v>3943.1981592190104</v>
      </c>
    </row>
    <row r="815" spans="1:9" x14ac:dyDescent="0.35">
      <c r="A815">
        <v>814</v>
      </c>
      <c r="B815" t="s">
        <v>11</v>
      </c>
      <c r="C815" s="2">
        <v>38133</v>
      </c>
      <c r="D815">
        <f>YEAR(ProductLine[[#This Row],[Date]])</f>
        <v>2004</v>
      </c>
      <c r="E815">
        <f>MONTH(ProductLine[[#This Row],[Date]])</f>
        <v>5</v>
      </c>
      <c r="F815" t="s">
        <v>24</v>
      </c>
      <c r="G815">
        <v>11</v>
      </c>
      <c r="H815" s="3">
        <v>35.52180509936634</v>
      </c>
      <c r="I815" s="3">
        <f>ProductLine[[#This Row],[Units]]*ProductLine[[#This Row],[Dollars]]</f>
        <v>390.73985609302974</v>
      </c>
    </row>
    <row r="816" spans="1:9" x14ac:dyDescent="0.35">
      <c r="A816">
        <v>815</v>
      </c>
      <c r="B816" t="s">
        <v>13</v>
      </c>
      <c r="C816" s="2">
        <v>38738</v>
      </c>
      <c r="D816">
        <f>YEAR(ProductLine[[#This Row],[Date]])</f>
        <v>2006</v>
      </c>
      <c r="E816">
        <f>MONTH(ProductLine[[#This Row],[Date]])</f>
        <v>1</v>
      </c>
      <c r="F816" t="s">
        <v>23</v>
      </c>
      <c r="G816">
        <v>73</v>
      </c>
      <c r="H816" s="3">
        <v>220.50049794203733</v>
      </c>
      <c r="I816" s="3">
        <f>ProductLine[[#This Row],[Units]]*ProductLine[[#This Row],[Dollars]]</f>
        <v>16096.536349768725</v>
      </c>
    </row>
    <row r="817" spans="1:9" x14ac:dyDescent="0.35">
      <c r="A817">
        <v>816</v>
      </c>
      <c r="B817" t="s">
        <v>16</v>
      </c>
      <c r="C817" s="2">
        <v>38276</v>
      </c>
      <c r="D817">
        <f>YEAR(ProductLine[[#This Row],[Date]])</f>
        <v>2004</v>
      </c>
      <c r="E817">
        <f>MONTH(ProductLine[[#This Row],[Date]])</f>
        <v>10</v>
      </c>
      <c r="F817" t="s">
        <v>25</v>
      </c>
      <c r="G817">
        <v>93</v>
      </c>
      <c r="H817" s="3">
        <v>280.26544889145606</v>
      </c>
      <c r="I817" s="3">
        <f>ProductLine[[#This Row],[Units]]*ProductLine[[#This Row],[Dollars]]</f>
        <v>26064.686746905412</v>
      </c>
    </row>
    <row r="818" spans="1:9" x14ac:dyDescent="0.35">
      <c r="A818">
        <v>817</v>
      </c>
      <c r="B818" t="s">
        <v>9</v>
      </c>
      <c r="C818" s="2">
        <v>38815</v>
      </c>
      <c r="D818">
        <f>YEAR(ProductLine[[#This Row],[Date]])</f>
        <v>2006</v>
      </c>
      <c r="E818">
        <f>MONTH(ProductLine[[#This Row],[Date]])</f>
        <v>4</v>
      </c>
      <c r="F818" t="s">
        <v>24</v>
      </c>
      <c r="G818">
        <v>69</v>
      </c>
      <c r="H818" s="3">
        <v>209.31670948874884</v>
      </c>
      <c r="I818" s="3">
        <f>ProductLine[[#This Row],[Units]]*ProductLine[[#This Row],[Dollars]]</f>
        <v>14442.85295472367</v>
      </c>
    </row>
    <row r="819" spans="1:9" x14ac:dyDescent="0.35">
      <c r="A819">
        <v>818</v>
      </c>
      <c r="B819" t="s">
        <v>10</v>
      </c>
      <c r="C819" s="2">
        <v>38089</v>
      </c>
      <c r="D819">
        <f>YEAR(ProductLine[[#This Row],[Date]])</f>
        <v>2004</v>
      </c>
      <c r="E819">
        <f>MONTH(ProductLine[[#This Row],[Date]])</f>
        <v>4</v>
      </c>
      <c r="F819" t="s">
        <v>26</v>
      </c>
      <c r="G819">
        <v>86</v>
      </c>
      <c r="H819" s="3">
        <v>259.4849368720744</v>
      </c>
      <c r="I819" s="3">
        <f>ProductLine[[#This Row],[Units]]*ProductLine[[#This Row],[Dollars]]</f>
        <v>22315.704570998398</v>
      </c>
    </row>
    <row r="820" spans="1:9" x14ac:dyDescent="0.35">
      <c r="A820">
        <v>819</v>
      </c>
      <c r="B820" t="s">
        <v>9</v>
      </c>
      <c r="C820" s="2">
        <v>38870</v>
      </c>
      <c r="D820">
        <f>YEAR(ProductLine[[#This Row],[Date]])</f>
        <v>2006</v>
      </c>
      <c r="E820">
        <f>MONTH(ProductLine[[#This Row],[Date]])</f>
        <v>6</v>
      </c>
      <c r="F820" t="s">
        <v>27</v>
      </c>
      <c r="G820">
        <v>54</v>
      </c>
      <c r="H820" s="3">
        <v>164.37938973773885</v>
      </c>
      <c r="I820" s="3">
        <f>ProductLine[[#This Row],[Units]]*ProductLine[[#This Row],[Dollars]]</f>
        <v>8876.4870458378973</v>
      </c>
    </row>
    <row r="821" spans="1:9" x14ac:dyDescent="0.35">
      <c r="A821">
        <v>820</v>
      </c>
      <c r="B821" t="s">
        <v>14</v>
      </c>
      <c r="C821" s="2">
        <v>38463</v>
      </c>
      <c r="D821">
        <f>YEAR(ProductLine[[#This Row],[Date]])</f>
        <v>2005</v>
      </c>
      <c r="E821">
        <f>MONTH(ProductLine[[#This Row],[Date]])</f>
        <v>4</v>
      </c>
      <c r="F821" t="s">
        <v>27</v>
      </c>
      <c r="G821">
        <v>-2</v>
      </c>
      <c r="H821" s="3">
        <v>-4.040363555098244</v>
      </c>
      <c r="I821" s="3">
        <f>ProductLine[[#This Row],[Units]]*ProductLine[[#This Row],[Dollars]]</f>
        <v>8.0807271101964879</v>
      </c>
    </row>
    <row r="822" spans="1:9" x14ac:dyDescent="0.35">
      <c r="A822">
        <v>821</v>
      </c>
      <c r="B822" t="s">
        <v>12</v>
      </c>
      <c r="C822" s="2">
        <v>38980</v>
      </c>
      <c r="D822">
        <f>YEAR(ProductLine[[#This Row],[Date]])</f>
        <v>2006</v>
      </c>
      <c r="E822">
        <f>MONTH(ProductLine[[#This Row],[Date]])</f>
        <v>9</v>
      </c>
      <c r="F822" t="s">
        <v>24</v>
      </c>
      <c r="G822">
        <v>83</v>
      </c>
      <c r="H822" s="3">
        <v>250.16533632828239</v>
      </c>
      <c r="I822" s="3">
        <f>ProductLine[[#This Row],[Units]]*ProductLine[[#This Row],[Dollars]]</f>
        <v>20763.722915247439</v>
      </c>
    </row>
    <row r="823" spans="1:9" x14ac:dyDescent="0.35">
      <c r="A823">
        <v>822</v>
      </c>
      <c r="B823" t="s">
        <v>17</v>
      </c>
      <c r="C823" s="2">
        <v>38639</v>
      </c>
      <c r="D823">
        <f>YEAR(ProductLine[[#This Row],[Date]])</f>
        <v>2005</v>
      </c>
      <c r="E823">
        <f>MONTH(ProductLine[[#This Row],[Date]])</f>
        <v>10</v>
      </c>
      <c r="F823" t="s">
        <v>27</v>
      </c>
      <c r="G823">
        <v>2</v>
      </c>
      <c r="H823" s="3">
        <v>8.0012184182764319</v>
      </c>
      <c r="I823" s="3">
        <f>ProductLine[[#This Row],[Units]]*ProductLine[[#This Row],[Dollars]]</f>
        <v>16.002436836552864</v>
      </c>
    </row>
    <row r="824" spans="1:9" x14ac:dyDescent="0.35">
      <c r="A824">
        <v>823</v>
      </c>
      <c r="B824" t="s">
        <v>13</v>
      </c>
      <c r="C824" s="2">
        <v>38947</v>
      </c>
      <c r="D824">
        <f>YEAR(ProductLine[[#This Row],[Date]])</f>
        <v>2006</v>
      </c>
      <c r="E824">
        <f>MONTH(ProductLine[[#This Row],[Date]])</f>
        <v>8</v>
      </c>
      <c r="F824" t="s">
        <v>26</v>
      </c>
      <c r="G824">
        <v>54</v>
      </c>
      <c r="H824" s="3">
        <v>164.14962862314266</v>
      </c>
      <c r="I824" s="3">
        <f>ProductLine[[#This Row],[Units]]*ProductLine[[#This Row],[Dollars]]</f>
        <v>8864.0799456497043</v>
      </c>
    </row>
    <row r="825" spans="1:9" x14ac:dyDescent="0.35">
      <c r="A825">
        <v>824</v>
      </c>
      <c r="B825" t="s">
        <v>10</v>
      </c>
      <c r="C825" s="2">
        <v>38078</v>
      </c>
      <c r="D825">
        <f>YEAR(ProductLine[[#This Row],[Date]])</f>
        <v>2004</v>
      </c>
      <c r="E825">
        <f>MONTH(ProductLine[[#This Row],[Date]])</f>
        <v>4</v>
      </c>
      <c r="F825" t="s">
        <v>24</v>
      </c>
      <c r="G825">
        <v>76</v>
      </c>
      <c r="H825" s="3">
        <v>230.41943809745561</v>
      </c>
      <c r="I825" s="3">
        <f>ProductLine[[#This Row],[Units]]*ProductLine[[#This Row],[Dollars]]</f>
        <v>17511.877295406626</v>
      </c>
    </row>
    <row r="826" spans="1:9" x14ac:dyDescent="0.35">
      <c r="A826">
        <v>825</v>
      </c>
      <c r="B826" t="s">
        <v>9</v>
      </c>
      <c r="C826" s="2">
        <v>38595</v>
      </c>
      <c r="D826">
        <f>YEAR(ProductLine[[#This Row],[Date]])</f>
        <v>2005</v>
      </c>
      <c r="E826">
        <f>MONTH(ProductLine[[#This Row],[Date]])</f>
        <v>8</v>
      </c>
      <c r="F826" t="s">
        <v>26</v>
      </c>
      <c r="G826">
        <v>10</v>
      </c>
      <c r="H826" s="3">
        <v>32.250567590543547</v>
      </c>
      <c r="I826" s="3">
        <f>ProductLine[[#This Row],[Units]]*ProductLine[[#This Row],[Dollars]]</f>
        <v>322.50567590543545</v>
      </c>
    </row>
    <row r="827" spans="1:9" x14ac:dyDescent="0.35">
      <c r="A827">
        <v>826</v>
      </c>
      <c r="B827" t="s">
        <v>16</v>
      </c>
      <c r="C827" s="2">
        <v>39002</v>
      </c>
      <c r="D827">
        <f>YEAR(ProductLine[[#This Row],[Date]])</f>
        <v>2006</v>
      </c>
      <c r="E827">
        <f>MONTH(ProductLine[[#This Row],[Date]])</f>
        <v>10</v>
      </c>
      <c r="F827" t="s">
        <v>24</v>
      </c>
      <c r="G827">
        <v>81</v>
      </c>
      <c r="H827" s="3">
        <v>245.03936147229382</v>
      </c>
      <c r="I827" s="3">
        <f>ProductLine[[#This Row],[Units]]*ProductLine[[#This Row],[Dollars]]</f>
        <v>19848.188279255799</v>
      </c>
    </row>
    <row r="828" spans="1:9" x14ac:dyDescent="0.35">
      <c r="A828">
        <v>827</v>
      </c>
      <c r="B828" t="s">
        <v>16</v>
      </c>
      <c r="C828" s="2">
        <v>38980</v>
      </c>
      <c r="D828">
        <f>YEAR(ProductLine[[#This Row],[Date]])</f>
        <v>2006</v>
      </c>
      <c r="E828">
        <f>MONTH(ProductLine[[#This Row],[Date]])</f>
        <v>9</v>
      </c>
      <c r="F828" t="s">
        <v>26</v>
      </c>
      <c r="G828">
        <v>83</v>
      </c>
      <c r="H828" s="3">
        <v>251.14060708825255</v>
      </c>
      <c r="I828" s="3">
        <f>ProductLine[[#This Row],[Units]]*ProductLine[[#This Row],[Dollars]]</f>
        <v>20844.670388324961</v>
      </c>
    </row>
    <row r="829" spans="1:9" x14ac:dyDescent="0.35">
      <c r="A829">
        <v>828</v>
      </c>
      <c r="B829" t="s">
        <v>12</v>
      </c>
      <c r="C829" s="2">
        <v>39024</v>
      </c>
      <c r="D829">
        <f>YEAR(ProductLine[[#This Row],[Date]])</f>
        <v>2006</v>
      </c>
      <c r="E829">
        <f>MONTH(ProductLine[[#This Row],[Date]])</f>
        <v>11</v>
      </c>
      <c r="F829" t="s">
        <v>24</v>
      </c>
      <c r="G829">
        <v>6</v>
      </c>
      <c r="H829" s="3">
        <v>19.522370228620925</v>
      </c>
      <c r="I829" s="3">
        <f>ProductLine[[#This Row],[Units]]*ProductLine[[#This Row],[Dollars]]</f>
        <v>117.13422137172554</v>
      </c>
    </row>
    <row r="830" spans="1:9" x14ac:dyDescent="0.35">
      <c r="A830">
        <v>829</v>
      </c>
      <c r="B830" t="s">
        <v>13</v>
      </c>
      <c r="C830" s="2">
        <v>39035</v>
      </c>
      <c r="D830">
        <f>YEAR(ProductLine[[#This Row],[Date]])</f>
        <v>2006</v>
      </c>
      <c r="E830">
        <f>MONTH(ProductLine[[#This Row],[Date]])</f>
        <v>11</v>
      </c>
      <c r="F830" t="s">
        <v>27</v>
      </c>
      <c r="G830">
        <v>77</v>
      </c>
      <c r="H830" s="3">
        <v>233.15631874033514</v>
      </c>
      <c r="I830" s="3">
        <f>ProductLine[[#This Row],[Units]]*ProductLine[[#This Row],[Dollars]]</f>
        <v>17953.036543005805</v>
      </c>
    </row>
    <row r="831" spans="1:9" x14ac:dyDescent="0.35">
      <c r="A831">
        <v>830</v>
      </c>
      <c r="B831" t="s">
        <v>16</v>
      </c>
      <c r="C831" s="2">
        <v>38804</v>
      </c>
      <c r="D831">
        <f>YEAR(ProductLine[[#This Row],[Date]])</f>
        <v>2006</v>
      </c>
      <c r="E831">
        <f>MONTH(ProductLine[[#This Row],[Date]])</f>
        <v>3</v>
      </c>
      <c r="F831" t="s">
        <v>27</v>
      </c>
      <c r="G831">
        <v>41</v>
      </c>
      <c r="H831" s="3">
        <v>125.28397193085664</v>
      </c>
      <c r="I831" s="3">
        <f>ProductLine[[#This Row],[Units]]*ProductLine[[#This Row],[Dollars]]</f>
        <v>5136.6428491651222</v>
      </c>
    </row>
    <row r="832" spans="1:9" x14ac:dyDescent="0.35">
      <c r="A832">
        <v>831</v>
      </c>
      <c r="B832" t="s">
        <v>11</v>
      </c>
      <c r="C832" s="2">
        <v>39057</v>
      </c>
      <c r="D832">
        <f>YEAR(ProductLine[[#This Row],[Date]])</f>
        <v>2006</v>
      </c>
      <c r="E832">
        <f>MONTH(ProductLine[[#This Row],[Date]])</f>
        <v>12</v>
      </c>
      <c r="F832" t="s">
        <v>23</v>
      </c>
      <c r="G832">
        <v>80</v>
      </c>
      <c r="H832" s="3">
        <v>241.70735878482179</v>
      </c>
      <c r="I832" s="3">
        <f>ProductLine[[#This Row],[Units]]*ProductLine[[#This Row],[Dollars]]</f>
        <v>19336.588702785742</v>
      </c>
    </row>
    <row r="833" spans="1:9" x14ac:dyDescent="0.35">
      <c r="A833">
        <v>832</v>
      </c>
      <c r="B833" t="s">
        <v>12</v>
      </c>
      <c r="C833" s="2">
        <v>38859</v>
      </c>
      <c r="D833">
        <f>YEAR(ProductLine[[#This Row],[Date]])</f>
        <v>2006</v>
      </c>
      <c r="E833">
        <f>MONTH(ProductLine[[#This Row],[Date]])</f>
        <v>5</v>
      </c>
      <c r="F833" t="s">
        <v>26</v>
      </c>
      <c r="G833">
        <v>20</v>
      </c>
      <c r="H833" s="3">
        <v>62.210097856811508</v>
      </c>
      <c r="I833" s="3">
        <f>ProductLine[[#This Row],[Units]]*ProductLine[[#This Row],[Dollars]]</f>
        <v>1244.2019571362302</v>
      </c>
    </row>
    <row r="834" spans="1:9" x14ac:dyDescent="0.35">
      <c r="A834">
        <v>833</v>
      </c>
      <c r="B834" t="s">
        <v>15</v>
      </c>
      <c r="C834" s="2">
        <v>38012</v>
      </c>
      <c r="D834">
        <f>YEAR(ProductLine[[#This Row],[Date]])</f>
        <v>2004</v>
      </c>
      <c r="E834">
        <f>MONTH(ProductLine[[#This Row],[Date]])</f>
        <v>1</v>
      </c>
      <c r="F834" t="s">
        <v>26</v>
      </c>
      <c r="G834">
        <v>31</v>
      </c>
      <c r="H834" s="3">
        <v>95.327196648200925</v>
      </c>
      <c r="I834" s="3">
        <f>ProductLine[[#This Row],[Units]]*ProductLine[[#This Row],[Dollars]]</f>
        <v>2955.1430960942289</v>
      </c>
    </row>
    <row r="835" spans="1:9" x14ac:dyDescent="0.35">
      <c r="A835">
        <v>834</v>
      </c>
      <c r="B835" t="s">
        <v>10</v>
      </c>
      <c r="C835" s="2">
        <v>38727</v>
      </c>
      <c r="D835">
        <f>YEAR(ProductLine[[#This Row],[Date]])</f>
        <v>2006</v>
      </c>
      <c r="E835">
        <f>MONTH(ProductLine[[#This Row],[Date]])</f>
        <v>1</v>
      </c>
      <c r="F835" t="s">
        <v>24</v>
      </c>
      <c r="G835">
        <v>34</v>
      </c>
      <c r="H835" s="3">
        <v>103.89654308960344</v>
      </c>
      <c r="I835" s="3">
        <f>ProductLine[[#This Row],[Units]]*ProductLine[[#This Row],[Dollars]]</f>
        <v>3532.4824650465171</v>
      </c>
    </row>
    <row r="836" spans="1:9" x14ac:dyDescent="0.35">
      <c r="A836">
        <v>835</v>
      </c>
      <c r="B836" t="s">
        <v>11</v>
      </c>
      <c r="C836" s="2">
        <v>38595</v>
      </c>
      <c r="D836">
        <f>YEAR(ProductLine[[#This Row],[Date]])</f>
        <v>2005</v>
      </c>
      <c r="E836">
        <f>MONTH(ProductLine[[#This Row],[Date]])</f>
        <v>8</v>
      </c>
      <c r="F836" t="s">
        <v>24</v>
      </c>
      <c r="G836">
        <v>2</v>
      </c>
      <c r="H836" s="3">
        <v>8.0342514695562706</v>
      </c>
      <c r="I836" s="3">
        <f>ProductLine[[#This Row],[Units]]*ProductLine[[#This Row],[Dollars]]</f>
        <v>16.068502939112541</v>
      </c>
    </row>
    <row r="837" spans="1:9" x14ac:dyDescent="0.35">
      <c r="A837">
        <v>836</v>
      </c>
      <c r="B837" t="s">
        <v>16</v>
      </c>
      <c r="C837" s="2">
        <v>38760</v>
      </c>
      <c r="D837">
        <f>YEAR(ProductLine[[#This Row],[Date]])</f>
        <v>2006</v>
      </c>
      <c r="E837">
        <f>MONTH(ProductLine[[#This Row],[Date]])</f>
        <v>2</v>
      </c>
      <c r="F837" t="s">
        <v>24</v>
      </c>
      <c r="G837">
        <v>17</v>
      </c>
      <c r="H837" s="3">
        <v>53.331838418625381</v>
      </c>
      <c r="I837" s="3">
        <f>ProductLine[[#This Row],[Units]]*ProductLine[[#This Row],[Dollars]]</f>
        <v>906.64125311663145</v>
      </c>
    </row>
    <row r="838" spans="1:9" x14ac:dyDescent="0.35">
      <c r="A838">
        <v>837</v>
      </c>
      <c r="B838" t="s">
        <v>15</v>
      </c>
      <c r="C838" s="2">
        <v>38870</v>
      </c>
      <c r="D838">
        <f>YEAR(ProductLine[[#This Row],[Date]])</f>
        <v>2006</v>
      </c>
      <c r="E838">
        <f>MONTH(ProductLine[[#This Row],[Date]])</f>
        <v>6</v>
      </c>
      <c r="F838" t="s">
        <v>26</v>
      </c>
      <c r="G838">
        <v>16</v>
      </c>
      <c r="H838" s="3">
        <v>50.310894482412991</v>
      </c>
      <c r="I838" s="3">
        <f>ProductLine[[#This Row],[Units]]*ProductLine[[#This Row],[Dollars]]</f>
        <v>804.97431171860785</v>
      </c>
    </row>
    <row r="839" spans="1:9" x14ac:dyDescent="0.35">
      <c r="A839">
        <v>838</v>
      </c>
      <c r="B839" t="s">
        <v>14</v>
      </c>
      <c r="C839" s="2">
        <v>38782</v>
      </c>
      <c r="D839">
        <f>YEAR(ProductLine[[#This Row],[Date]])</f>
        <v>2006</v>
      </c>
      <c r="E839">
        <f>MONTH(ProductLine[[#This Row],[Date]])</f>
        <v>3</v>
      </c>
      <c r="F839" t="s">
        <v>24</v>
      </c>
      <c r="G839">
        <v>54</v>
      </c>
      <c r="H839" s="3">
        <v>163.70197903495185</v>
      </c>
      <c r="I839" s="3">
        <f>ProductLine[[#This Row],[Units]]*ProductLine[[#This Row],[Dollars]]</f>
        <v>8839.9068678873991</v>
      </c>
    </row>
    <row r="840" spans="1:9" x14ac:dyDescent="0.35">
      <c r="A840">
        <v>839</v>
      </c>
      <c r="B840" t="s">
        <v>12</v>
      </c>
      <c r="C840" s="2">
        <v>38034</v>
      </c>
      <c r="D840">
        <f>YEAR(ProductLine[[#This Row],[Date]])</f>
        <v>2004</v>
      </c>
      <c r="E840">
        <f>MONTH(ProductLine[[#This Row],[Date]])</f>
        <v>2</v>
      </c>
      <c r="F840" t="s">
        <v>23</v>
      </c>
      <c r="G840">
        <v>-9</v>
      </c>
      <c r="H840" s="3">
        <v>-24.921999927055641</v>
      </c>
      <c r="I840" s="3">
        <f>ProductLine[[#This Row],[Units]]*ProductLine[[#This Row],[Dollars]]</f>
        <v>224.29799934350078</v>
      </c>
    </row>
    <row r="841" spans="1:9" x14ac:dyDescent="0.35">
      <c r="A841">
        <v>840</v>
      </c>
      <c r="B841" t="s">
        <v>12</v>
      </c>
      <c r="C841" s="2">
        <v>38837</v>
      </c>
      <c r="D841">
        <f>YEAR(ProductLine[[#This Row],[Date]])</f>
        <v>2006</v>
      </c>
      <c r="E841">
        <f>MONTH(ProductLine[[#This Row],[Date]])</f>
        <v>4</v>
      </c>
      <c r="F841" t="s">
        <v>26</v>
      </c>
      <c r="G841">
        <v>94</v>
      </c>
      <c r="H841" s="3">
        <v>284.53575317756747</v>
      </c>
      <c r="I841" s="3">
        <f>ProductLine[[#This Row],[Units]]*ProductLine[[#This Row],[Dollars]]</f>
        <v>26746.360798691341</v>
      </c>
    </row>
    <row r="842" spans="1:9" x14ac:dyDescent="0.35">
      <c r="A842">
        <v>841</v>
      </c>
      <c r="B842" t="s">
        <v>16</v>
      </c>
      <c r="C842" s="2">
        <v>38232</v>
      </c>
      <c r="D842">
        <f>YEAR(ProductLine[[#This Row],[Date]])</f>
        <v>2004</v>
      </c>
      <c r="E842">
        <f>MONTH(ProductLine[[#This Row],[Date]])</f>
        <v>9</v>
      </c>
      <c r="F842" t="s">
        <v>24</v>
      </c>
      <c r="G842">
        <v>-3</v>
      </c>
      <c r="H842" s="3">
        <v>-7.4497114042005954</v>
      </c>
      <c r="I842" s="3">
        <f>ProductLine[[#This Row],[Units]]*ProductLine[[#This Row],[Dollars]]</f>
        <v>22.349134212601786</v>
      </c>
    </row>
    <row r="843" spans="1:9" x14ac:dyDescent="0.35">
      <c r="A843">
        <v>842</v>
      </c>
      <c r="B843" t="s">
        <v>14</v>
      </c>
      <c r="C843" s="2">
        <v>38298</v>
      </c>
      <c r="D843">
        <f>YEAR(ProductLine[[#This Row],[Date]])</f>
        <v>2004</v>
      </c>
      <c r="E843">
        <f>MONTH(ProductLine[[#This Row],[Date]])</f>
        <v>11</v>
      </c>
      <c r="F843" t="s">
        <v>27</v>
      </c>
      <c r="G843">
        <v>9</v>
      </c>
      <c r="H843" s="3">
        <v>28.830809944248564</v>
      </c>
      <c r="I843" s="3">
        <f>ProductLine[[#This Row],[Units]]*ProductLine[[#This Row],[Dollars]]</f>
        <v>259.4772894982371</v>
      </c>
    </row>
    <row r="844" spans="1:9" x14ac:dyDescent="0.35">
      <c r="A844">
        <v>843</v>
      </c>
      <c r="B844" t="s">
        <v>10</v>
      </c>
      <c r="C844" s="2">
        <v>38067</v>
      </c>
      <c r="D844">
        <f>YEAR(ProductLine[[#This Row],[Date]])</f>
        <v>2004</v>
      </c>
      <c r="E844">
        <f>MONTH(ProductLine[[#This Row],[Date]])</f>
        <v>3</v>
      </c>
      <c r="F844" t="s">
        <v>24</v>
      </c>
      <c r="G844">
        <v>25</v>
      </c>
      <c r="H844" s="3">
        <v>77.108203405128648</v>
      </c>
      <c r="I844" s="3">
        <f>ProductLine[[#This Row],[Units]]*ProductLine[[#This Row],[Dollars]]</f>
        <v>1927.7050851282163</v>
      </c>
    </row>
    <row r="845" spans="1:9" x14ac:dyDescent="0.35">
      <c r="A845">
        <v>844</v>
      </c>
      <c r="B845" t="s">
        <v>11</v>
      </c>
      <c r="C845" s="2">
        <v>39013</v>
      </c>
      <c r="D845">
        <f>YEAR(ProductLine[[#This Row],[Date]])</f>
        <v>2006</v>
      </c>
      <c r="E845">
        <f>MONTH(ProductLine[[#This Row],[Date]])</f>
        <v>10</v>
      </c>
      <c r="F845" t="s">
        <v>23</v>
      </c>
      <c r="G845">
        <v>29</v>
      </c>
      <c r="H845" s="3">
        <v>89.310545900397301</v>
      </c>
      <c r="I845" s="3">
        <f>ProductLine[[#This Row],[Units]]*ProductLine[[#This Row],[Dollars]]</f>
        <v>2590.0058311115217</v>
      </c>
    </row>
    <row r="846" spans="1:9" x14ac:dyDescent="0.35">
      <c r="A846">
        <v>845</v>
      </c>
      <c r="B846" t="s">
        <v>17</v>
      </c>
      <c r="C846" s="2">
        <v>38221</v>
      </c>
      <c r="D846">
        <f>YEAR(ProductLine[[#This Row],[Date]])</f>
        <v>2004</v>
      </c>
      <c r="E846">
        <f>MONTH(ProductLine[[#This Row],[Date]])</f>
        <v>8</v>
      </c>
      <c r="F846" t="s">
        <v>26</v>
      </c>
      <c r="G846">
        <v>37</v>
      </c>
      <c r="H846" s="3">
        <v>113.21323460768004</v>
      </c>
      <c r="I846" s="3">
        <f>ProductLine[[#This Row],[Units]]*ProductLine[[#This Row],[Dollars]]</f>
        <v>4188.8896804841615</v>
      </c>
    </row>
    <row r="847" spans="1:9" x14ac:dyDescent="0.35">
      <c r="A847">
        <v>846</v>
      </c>
      <c r="B847" t="s">
        <v>12</v>
      </c>
      <c r="C847" s="2">
        <v>38529</v>
      </c>
      <c r="D847">
        <f>YEAR(ProductLine[[#This Row],[Date]])</f>
        <v>2005</v>
      </c>
      <c r="E847">
        <f>MONTH(ProductLine[[#This Row],[Date]])</f>
        <v>6</v>
      </c>
      <c r="F847" t="s">
        <v>24</v>
      </c>
      <c r="G847">
        <v>19</v>
      </c>
      <c r="H847" s="3">
        <v>59.003760475925063</v>
      </c>
      <c r="I847" s="3">
        <f>ProductLine[[#This Row],[Units]]*ProductLine[[#This Row],[Dollars]]</f>
        <v>1121.0714490425762</v>
      </c>
    </row>
    <row r="848" spans="1:9" x14ac:dyDescent="0.35">
      <c r="A848">
        <v>847</v>
      </c>
      <c r="B848" t="s">
        <v>14</v>
      </c>
      <c r="C848" s="2">
        <v>38089</v>
      </c>
      <c r="D848">
        <f>YEAR(ProductLine[[#This Row],[Date]])</f>
        <v>2004</v>
      </c>
      <c r="E848">
        <f>MONTH(ProductLine[[#This Row],[Date]])</f>
        <v>4</v>
      </c>
      <c r="F848" t="s">
        <v>23</v>
      </c>
      <c r="G848">
        <v>28</v>
      </c>
      <c r="H848" s="3">
        <v>86.04518510559123</v>
      </c>
      <c r="I848" s="3">
        <f>ProductLine[[#This Row],[Units]]*ProductLine[[#This Row],[Dollars]]</f>
        <v>2409.2651829565543</v>
      </c>
    </row>
    <row r="849" spans="1:9" x14ac:dyDescent="0.35">
      <c r="A849">
        <v>848</v>
      </c>
      <c r="B849" t="s">
        <v>16</v>
      </c>
      <c r="C849" s="2">
        <v>38144</v>
      </c>
      <c r="D849">
        <f>YEAR(ProductLine[[#This Row],[Date]])</f>
        <v>2004</v>
      </c>
      <c r="E849">
        <f>MONTH(ProductLine[[#This Row],[Date]])</f>
        <v>6</v>
      </c>
      <c r="F849" t="s">
        <v>26</v>
      </c>
      <c r="G849">
        <v>18</v>
      </c>
      <c r="H849" s="3">
        <v>55.858549479616173</v>
      </c>
      <c r="I849" s="3">
        <f>ProductLine[[#This Row],[Units]]*ProductLine[[#This Row],[Dollars]]</f>
        <v>1005.4538906330911</v>
      </c>
    </row>
    <row r="850" spans="1:9" x14ac:dyDescent="0.35">
      <c r="A850">
        <v>849</v>
      </c>
      <c r="B850" t="s">
        <v>11</v>
      </c>
      <c r="C850" s="2">
        <v>38870</v>
      </c>
      <c r="D850">
        <f>YEAR(ProductLine[[#This Row],[Date]])</f>
        <v>2006</v>
      </c>
      <c r="E850">
        <f>MONTH(ProductLine[[#This Row],[Date]])</f>
        <v>6</v>
      </c>
      <c r="F850" t="s">
        <v>25</v>
      </c>
      <c r="G850">
        <v>84</v>
      </c>
      <c r="H850" s="3">
        <v>254.04302513210774</v>
      </c>
      <c r="I850" s="3">
        <f>ProductLine[[#This Row],[Units]]*ProductLine[[#This Row],[Dollars]]</f>
        <v>21339.614111097049</v>
      </c>
    </row>
    <row r="851" spans="1:9" x14ac:dyDescent="0.35">
      <c r="A851">
        <v>850</v>
      </c>
      <c r="B851" t="s">
        <v>15</v>
      </c>
      <c r="C851" s="2">
        <v>38276</v>
      </c>
      <c r="D851">
        <f>YEAR(ProductLine[[#This Row],[Date]])</f>
        <v>2004</v>
      </c>
      <c r="E851">
        <f>MONTH(ProductLine[[#This Row],[Date]])</f>
        <v>10</v>
      </c>
      <c r="F851" t="s">
        <v>24</v>
      </c>
      <c r="G851">
        <v>79</v>
      </c>
      <c r="H851" s="3">
        <v>238.82743961542425</v>
      </c>
      <c r="I851" s="3">
        <f>ProductLine[[#This Row],[Units]]*ProductLine[[#This Row],[Dollars]]</f>
        <v>18867.367729618516</v>
      </c>
    </row>
    <row r="852" spans="1:9" x14ac:dyDescent="0.35">
      <c r="A852">
        <v>851</v>
      </c>
      <c r="B852" t="s">
        <v>17</v>
      </c>
      <c r="C852" s="2">
        <v>38298</v>
      </c>
      <c r="D852">
        <f>YEAR(ProductLine[[#This Row],[Date]])</f>
        <v>2004</v>
      </c>
      <c r="E852">
        <f>MONTH(ProductLine[[#This Row],[Date]])</f>
        <v>11</v>
      </c>
      <c r="F852" t="s">
        <v>24</v>
      </c>
      <c r="G852">
        <v>31</v>
      </c>
      <c r="H852" s="3">
        <v>94.972961203791044</v>
      </c>
      <c r="I852" s="3">
        <f>ProductLine[[#This Row],[Units]]*ProductLine[[#This Row],[Dollars]]</f>
        <v>2944.1617973175225</v>
      </c>
    </row>
    <row r="853" spans="1:9" x14ac:dyDescent="0.35">
      <c r="A853">
        <v>852</v>
      </c>
      <c r="B853" t="s">
        <v>16</v>
      </c>
      <c r="C853" s="2">
        <v>38925</v>
      </c>
      <c r="D853">
        <f>YEAR(ProductLine[[#This Row],[Date]])</f>
        <v>2006</v>
      </c>
      <c r="E853">
        <f>MONTH(ProductLine[[#This Row],[Date]])</f>
        <v>7</v>
      </c>
      <c r="F853" t="s">
        <v>25</v>
      </c>
      <c r="G853">
        <v>34</v>
      </c>
      <c r="H853" s="3">
        <v>103.39863614232333</v>
      </c>
      <c r="I853" s="3">
        <f>ProductLine[[#This Row],[Units]]*ProductLine[[#This Row],[Dollars]]</f>
        <v>3515.5536288389931</v>
      </c>
    </row>
    <row r="854" spans="1:9" x14ac:dyDescent="0.35">
      <c r="A854">
        <v>853</v>
      </c>
      <c r="B854" t="s">
        <v>17</v>
      </c>
      <c r="C854" s="2">
        <v>38672</v>
      </c>
      <c r="D854">
        <f>YEAR(ProductLine[[#This Row],[Date]])</f>
        <v>2005</v>
      </c>
      <c r="E854">
        <f>MONTH(ProductLine[[#This Row],[Date]])</f>
        <v>11</v>
      </c>
      <c r="F854" t="s">
        <v>27</v>
      </c>
      <c r="G854">
        <v>66</v>
      </c>
      <c r="H854" s="3">
        <v>201.25536797949457</v>
      </c>
      <c r="I854" s="3">
        <f>ProductLine[[#This Row],[Units]]*ProductLine[[#This Row],[Dollars]]</f>
        <v>13282.854286646641</v>
      </c>
    </row>
    <row r="855" spans="1:9" x14ac:dyDescent="0.35">
      <c r="A855">
        <v>854</v>
      </c>
      <c r="B855" t="s">
        <v>15</v>
      </c>
      <c r="C855" s="2">
        <v>38859</v>
      </c>
      <c r="D855">
        <f>YEAR(ProductLine[[#This Row],[Date]])</f>
        <v>2006</v>
      </c>
      <c r="E855">
        <f>MONTH(ProductLine[[#This Row],[Date]])</f>
        <v>5</v>
      </c>
      <c r="F855" t="s">
        <v>27</v>
      </c>
      <c r="G855">
        <v>44</v>
      </c>
      <c r="H855" s="3">
        <v>134.44985862590835</v>
      </c>
      <c r="I855" s="3">
        <f>ProductLine[[#This Row],[Units]]*ProductLine[[#This Row],[Dollars]]</f>
        <v>5915.7937795399675</v>
      </c>
    </row>
    <row r="856" spans="1:9" x14ac:dyDescent="0.35">
      <c r="A856">
        <v>855</v>
      </c>
      <c r="B856" t="s">
        <v>9</v>
      </c>
      <c r="C856" s="2">
        <v>38375</v>
      </c>
      <c r="D856">
        <f>YEAR(ProductLine[[#This Row],[Date]])</f>
        <v>2005</v>
      </c>
      <c r="E856">
        <f>MONTH(ProductLine[[#This Row],[Date]])</f>
        <v>1</v>
      </c>
      <c r="F856" t="s">
        <v>26</v>
      </c>
      <c r="G856">
        <v>94</v>
      </c>
      <c r="H856" s="3">
        <v>284.41944495958916</v>
      </c>
      <c r="I856" s="3">
        <f>ProductLine[[#This Row],[Units]]*ProductLine[[#This Row],[Dollars]]</f>
        <v>26735.42782620138</v>
      </c>
    </row>
    <row r="857" spans="1:9" x14ac:dyDescent="0.35">
      <c r="A857">
        <v>856</v>
      </c>
      <c r="B857" t="s">
        <v>13</v>
      </c>
      <c r="C857" s="2">
        <v>38089</v>
      </c>
      <c r="D857">
        <f>YEAR(ProductLine[[#This Row],[Date]])</f>
        <v>2004</v>
      </c>
      <c r="E857">
        <f>MONTH(ProductLine[[#This Row],[Date]])</f>
        <v>4</v>
      </c>
      <c r="F857" t="s">
        <v>24</v>
      </c>
      <c r="G857">
        <v>11</v>
      </c>
      <c r="H857" s="3">
        <v>35.299860689817372</v>
      </c>
      <c r="I857" s="3">
        <f>ProductLine[[#This Row],[Units]]*ProductLine[[#This Row],[Dollars]]</f>
        <v>388.29846758799107</v>
      </c>
    </row>
    <row r="858" spans="1:9" x14ac:dyDescent="0.35">
      <c r="A858">
        <v>857</v>
      </c>
      <c r="B858" t="s">
        <v>10</v>
      </c>
      <c r="C858" s="2">
        <v>38221</v>
      </c>
      <c r="D858">
        <f>YEAR(ProductLine[[#This Row],[Date]])</f>
        <v>2004</v>
      </c>
      <c r="E858">
        <f>MONTH(ProductLine[[#This Row],[Date]])</f>
        <v>8</v>
      </c>
      <c r="F858" t="s">
        <v>23</v>
      </c>
      <c r="G858">
        <v>74</v>
      </c>
      <c r="H858" s="3">
        <v>223.97457991298864</v>
      </c>
      <c r="I858" s="3">
        <f>ProductLine[[#This Row],[Units]]*ProductLine[[#This Row],[Dollars]]</f>
        <v>16574.11891356116</v>
      </c>
    </row>
    <row r="859" spans="1:9" x14ac:dyDescent="0.35">
      <c r="A859">
        <v>858</v>
      </c>
      <c r="B859" t="s">
        <v>16</v>
      </c>
      <c r="C859" s="2">
        <v>39057</v>
      </c>
      <c r="D859">
        <f>YEAR(ProductLine[[#This Row],[Date]])</f>
        <v>2006</v>
      </c>
      <c r="E859">
        <f>MONTH(ProductLine[[#This Row],[Date]])</f>
        <v>12</v>
      </c>
      <c r="F859" t="s">
        <v>27</v>
      </c>
      <c r="G859">
        <v>28</v>
      </c>
      <c r="H859" s="3">
        <v>86.485564911199845</v>
      </c>
      <c r="I859" s="3">
        <f>ProductLine[[#This Row],[Units]]*ProductLine[[#This Row],[Dollars]]</f>
        <v>2421.5958175135956</v>
      </c>
    </row>
    <row r="860" spans="1:9" x14ac:dyDescent="0.35">
      <c r="A860">
        <v>859</v>
      </c>
      <c r="B860" t="s">
        <v>14</v>
      </c>
      <c r="C860" s="2">
        <v>38507</v>
      </c>
      <c r="D860">
        <f>YEAR(ProductLine[[#This Row],[Date]])</f>
        <v>2005</v>
      </c>
      <c r="E860">
        <f>MONTH(ProductLine[[#This Row],[Date]])</f>
        <v>6</v>
      </c>
      <c r="F860" t="s">
        <v>23</v>
      </c>
      <c r="G860">
        <v>40</v>
      </c>
      <c r="H860" s="3">
        <v>121.92180749554807</v>
      </c>
      <c r="I860" s="3">
        <f>ProductLine[[#This Row],[Units]]*ProductLine[[#This Row],[Dollars]]</f>
        <v>4876.8722998219228</v>
      </c>
    </row>
    <row r="861" spans="1:9" x14ac:dyDescent="0.35">
      <c r="A861">
        <v>860</v>
      </c>
      <c r="B861" t="s">
        <v>14</v>
      </c>
      <c r="C861" s="2">
        <v>38023</v>
      </c>
      <c r="D861">
        <f>YEAR(ProductLine[[#This Row],[Date]])</f>
        <v>2004</v>
      </c>
      <c r="E861">
        <f>MONTH(ProductLine[[#This Row],[Date]])</f>
        <v>2</v>
      </c>
      <c r="F861" t="s">
        <v>23</v>
      </c>
      <c r="G861">
        <v>34</v>
      </c>
      <c r="H861" s="3">
        <v>104.1689153871453</v>
      </c>
      <c r="I861" s="3">
        <f>ProductLine[[#This Row],[Units]]*ProductLine[[#This Row],[Dollars]]</f>
        <v>3541.7431231629403</v>
      </c>
    </row>
    <row r="862" spans="1:9" x14ac:dyDescent="0.35">
      <c r="A862">
        <v>861</v>
      </c>
      <c r="B862" t="s">
        <v>9</v>
      </c>
      <c r="C862" s="2">
        <v>38606</v>
      </c>
      <c r="D862">
        <f>YEAR(ProductLine[[#This Row],[Date]])</f>
        <v>2005</v>
      </c>
      <c r="E862">
        <f>MONTH(ProductLine[[#This Row],[Date]])</f>
        <v>9</v>
      </c>
      <c r="F862" t="s">
        <v>26</v>
      </c>
      <c r="G862">
        <v>38</v>
      </c>
      <c r="H862" s="3">
        <v>115.85180148886141</v>
      </c>
      <c r="I862" s="3">
        <f>ProductLine[[#This Row],[Units]]*ProductLine[[#This Row],[Dollars]]</f>
        <v>4402.3684565767335</v>
      </c>
    </row>
    <row r="863" spans="1:9" x14ac:dyDescent="0.35">
      <c r="A863">
        <v>862</v>
      </c>
      <c r="B863" t="s">
        <v>10</v>
      </c>
      <c r="C863" s="2">
        <v>38518</v>
      </c>
      <c r="D863">
        <f>YEAR(ProductLine[[#This Row],[Date]])</f>
        <v>2005</v>
      </c>
      <c r="E863">
        <f>MONTH(ProductLine[[#This Row],[Date]])</f>
        <v>6</v>
      </c>
      <c r="F863" t="s">
        <v>27</v>
      </c>
      <c r="G863">
        <v>69</v>
      </c>
      <c r="H863" s="3">
        <v>209.14336391515394</v>
      </c>
      <c r="I863" s="3">
        <f>ProductLine[[#This Row],[Units]]*ProductLine[[#This Row],[Dollars]]</f>
        <v>14430.892110145622</v>
      </c>
    </row>
    <row r="864" spans="1:9" x14ac:dyDescent="0.35">
      <c r="A864">
        <v>863</v>
      </c>
      <c r="B864" t="s">
        <v>11</v>
      </c>
      <c r="C864" s="2">
        <v>38584</v>
      </c>
      <c r="D864">
        <f>YEAR(ProductLine[[#This Row],[Date]])</f>
        <v>2005</v>
      </c>
      <c r="E864">
        <f>MONTH(ProductLine[[#This Row],[Date]])</f>
        <v>8</v>
      </c>
      <c r="F864" t="s">
        <v>26</v>
      </c>
      <c r="G864">
        <v>34</v>
      </c>
      <c r="H864" s="3">
        <v>103.97058317140277</v>
      </c>
      <c r="I864" s="3">
        <f>ProductLine[[#This Row],[Units]]*ProductLine[[#This Row],[Dollars]]</f>
        <v>3534.9998278276939</v>
      </c>
    </row>
    <row r="865" spans="1:9" x14ac:dyDescent="0.35">
      <c r="A865">
        <v>864</v>
      </c>
      <c r="B865" t="s">
        <v>9</v>
      </c>
      <c r="C865" s="2">
        <v>38573</v>
      </c>
      <c r="D865">
        <f>YEAR(ProductLine[[#This Row],[Date]])</f>
        <v>2005</v>
      </c>
      <c r="E865">
        <f>MONTH(ProductLine[[#This Row],[Date]])</f>
        <v>8</v>
      </c>
      <c r="F865" t="s">
        <v>27</v>
      </c>
      <c r="G865">
        <v>29</v>
      </c>
      <c r="H865" s="3">
        <v>89.383943739445868</v>
      </c>
      <c r="I865" s="3">
        <f>ProductLine[[#This Row],[Units]]*ProductLine[[#This Row],[Dollars]]</f>
        <v>2592.1343684439303</v>
      </c>
    </row>
    <row r="866" spans="1:9" x14ac:dyDescent="0.35">
      <c r="A866">
        <v>865</v>
      </c>
      <c r="B866" t="s">
        <v>13</v>
      </c>
      <c r="C866" s="2">
        <v>38034</v>
      </c>
      <c r="D866">
        <f>YEAR(ProductLine[[#This Row],[Date]])</f>
        <v>2004</v>
      </c>
      <c r="E866">
        <f>MONTH(ProductLine[[#This Row],[Date]])</f>
        <v>2</v>
      </c>
      <c r="F866" t="s">
        <v>24</v>
      </c>
      <c r="G866">
        <v>-10</v>
      </c>
      <c r="H866" s="3">
        <v>-27.724939048319342</v>
      </c>
      <c r="I866" s="3">
        <f>ProductLine[[#This Row],[Units]]*ProductLine[[#This Row],[Dollars]]</f>
        <v>277.24939048319345</v>
      </c>
    </row>
    <row r="867" spans="1:9" x14ac:dyDescent="0.35">
      <c r="A867">
        <v>866</v>
      </c>
      <c r="B867" t="s">
        <v>17</v>
      </c>
      <c r="C867" s="2">
        <v>38287</v>
      </c>
      <c r="D867">
        <f>YEAR(ProductLine[[#This Row],[Date]])</f>
        <v>2004</v>
      </c>
      <c r="E867">
        <f>MONTH(ProductLine[[#This Row],[Date]])</f>
        <v>10</v>
      </c>
      <c r="F867" t="s">
        <v>25</v>
      </c>
      <c r="G867">
        <v>42</v>
      </c>
      <c r="H867" s="3">
        <v>128.42870398782102</v>
      </c>
      <c r="I867" s="3">
        <f>ProductLine[[#This Row],[Units]]*ProductLine[[#This Row],[Dollars]]</f>
        <v>5394.0055674884834</v>
      </c>
    </row>
    <row r="868" spans="1:9" x14ac:dyDescent="0.35">
      <c r="A868">
        <v>867</v>
      </c>
      <c r="B868" t="s">
        <v>12</v>
      </c>
      <c r="C868" s="2">
        <v>38793</v>
      </c>
      <c r="D868">
        <f>YEAR(ProductLine[[#This Row],[Date]])</f>
        <v>2006</v>
      </c>
      <c r="E868">
        <f>MONTH(ProductLine[[#This Row],[Date]])</f>
        <v>3</v>
      </c>
      <c r="F868" t="s">
        <v>27</v>
      </c>
      <c r="G868">
        <v>58</v>
      </c>
      <c r="H868" s="3">
        <v>175.97423505292562</v>
      </c>
      <c r="I868" s="3">
        <f>ProductLine[[#This Row],[Units]]*ProductLine[[#This Row],[Dollars]]</f>
        <v>10206.505633069686</v>
      </c>
    </row>
    <row r="869" spans="1:9" x14ac:dyDescent="0.35">
      <c r="A869">
        <v>868</v>
      </c>
      <c r="B869" t="s">
        <v>15</v>
      </c>
      <c r="C869" s="2">
        <v>38056</v>
      </c>
      <c r="D869">
        <f>YEAR(ProductLine[[#This Row],[Date]])</f>
        <v>2004</v>
      </c>
      <c r="E869">
        <f>MONTH(ProductLine[[#This Row],[Date]])</f>
        <v>3</v>
      </c>
      <c r="F869" t="s">
        <v>24</v>
      </c>
      <c r="G869">
        <v>27</v>
      </c>
      <c r="H869" s="3">
        <v>83.01665013993393</v>
      </c>
      <c r="I869" s="3">
        <f>ProductLine[[#This Row],[Units]]*ProductLine[[#This Row],[Dollars]]</f>
        <v>2241.4495537782159</v>
      </c>
    </row>
    <row r="870" spans="1:9" x14ac:dyDescent="0.35">
      <c r="A870">
        <v>869</v>
      </c>
      <c r="B870" t="s">
        <v>17</v>
      </c>
      <c r="C870" s="2">
        <v>38903</v>
      </c>
      <c r="D870">
        <f>YEAR(ProductLine[[#This Row],[Date]])</f>
        <v>2006</v>
      </c>
      <c r="E870">
        <f>MONTH(ProductLine[[#This Row],[Date]])</f>
        <v>7</v>
      </c>
      <c r="F870" t="s">
        <v>26</v>
      </c>
      <c r="G870">
        <v>47</v>
      </c>
      <c r="H870" s="3">
        <v>143.2742036645771</v>
      </c>
      <c r="I870" s="3">
        <f>ProductLine[[#This Row],[Units]]*ProductLine[[#This Row],[Dollars]]</f>
        <v>6733.887572235124</v>
      </c>
    </row>
    <row r="871" spans="1:9" x14ac:dyDescent="0.35">
      <c r="A871">
        <v>870</v>
      </c>
      <c r="B871" t="s">
        <v>15</v>
      </c>
      <c r="C871" s="2">
        <v>38023</v>
      </c>
      <c r="D871">
        <f>YEAR(ProductLine[[#This Row],[Date]])</f>
        <v>2004</v>
      </c>
      <c r="E871">
        <f>MONTH(ProductLine[[#This Row],[Date]])</f>
        <v>2</v>
      </c>
      <c r="F871" t="s">
        <v>24</v>
      </c>
      <c r="G871">
        <v>29</v>
      </c>
      <c r="H871" s="3">
        <v>88.696716331090727</v>
      </c>
      <c r="I871" s="3">
        <f>ProductLine[[#This Row],[Units]]*ProductLine[[#This Row],[Dollars]]</f>
        <v>2572.2047736016311</v>
      </c>
    </row>
    <row r="872" spans="1:9" x14ac:dyDescent="0.35">
      <c r="A872">
        <v>871</v>
      </c>
      <c r="B872" t="s">
        <v>17</v>
      </c>
      <c r="C872" s="2">
        <v>38848</v>
      </c>
      <c r="D872">
        <f>YEAR(ProductLine[[#This Row],[Date]])</f>
        <v>2006</v>
      </c>
      <c r="E872">
        <f>MONTH(ProductLine[[#This Row],[Date]])</f>
        <v>5</v>
      </c>
      <c r="F872" t="s">
        <v>27</v>
      </c>
      <c r="G872">
        <v>28</v>
      </c>
      <c r="H872" s="3">
        <v>86.226420950611285</v>
      </c>
      <c r="I872" s="3">
        <f>ProductLine[[#This Row],[Units]]*ProductLine[[#This Row],[Dollars]]</f>
        <v>2414.3397866171158</v>
      </c>
    </row>
    <row r="873" spans="1:9" x14ac:dyDescent="0.35">
      <c r="A873">
        <v>872</v>
      </c>
      <c r="B873" t="s">
        <v>9</v>
      </c>
      <c r="C873" s="2">
        <v>38980</v>
      </c>
      <c r="D873">
        <f>YEAR(ProductLine[[#This Row],[Date]])</f>
        <v>2006</v>
      </c>
      <c r="E873">
        <f>MONTH(ProductLine[[#This Row],[Date]])</f>
        <v>9</v>
      </c>
      <c r="F873" t="s">
        <v>26</v>
      </c>
      <c r="G873">
        <v>79</v>
      </c>
      <c r="H873" s="3">
        <v>239.05774059830441</v>
      </c>
      <c r="I873" s="3">
        <f>ProductLine[[#This Row],[Units]]*ProductLine[[#This Row],[Dollars]]</f>
        <v>18885.561507266048</v>
      </c>
    </row>
    <row r="874" spans="1:9" x14ac:dyDescent="0.35">
      <c r="A874">
        <v>873</v>
      </c>
      <c r="B874" t="s">
        <v>11</v>
      </c>
      <c r="C874" s="2">
        <v>38298</v>
      </c>
      <c r="D874">
        <f>YEAR(ProductLine[[#This Row],[Date]])</f>
        <v>2004</v>
      </c>
      <c r="E874">
        <f>MONTH(ProductLine[[#This Row],[Date]])</f>
        <v>11</v>
      </c>
      <c r="F874" t="s">
        <v>26</v>
      </c>
      <c r="G874">
        <v>41</v>
      </c>
      <c r="H874" s="3">
        <v>124.81786407447923</v>
      </c>
      <c r="I874" s="3">
        <f>ProductLine[[#This Row],[Units]]*ProductLine[[#This Row],[Dollars]]</f>
        <v>5117.5324270536485</v>
      </c>
    </row>
    <row r="875" spans="1:9" x14ac:dyDescent="0.35">
      <c r="A875">
        <v>874</v>
      </c>
      <c r="B875" t="s">
        <v>15</v>
      </c>
      <c r="C875" s="2">
        <v>38540</v>
      </c>
      <c r="D875">
        <f>YEAR(ProductLine[[#This Row],[Date]])</f>
        <v>2005</v>
      </c>
      <c r="E875">
        <f>MONTH(ProductLine[[#This Row],[Date]])</f>
        <v>7</v>
      </c>
      <c r="F875" t="s">
        <v>25</v>
      </c>
      <c r="G875">
        <v>57</v>
      </c>
      <c r="H875" s="3">
        <v>172.96188521453885</v>
      </c>
      <c r="I875" s="3">
        <f>ProductLine[[#This Row],[Units]]*ProductLine[[#This Row],[Dollars]]</f>
        <v>9858.8274572287155</v>
      </c>
    </row>
    <row r="876" spans="1:9" x14ac:dyDescent="0.35">
      <c r="A876">
        <v>875</v>
      </c>
      <c r="B876" t="s">
        <v>17</v>
      </c>
      <c r="C876" s="2">
        <v>38914</v>
      </c>
      <c r="D876">
        <f>YEAR(ProductLine[[#This Row],[Date]])</f>
        <v>2006</v>
      </c>
      <c r="E876">
        <f>MONTH(ProductLine[[#This Row],[Date]])</f>
        <v>7</v>
      </c>
      <c r="F876" t="s">
        <v>23</v>
      </c>
      <c r="G876">
        <v>45</v>
      </c>
      <c r="H876" s="3">
        <v>137.62002289021942</v>
      </c>
      <c r="I876" s="3">
        <f>ProductLine[[#This Row],[Units]]*ProductLine[[#This Row],[Dollars]]</f>
        <v>6192.9010300598738</v>
      </c>
    </row>
    <row r="877" spans="1:9" x14ac:dyDescent="0.35">
      <c r="A877">
        <v>876</v>
      </c>
      <c r="B877" t="s">
        <v>16</v>
      </c>
      <c r="C877" s="2">
        <v>38793</v>
      </c>
      <c r="D877">
        <f>YEAR(ProductLine[[#This Row],[Date]])</f>
        <v>2006</v>
      </c>
      <c r="E877">
        <f>MONTH(ProductLine[[#This Row],[Date]])</f>
        <v>3</v>
      </c>
      <c r="F877" t="s">
        <v>27</v>
      </c>
      <c r="G877">
        <v>91</v>
      </c>
      <c r="H877" s="3">
        <v>274.91230216083113</v>
      </c>
      <c r="I877" s="3">
        <f>ProductLine[[#This Row],[Units]]*ProductLine[[#This Row],[Dollars]]</f>
        <v>25017.019496635632</v>
      </c>
    </row>
    <row r="878" spans="1:9" x14ac:dyDescent="0.35">
      <c r="A878">
        <v>877</v>
      </c>
      <c r="B878" t="s">
        <v>15</v>
      </c>
      <c r="C878" s="2">
        <v>38375</v>
      </c>
      <c r="D878">
        <f>YEAR(ProductLine[[#This Row],[Date]])</f>
        <v>2005</v>
      </c>
      <c r="E878">
        <f>MONTH(ProductLine[[#This Row],[Date]])</f>
        <v>1</v>
      </c>
      <c r="F878" t="s">
        <v>27</v>
      </c>
      <c r="G878">
        <v>49</v>
      </c>
      <c r="H878" s="3">
        <v>149.04131306617498</v>
      </c>
      <c r="I878" s="3">
        <f>ProductLine[[#This Row],[Units]]*ProductLine[[#This Row],[Dollars]]</f>
        <v>7303.024340242574</v>
      </c>
    </row>
    <row r="879" spans="1:9" x14ac:dyDescent="0.35">
      <c r="A879">
        <v>878</v>
      </c>
      <c r="B879" t="s">
        <v>9</v>
      </c>
      <c r="C879" s="2">
        <v>38254</v>
      </c>
      <c r="D879">
        <f>YEAR(ProductLine[[#This Row],[Date]])</f>
        <v>2004</v>
      </c>
      <c r="E879">
        <f>MONTH(ProductLine[[#This Row],[Date]])</f>
        <v>9</v>
      </c>
      <c r="F879" t="s">
        <v>23</v>
      </c>
      <c r="G879">
        <v>68</v>
      </c>
      <c r="H879" s="3">
        <v>206.16097800045316</v>
      </c>
      <c r="I879" s="3">
        <f>ProductLine[[#This Row],[Units]]*ProductLine[[#This Row],[Dollars]]</f>
        <v>14018.946504030815</v>
      </c>
    </row>
    <row r="880" spans="1:9" x14ac:dyDescent="0.35">
      <c r="A880">
        <v>879</v>
      </c>
      <c r="B880" t="s">
        <v>13</v>
      </c>
      <c r="C880" s="2">
        <v>38397</v>
      </c>
      <c r="D880">
        <f>YEAR(ProductLine[[#This Row],[Date]])</f>
        <v>2005</v>
      </c>
      <c r="E880">
        <f>MONTH(ProductLine[[#This Row],[Date]])</f>
        <v>2</v>
      </c>
      <c r="F880" t="s">
        <v>25</v>
      </c>
      <c r="G880">
        <v>38</v>
      </c>
      <c r="H880" s="3">
        <v>116.64480895861564</v>
      </c>
      <c r="I880" s="3">
        <f>ProductLine[[#This Row],[Units]]*ProductLine[[#This Row],[Dollars]]</f>
        <v>4432.5027404273942</v>
      </c>
    </row>
    <row r="881" spans="1:9" x14ac:dyDescent="0.35">
      <c r="A881">
        <v>880</v>
      </c>
      <c r="B881" t="s">
        <v>11</v>
      </c>
      <c r="C881" s="2">
        <v>38980</v>
      </c>
      <c r="D881">
        <f>YEAR(ProductLine[[#This Row],[Date]])</f>
        <v>2006</v>
      </c>
      <c r="E881">
        <f>MONTH(ProductLine[[#This Row],[Date]])</f>
        <v>9</v>
      </c>
      <c r="F881" t="s">
        <v>24</v>
      </c>
      <c r="G881">
        <v>4</v>
      </c>
      <c r="H881" s="3">
        <v>15.205643253032669</v>
      </c>
      <c r="I881" s="3">
        <f>ProductLine[[#This Row],[Units]]*ProductLine[[#This Row],[Dollars]]</f>
        <v>60.822573012130675</v>
      </c>
    </row>
    <row r="882" spans="1:9" x14ac:dyDescent="0.35">
      <c r="A882">
        <v>881</v>
      </c>
      <c r="B882" t="s">
        <v>15</v>
      </c>
      <c r="C882" s="2">
        <v>38452</v>
      </c>
      <c r="D882">
        <f>YEAR(ProductLine[[#This Row],[Date]])</f>
        <v>2005</v>
      </c>
      <c r="E882">
        <f>MONTH(ProductLine[[#This Row],[Date]])</f>
        <v>4</v>
      </c>
      <c r="F882" t="s">
        <v>27</v>
      </c>
      <c r="G882">
        <v>45</v>
      </c>
      <c r="H882" s="3">
        <v>137.05484034063696</v>
      </c>
      <c r="I882" s="3">
        <f>ProductLine[[#This Row],[Units]]*ProductLine[[#This Row],[Dollars]]</f>
        <v>6167.4678153286632</v>
      </c>
    </row>
    <row r="883" spans="1:9" x14ac:dyDescent="0.35">
      <c r="A883">
        <v>882</v>
      </c>
      <c r="B883" t="s">
        <v>14</v>
      </c>
      <c r="C883" s="2">
        <v>38331</v>
      </c>
      <c r="D883">
        <f>YEAR(ProductLine[[#This Row],[Date]])</f>
        <v>2004</v>
      </c>
      <c r="E883">
        <f>MONTH(ProductLine[[#This Row],[Date]])</f>
        <v>12</v>
      </c>
      <c r="F883" t="s">
        <v>27</v>
      </c>
      <c r="G883">
        <v>85</v>
      </c>
      <c r="H883" s="3">
        <v>256.6581063828105</v>
      </c>
      <c r="I883" s="3">
        <f>ProductLine[[#This Row],[Units]]*ProductLine[[#This Row],[Dollars]]</f>
        <v>21815.939042538892</v>
      </c>
    </row>
    <row r="884" spans="1:9" x14ac:dyDescent="0.35">
      <c r="A884">
        <v>883</v>
      </c>
      <c r="B884" t="s">
        <v>15</v>
      </c>
      <c r="C884" s="2">
        <v>38540</v>
      </c>
      <c r="D884">
        <f>YEAR(ProductLine[[#This Row],[Date]])</f>
        <v>2005</v>
      </c>
      <c r="E884">
        <f>MONTH(ProductLine[[#This Row],[Date]])</f>
        <v>7</v>
      </c>
      <c r="F884" t="s">
        <v>25</v>
      </c>
      <c r="G884">
        <v>57</v>
      </c>
      <c r="H884" s="3">
        <v>173.05666995199584</v>
      </c>
      <c r="I884" s="3">
        <f>ProductLine[[#This Row],[Units]]*ProductLine[[#This Row],[Dollars]]</f>
        <v>9864.2301872637636</v>
      </c>
    </row>
    <row r="885" spans="1:9" x14ac:dyDescent="0.35">
      <c r="A885">
        <v>884</v>
      </c>
      <c r="B885" t="s">
        <v>12</v>
      </c>
      <c r="C885" s="2">
        <v>38672</v>
      </c>
      <c r="D885">
        <f>YEAR(ProductLine[[#This Row],[Date]])</f>
        <v>2005</v>
      </c>
      <c r="E885">
        <f>MONTH(ProductLine[[#This Row],[Date]])</f>
        <v>11</v>
      </c>
      <c r="F885" t="s">
        <v>27</v>
      </c>
      <c r="G885">
        <v>-3</v>
      </c>
      <c r="H885" s="3">
        <v>-6.3637861287644046</v>
      </c>
      <c r="I885" s="3">
        <f>ProductLine[[#This Row],[Units]]*ProductLine[[#This Row],[Dollars]]</f>
        <v>19.091358386293216</v>
      </c>
    </row>
    <row r="886" spans="1:9" x14ac:dyDescent="0.35">
      <c r="A886">
        <v>885</v>
      </c>
      <c r="B886" t="s">
        <v>17</v>
      </c>
      <c r="C886" s="2">
        <v>38936</v>
      </c>
      <c r="D886">
        <f>YEAR(ProductLine[[#This Row],[Date]])</f>
        <v>2006</v>
      </c>
      <c r="E886">
        <f>MONTH(ProductLine[[#This Row],[Date]])</f>
        <v>8</v>
      </c>
      <c r="F886" t="s">
        <v>24</v>
      </c>
      <c r="G886">
        <v>-9</v>
      </c>
      <c r="H886" s="3">
        <v>-24.858670230760346</v>
      </c>
      <c r="I886" s="3">
        <f>ProductLine[[#This Row],[Units]]*ProductLine[[#This Row],[Dollars]]</f>
        <v>223.72803207684311</v>
      </c>
    </row>
    <row r="887" spans="1:9" x14ac:dyDescent="0.35">
      <c r="A887">
        <v>886</v>
      </c>
      <c r="B887" t="s">
        <v>12</v>
      </c>
      <c r="C887" s="2">
        <v>38100</v>
      </c>
      <c r="D887">
        <f>YEAR(ProductLine[[#This Row],[Date]])</f>
        <v>2004</v>
      </c>
      <c r="E887">
        <f>MONTH(ProductLine[[#This Row],[Date]])</f>
        <v>4</v>
      </c>
      <c r="F887" t="s">
        <v>26</v>
      </c>
      <c r="G887">
        <v>86</v>
      </c>
      <c r="H887" s="3">
        <v>260.29381913398618</v>
      </c>
      <c r="I887" s="3">
        <f>ProductLine[[#This Row],[Units]]*ProductLine[[#This Row],[Dollars]]</f>
        <v>22385.268445522812</v>
      </c>
    </row>
    <row r="888" spans="1:9" x14ac:dyDescent="0.35">
      <c r="A888">
        <v>887</v>
      </c>
      <c r="B888" t="s">
        <v>16</v>
      </c>
      <c r="C888" s="2">
        <v>38419</v>
      </c>
      <c r="D888">
        <f>YEAR(ProductLine[[#This Row],[Date]])</f>
        <v>2005</v>
      </c>
      <c r="E888">
        <f>MONTH(ProductLine[[#This Row],[Date]])</f>
        <v>3</v>
      </c>
      <c r="F888" t="s">
        <v>24</v>
      </c>
      <c r="G888">
        <v>11</v>
      </c>
      <c r="H888" s="3">
        <v>35.041684359746164</v>
      </c>
      <c r="I888" s="3">
        <f>ProductLine[[#This Row],[Units]]*ProductLine[[#This Row],[Dollars]]</f>
        <v>385.45852795720782</v>
      </c>
    </row>
    <row r="889" spans="1:9" x14ac:dyDescent="0.35">
      <c r="A889">
        <v>888</v>
      </c>
      <c r="B889" t="s">
        <v>13</v>
      </c>
      <c r="C889" s="2">
        <v>38001</v>
      </c>
      <c r="D889">
        <f>YEAR(ProductLine[[#This Row],[Date]])</f>
        <v>2004</v>
      </c>
      <c r="E889">
        <f>MONTH(ProductLine[[#This Row],[Date]])</f>
        <v>1</v>
      </c>
      <c r="F889" t="s">
        <v>27</v>
      </c>
      <c r="G889">
        <v>87</v>
      </c>
      <c r="H889" s="3">
        <v>262.7592489136066</v>
      </c>
      <c r="I889" s="3">
        <f>ProductLine[[#This Row],[Units]]*ProductLine[[#This Row],[Dollars]]</f>
        <v>22860.054655483775</v>
      </c>
    </row>
    <row r="890" spans="1:9" x14ac:dyDescent="0.35">
      <c r="A890">
        <v>889</v>
      </c>
      <c r="B890" t="s">
        <v>13</v>
      </c>
      <c r="C890" s="2">
        <v>38199</v>
      </c>
      <c r="D890">
        <f>YEAR(ProductLine[[#This Row],[Date]])</f>
        <v>2004</v>
      </c>
      <c r="E890">
        <f>MONTH(ProductLine[[#This Row],[Date]])</f>
        <v>7</v>
      </c>
      <c r="F890" t="s">
        <v>26</v>
      </c>
      <c r="G890">
        <v>86</v>
      </c>
      <c r="H890" s="3">
        <v>260.00914889996403</v>
      </c>
      <c r="I890" s="3">
        <f>ProductLine[[#This Row],[Units]]*ProductLine[[#This Row],[Dollars]]</f>
        <v>22360.786805396907</v>
      </c>
    </row>
    <row r="891" spans="1:9" x14ac:dyDescent="0.35">
      <c r="A891">
        <v>890</v>
      </c>
      <c r="B891" t="s">
        <v>9</v>
      </c>
      <c r="C891" s="2">
        <v>38749</v>
      </c>
      <c r="D891">
        <f>YEAR(ProductLine[[#This Row],[Date]])</f>
        <v>2006</v>
      </c>
      <c r="E891">
        <f>MONTH(ProductLine[[#This Row],[Date]])</f>
        <v>2</v>
      </c>
      <c r="F891" t="s">
        <v>23</v>
      </c>
      <c r="G891">
        <v>62</v>
      </c>
      <c r="H891" s="3">
        <v>187.81034616092504</v>
      </c>
      <c r="I891" s="3">
        <f>ProductLine[[#This Row],[Units]]*ProductLine[[#This Row],[Dollars]]</f>
        <v>11644.241461977352</v>
      </c>
    </row>
    <row r="892" spans="1:9" x14ac:dyDescent="0.35">
      <c r="A892">
        <v>891</v>
      </c>
      <c r="B892" t="s">
        <v>15</v>
      </c>
      <c r="C892" s="2">
        <v>38914</v>
      </c>
      <c r="D892">
        <f>YEAR(ProductLine[[#This Row],[Date]])</f>
        <v>2006</v>
      </c>
      <c r="E892">
        <f>MONTH(ProductLine[[#This Row],[Date]])</f>
        <v>7</v>
      </c>
      <c r="F892" t="s">
        <v>27</v>
      </c>
      <c r="G892">
        <v>80</v>
      </c>
      <c r="H892" s="3">
        <v>241.85917425037732</v>
      </c>
      <c r="I892" s="3">
        <f>ProductLine[[#This Row],[Units]]*ProductLine[[#This Row],[Dollars]]</f>
        <v>19348.733940030186</v>
      </c>
    </row>
    <row r="893" spans="1:9" x14ac:dyDescent="0.35">
      <c r="A893">
        <v>892</v>
      </c>
      <c r="B893" t="s">
        <v>13</v>
      </c>
      <c r="C893" s="2">
        <v>38188</v>
      </c>
      <c r="D893">
        <f>YEAR(ProductLine[[#This Row],[Date]])</f>
        <v>2004</v>
      </c>
      <c r="E893">
        <f>MONTH(ProductLine[[#This Row],[Date]])</f>
        <v>7</v>
      </c>
      <c r="F893" t="s">
        <v>25</v>
      </c>
      <c r="G893">
        <v>11</v>
      </c>
      <c r="H893" s="3">
        <v>34.782314831792192</v>
      </c>
      <c r="I893" s="3">
        <f>ProductLine[[#This Row],[Units]]*ProductLine[[#This Row],[Dollars]]</f>
        <v>382.60546314971413</v>
      </c>
    </row>
    <row r="894" spans="1:9" x14ac:dyDescent="0.35">
      <c r="A894">
        <v>893</v>
      </c>
      <c r="B894" t="s">
        <v>13</v>
      </c>
      <c r="C894" s="2">
        <v>38694</v>
      </c>
      <c r="D894">
        <f>YEAR(ProductLine[[#This Row],[Date]])</f>
        <v>2005</v>
      </c>
      <c r="E894">
        <f>MONTH(ProductLine[[#This Row],[Date]])</f>
        <v>12</v>
      </c>
      <c r="F894" t="s">
        <v>25</v>
      </c>
      <c r="G894">
        <v>11</v>
      </c>
      <c r="H894" s="3">
        <v>34.680822827797087</v>
      </c>
      <c r="I894" s="3">
        <f>ProductLine[[#This Row],[Units]]*ProductLine[[#This Row],[Dollars]]</f>
        <v>381.48905110576794</v>
      </c>
    </row>
    <row r="895" spans="1:9" x14ac:dyDescent="0.35">
      <c r="A895">
        <v>894</v>
      </c>
      <c r="B895" t="s">
        <v>17</v>
      </c>
      <c r="C895" s="2">
        <v>38661</v>
      </c>
      <c r="D895">
        <f>YEAR(ProductLine[[#This Row],[Date]])</f>
        <v>2005</v>
      </c>
      <c r="E895">
        <f>MONTH(ProductLine[[#This Row],[Date]])</f>
        <v>11</v>
      </c>
      <c r="F895" t="s">
        <v>26</v>
      </c>
      <c r="G895">
        <v>-4</v>
      </c>
      <c r="H895" s="3">
        <v>-9.7904020756587578</v>
      </c>
      <c r="I895" s="3">
        <f>ProductLine[[#This Row],[Units]]*ProductLine[[#This Row],[Dollars]]</f>
        <v>39.161608302635031</v>
      </c>
    </row>
    <row r="896" spans="1:9" x14ac:dyDescent="0.35">
      <c r="A896">
        <v>895</v>
      </c>
      <c r="B896" t="s">
        <v>14</v>
      </c>
      <c r="C896" s="2">
        <v>38331</v>
      </c>
      <c r="D896">
        <f>YEAR(ProductLine[[#This Row],[Date]])</f>
        <v>2004</v>
      </c>
      <c r="E896">
        <f>MONTH(ProductLine[[#This Row],[Date]])</f>
        <v>12</v>
      </c>
      <c r="F896" t="s">
        <v>25</v>
      </c>
      <c r="G896">
        <v>42</v>
      </c>
      <c r="H896" s="3">
        <v>128.02610607664568</v>
      </c>
      <c r="I896" s="3">
        <f>ProductLine[[#This Row],[Units]]*ProductLine[[#This Row],[Dollars]]</f>
        <v>5377.0964552191181</v>
      </c>
    </row>
    <row r="897" spans="1:9" x14ac:dyDescent="0.35">
      <c r="A897">
        <v>896</v>
      </c>
      <c r="B897" t="s">
        <v>14</v>
      </c>
      <c r="C897" s="2">
        <v>38166</v>
      </c>
      <c r="D897">
        <f>YEAR(ProductLine[[#This Row],[Date]])</f>
        <v>2004</v>
      </c>
      <c r="E897">
        <f>MONTH(ProductLine[[#This Row],[Date]])</f>
        <v>6</v>
      </c>
      <c r="F897" t="s">
        <v>23</v>
      </c>
      <c r="G897">
        <v>51</v>
      </c>
      <c r="H897" s="3">
        <v>154.71800722699501</v>
      </c>
      <c r="I897" s="3">
        <f>ProductLine[[#This Row],[Units]]*ProductLine[[#This Row],[Dollars]]</f>
        <v>7890.6183685767455</v>
      </c>
    </row>
    <row r="898" spans="1:9" x14ac:dyDescent="0.35">
      <c r="A898">
        <v>897</v>
      </c>
      <c r="B898" t="s">
        <v>13</v>
      </c>
      <c r="C898" s="2">
        <v>38188</v>
      </c>
      <c r="D898">
        <f>YEAR(ProductLine[[#This Row],[Date]])</f>
        <v>2004</v>
      </c>
      <c r="E898">
        <f>MONTH(ProductLine[[#This Row],[Date]])</f>
        <v>7</v>
      </c>
      <c r="F898" t="s">
        <v>24</v>
      </c>
      <c r="G898">
        <v>91</v>
      </c>
      <c r="H898" s="3">
        <v>274.77216405152751</v>
      </c>
      <c r="I898" s="3">
        <f>ProductLine[[#This Row],[Units]]*ProductLine[[#This Row],[Dollars]]</f>
        <v>25004.266928689005</v>
      </c>
    </row>
    <row r="899" spans="1:9" x14ac:dyDescent="0.35">
      <c r="A899">
        <v>898</v>
      </c>
      <c r="B899" t="s">
        <v>15</v>
      </c>
      <c r="C899" s="2">
        <v>38947</v>
      </c>
      <c r="D899">
        <f>YEAR(ProductLine[[#This Row],[Date]])</f>
        <v>2006</v>
      </c>
      <c r="E899">
        <f>MONTH(ProductLine[[#This Row],[Date]])</f>
        <v>8</v>
      </c>
      <c r="F899" t="s">
        <v>23</v>
      </c>
      <c r="G899">
        <v>24</v>
      </c>
      <c r="H899" s="3">
        <v>73.406307306618515</v>
      </c>
      <c r="I899" s="3">
        <f>ProductLine[[#This Row],[Units]]*ProductLine[[#This Row],[Dollars]]</f>
        <v>1761.7513753588444</v>
      </c>
    </row>
    <row r="900" spans="1:9" x14ac:dyDescent="0.35">
      <c r="A900">
        <v>899</v>
      </c>
      <c r="B900" t="s">
        <v>15</v>
      </c>
      <c r="C900" s="2">
        <v>38012</v>
      </c>
      <c r="D900">
        <f>YEAR(ProductLine[[#This Row],[Date]])</f>
        <v>2004</v>
      </c>
      <c r="E900">
        <f>MONTH(ProductLine[[#This Row],[Date]])</f>
        <v>1</v>
      </c>
      <c r="F900" t="s">
        <v>26</v>
      </c>
      <c r="G900">
        <v>19</v>
      </c>
      <c r="H900" s="3">
        <v>59.122730804832166</v>
      </c>
      <c r="I900" s="3">
        <f>ProductLine[[#This Row],[Units]]*ProductLine[[#This Row],[Dollars]]</f>
        <v>1123.3318852918112</v>
      </c>
    </row>
    <row r="901" spans="1:9" x14ac:dyDescent="0.35">
      <c r="A901">
        <v>900</v>
      </c>
      <c r="B901" t="s">
        <v>13</v>
      </c>
      <c r="C901" s="2">
        <v>38067</v>
      </c>
      <c r="D901">
        <f>YEAR(ProductLine[[#This Row],[Date]])</f>
        <v>2004</v>
      </c>
      <c r="E901">
        <f>MONTH(ProductLine[[#This Row],[Date]])</f>
        <v>3</v>
      </c>
      <c r="F901" t="s">
        <v>23</v>
      </c>
      <c r="G901">
        <v>80</v>
      </c>
      <c r="H901" s="3">
        <v>241.74723336571216</v>
      </c>
      <c r="I901" s="3">
        <f>ProductLine[[#This Row],[Units]]*ProductLine[[#This Row],[Dollars]]</f>
        <v>19339.778669256972</v>
      </c>
    </row>
    <row r="902" spans="1:9" x14ac:dyDescent="0.35">
      <c r="A902">
        <v>901</v>
      </c>
      <c r="B902" t="s">
        <v>9</v>
      </c>
      <c r="C902" s="2">
        <v>39057</v>
      </c>
      <c r="D902">
        <f>YEAR(ProductLine[[#This Row],[Date]])</f>
        <v>2006</v>
      </c>
      <c r="E902">
        <f>MONTH(ProductLine[[#This Row],[Date]])</f>
        <v>12</v>
      </c>
      <c r="F902" t="s">
        <v>24</v>
      </c>
      <c r="G902">
        <v>0</v>
      </c>
      <c r="H902" s="3">
        <v>1.6796900586638657</v>
      </c>
      <c r="I902" s="3">
        <f>ProductLine[[#This Row],[Units]]*ProductLine[[#This Row],[Dollars]]</f>
        <v>0</v>
      </c>
    </row>
    <row r="903" spans="1:9" x14ac:dyDescent="0.35">
      <c r="A903">
        <v>902</v>
      </c>
      <c r="B903" t="s">
        <v>16</v>
      </c>
      <c r="C903" s="2">
        <v>38991</v>
      </c>
      <c r="D903">
        <f>YEAR(ProductLine[[#This Row],[Date]])</f>
        <v>2006</v>
      </c>
      <c r="E903">
        <f>MONTH(ProductLine[[#This Row],[Date]])</f>
        <v>10</v>
      </c>
      <c r="F903" t="s">
        <v>24</v>
      </c>
      <c r="G903">
        <v>69</v>
      </c>
      <c r="H903" s="3">
        <v>209.14203916980014</v>
      </c>
      <c r="I903" s="3">
        <f>ProductLine[[#This Row],[Units]]*ProductLine[[#This Row],[Dollars]]</f>
        <v>14430.800702716209</v>
      </c>
    </row>
    <row r="904" spans="1:9" x14ac:dyDescent="0.35">
      <c r="A904">
        <v>903</v>
      </c>
      <c r="B904" t="s">
        <v>15</v>
      </c>
      <c r="C904" s="2">
        <v>38914</v>
      </c>
      <c r="D904">
        <f>YEAR(ProductLine[[#This Row],[Date]])</f>
        <v>2006</v>
      </c>
      <c r="E904">
        <f>MONTH(ProductLine[[#This Row],[Date]])</f>
        <v>7</v>
      </c>
      <c r="F904" t="s">
        <v>27</v>
      </c>
      <c r="G904">
        <v>84</v>
      </c>
      <c r="H904" s="3">
        <v>253.78421313059829</v>
      </c>
      <c r="I904" s="3">
        <f>ProductLine[[#This Row],[Units]]*ProductLine[[#This Row],[Dollars]]</f>
        <v>21317.873902970256</v>
      </c>
    </row>
    <row r="905" spans="1:9" x14ac:dyDescent="0.35">
      <c r="A905">
        <v>904</v>
      </c>
      <c r="B905" t="s">
        <v>10</v>
      </c>
      <c r="C905" s="2">
        <v>38584</v>
      </c>
      <c r="D905">
        <f>YEAR(ProductLine[[#This Row],[Date]])</f>
        <v>2005</v>
      </c>
      <c r="E905">
        <f>MONTH(ProductLine[[#This Row],[Date]])</f>
        <v>8</v>
      </c>
      <c r="F905" t="s">
        <v>25</v>
      </c>
      <c r="G905">
        <v>31</v>
      </c>
      <c r="H905" s="3">
        <v>94.752143463742286</v>
      </c>
      <c r="I905" s="3">
        <f>ProductLine[[#This Row],[Units]]*ProductLine[[#This Row],[Dollars]]</f>
        <v>2937.3164473760107</v>
      </c>
    </row>
    <row r="906" spans="1:9" x14ac:dyDescent="0.35">
      <c r="A906">
        <v>905</v>
      </c>
      <c r="B906" t="s">
        <v>12</v>
      </c>
      <c r="C906" s="2">
        <v>38595</v>
      </c>
      <c r="D906">
        <f>YEAR(ProductLine[[#This Row],[Date]])</f>
        <v>2005</v>
      </c>
      <c r="E906">
        <f>MONTH(ProductLine[[#This Row],[Date]])</f>
        <v>8</v>
      </c>
      <c r="F906" t="s">
        <v>26</v>
      </c>
      <c r="G906">
        <v>11</v>
      </c>
      <c r="H906" s="3">
        <v>35.274537093655269</v>
      </c>
      <c r="I906" s="3">
        <f>ProductLine[[#This Row],[Units]]*ProductLine[[#This Row],[Dollars]]</f>
        <v>388.01990803020794</v>
      </c>
    </row>
    <row r="907" spans="1:9" x14ac:dyDescent="0.35">
      <c r="A907">
        <v>906</v>
      </c>
      <c r="B907" t="s">
        <v>11</v>
      </c>
      <c r="C907" s="2">
        <v>38441</v>
      </c>
      <c r="D907">
        <f>YEAR(ProductLine[[#This Row],[Date]])</f>
        <v>2005</v>
      </c>
      <c r="E907">
        <f>MONTH(ProductLine[[#This Row],[Date]])</f>
        <v>3</v>
      </c>
      <c r="F907" t="s">
        <v>23</v>
      </c>
      <c r="G907">
        <v>79</v>
      </c>
      <c r="H907" s="3">
        <v>239.3445563093955</v>
      </c>
      <c r="I907" s="3">
        <f>ProductLine[[#This Row],[Units]]*ProductLine[[#This Row],[Dollars]]</f>
        <v>18908.219948442245</v>
      </c>
    </row>
    <row r="908" spans="1:9" x14ac:dyDescent="0.35">
      <c r="A908">
        <v>907</v>
      </c>
      <c r="B908" t="s">
        <v>16</v>
      </c>
      <c r="C908" s="2">
        <v>38892</v>
      </c>
      <c r="D908">
        <f>YEAR(ProductLine[[#This Row],[Date]])</f>
        <v>2006</v>
      </c>
      <c r="E908">
        <f>MONTH(ProductLine[[#This Row],[Date]])</f>
        <v>6</v>
      </c>
      <c r="F908" t="s">
        <v>26</v>
      </c>
      <c r="G908">
        <v>22</v>
      </c>
      <c r="H908" s="3">
        <v>68.549031242200385</v>
      </c>
      <c r="I908" s="3">
        <f>ProductLine[[#This Row],[Units]]*ProductLine[[#This Row],[Dollars]]</f>
        <v>1508.0786873284085</v>
      </c>
    </row>
    <row r="909" spans="1:9" x14ac:dyDescent="0.35">
      <c r="A909">
        <v>908</v>
      </c>
      <c r="B909" t="s">
        <v>9</v>
      </c>
      <c r="C909" s="2">
        <v>38386</v>
      </c>
      <c r="D909">
        <f>YEAR(ProductLine[[#This Row],[Date]])</f>
        <v>2005</v>
      </c>
      <c r="E909">
        <f>MONTH(ProductLine[[#This Row],[Date]])</f>
        <v>2</v>
      </c>
      <c r="F909" t="s">
        <v>24</v>
      </c>
      <c r="G909">
        <v>76</v>
      </c>
      <c r="H909" s="3">
        <v>231.1298624050425</v>
      </c>
      <c r="I909" s="3">
        <f>ProductLine[[#This Row],[Units]]*ProductLine[[#This Row],[Dollars]]</f>
        <v>17565.869542783232</v>
      </c>
    </row>
    <row r="910" spans="1:9" x14ac:dyDescent="0.35">
      <c r="A910">
        <v>909</v>
      </c>
      <c r="B910" t="s">
        <v>11</v>
      </c>
      <c r="C910" s="2">
        <v>38265</v>
      </c>
      <c r="D910">
        <f>YEAR(ProductLine[[#This Row],[Date]])</f>
        <v>2004</v>
      </c>
      <c r="E910">
        <f>MONTH(ProductLine[[#This Row],[Date]])</f>
        <v>10</v>
      </c>
      <c r="F910" t="s">
        <v>26</v>
      </c>
      <c r="G910">
        <v>0</v>
      </c>
      <c r="H910" s="3">
        <v>2.7444174420335523</v>
      </c>
      <c r="I910" s="3">
        <f>ProductLine[[#This Row],[Units]]*ProductLine[[#This Row],[Dollars]]</f>
        <v>0</v>
      </c>
    </row>
    <row r="911" spans="1:9" x14ac:dyDescent="0.35">
      <c r="A911">
        <v>910</v>
      </c>
      <c r="B911" t="s">
        <v>15</v>
      </c>
      <c r="C911" s="2">
        <v>38430</v>
      </c>
      <c r="D911">
        <f>YEAR(ProductLine[[#This Row],[Date]])</f>
        <v>2005</v>
      </c>
      <c r="E911">
        <f>MONTH(ProductLine[[#This Row],[Date]])</f>
        <v>3</v>
      </c>
      <c r="F911" t="s">
        <v>23</v>
      </c>
      <c r="G911">
        <v>94</v>
      </c>
      <c r="H911" s="3">
        <v>283.56226306241973</v>
      </c>
      <c r="I911" s="3">
        <f>ProductLine[[#This Row],[Units]]*ProductLine[[#This Row],[Dollars]]</f>
        <v>26654.852727867456</v>
      </c>
    </row>
    <row r="912" spans="1:9" x14ac:dyDescent="0.35">
      <c r="A912">
        <v>911</v>
      </c>
      <c r="B912" t="s">
        <v>12</v>
      </c>
      <c r="C912" s="2">
        <v>38298</v>
      </c>
      <c r="D912">
        <f>YEAR(ProductLine[[#This Row],[Date]])</f>
        <v>2004</v>
      </c>
      <c r="E912">
        <f>MONTH(ProductLine[[#This Row],[Date]])</f>
        <v>11</v>
      </c>
      <c r="F912" t="s">
        <v>24</v>
      </c>
      <c r="G912">
        <v>14</v>
      </c>
      <c r="H912" s="3">
        <v>44.2457022640235</v>
      </c>
      <c r="I912" s="3">
        <f>ProductLine[[#This Row],[Units]]*ProductLine[[#This Row],[Dollars]]</f>
        <v>619.43983169632895</v>
      </c>
    </row>
    <row r="913" spans="1:9" x14ac:dyDescent="0.35">
      <c r="A913">
        <v>912</v>
      </c>
      <c r="B913" t="s">
        <v>15</v>
      </c>
      <c r="C913" s="2">
        <v>38903</v>
      </c>
      <c r="D913">
        <f>YEAR(ProductLine[[#This Row],[Date]])</f>
        <v>2006</v>
      </c>
      <c r="E913">
        <f>MONTH(ProductLine[[#This Row],[Date]])</f>
        <v>7</v>
      </c>
      <c r="F913" t="s">
        <v>27</v>
      </c>
      <c r="G913">
        <v>57</v>
      </c>
      <c r="H913" s="3">
        <v>172.69724242963656</v>
      </c>
      <c r="I913" s="3">
        <f>ProductLine[[#This Row],[Units]]*ProductLine[[#This Row],[Dollars]]</f>
        <v>9843.7428184892833</v>
      </c>
    </row>
    <row r="914" spans="1:9" x14ac:dyDescent="0.35">
      <c r="A914">
        <v>913</v>
      </c>
      <c r="B914" t="s">
        <v>16</v>
      </c>
      <c r="C914" s="2">
        <v>38463</v>
      </c>
      <c r="D914">
        <f>YEAR(ProductLine[[#This Row],[Date]])</f>
        <v>2005</v>
      </c>
      <c r="E914">
        <f>MONTH(ProductLine[[#This Row],[Date]])</f>
        <v>4</v>
      </c>
      <c r="F914" t="s">
        <v>23</v>
      </c>
      <c r="G914">
        <v>3</v>
      </c>
      <c r="H914" s="3">
        <v>11.082849552887902</v>
      </c>
      <c r="I914" s="3">
        <f>ProductLine[[#This Row],[Units]]*ProductLine[[#This Row],[Dollars]]</f>
        <v>33.248548658663708</v>
      </c>
    </row>
    <row r="915" spans="1:9" x14ac:dyDescent="0.35">
      <c r="A915">
        <v>914</v>
      </c>
      <c r="B915" t="s">
        <v>17</v>
      </c>
      <c r="C915" s="2">
        <v>38903</v>
      </c>
      <c r="D915">
        <f>YEAR(ProductLine[[#This Row],[Date]])</f>
        <v>2006</v>
      </c>
      <c r="E915">
        <f>MONTH(ProductLine[[#This Row],[Date]])</f>
        <v>7</v>
      </c>
      <c r="F915" t="s">
        <v>23</v>
      </c>
      <c r="G915">
        <v>50</v>
      </c>
      <c r="H915" s="3">
        <v>151.95954978745411</v>
      </c>
      <c r="I915" s="3">
        <f>ProductLine[[#This Row],[Units]]*ProductLine[[#This Row],[Dollars]]</f>
        <v>7597.9774893727053</v>
      </c>
    </row>
    <row r="916" spans="1:9" x14ac:dyDescent="0.35">
      <c r="A916">
        <v>915</v>
      </c>
      <c r="B916" t="s">
        <v>11</v>
      </c>
      <c r="C916" s="2">
        <v>38881</v>
      </c>
      <c r="D916">
        <f>YEAR(ProductLine[[#This Row],[Date]])</f>
        <v>2006</v>
      </c>
      <c r="E916">
        <f>MONTH(ProductLine[[#This Row],[Date]])</f>
        <v>6</v>
      </c>
      <c r="F916" t="s">
        <v>26</v>
      </c>
      <c r="G916">
        <v>25</v>
      </c>
      <c r="H916" s="3">
        <v>76.624560231864265</v>
      </c>
      <c r="I916" s="3">
        <f>ProductLine[[#This Row],[Units]]*ProductLine[[#This Row],[Dollars]]</f>
        <v>1915.6140057966065</v>
      </c>
    </row>
    <row r="917" spans="1:9" x14ac:dyDescent="0.35">
      <c r="A917">
        <v>916</v>
      </c>
      <c r="B917" t="s">
        <v>14</v>
      </c>
      <c r="C917" s="2">
        <v>38595</v>
      </c>
      <c r="D917">
        <f>YEAR(ProductLine[[#This Row],[Date]])</f>
        <v>2005</v>
      </c>
      <c r="E917">
        <f>MONTH(ProductLine[[#This Row],[Date]])</f>
        <v>8</v>
      </c>
      <c r="F917" t="s">
        <v>24</v>
      </c>
      <c r="G917">
        <v>46</v>
      </c>
      <c r="H917" s="3">
        <v>140.2736912488281</v>
      </c>
      <c r="I917" s="3">
        <f>ProductLine[[#This Row],[Units]]*ProductLine[[#This Row],[Dollars]]</f>
        <v>6452.5897974460922</v>
      </c>
    </row>
    <row r="918" spans="1:9" x14ac:dyDescent="0.35">
      <c r="A918">
        <v>917</v>
      </c>
      <c r="B918" t="s">
        <v>12</v>
      </c>
      <c r="C918" s="2">
        <v>38914</v>
      </c>
      <c r="D918">
        <f>YEAR(ProductLine[[#This Row],[Date]])</f>
        <v>2006</v>
      </c>
      <c r="E918">
        <f>MONTH(ProductLine[[#This Row],[Date]])</f>
        <v>7</v>
      </c>
      <c r="F918" t="s">
        <v>23</v>
      </c>
      <c r="G918">
        <v>19</v>
      </c>
      <c r="H918" s="3">
        <v>58.735580557472737</v>
      </c>
      <c r="I918" s="3">
        <f>ProductLine[[#This Row],[Units]]*ProductLine[[#This Row],[Dollars]]</f>
        <v>1115.976030591982</v>
      </c>
    </row>
    <row r="919" spans="1:9" x14ac:dyDescent="0.35">
      <c r="A919">
        <v>918</v>
      </c>
      <c r="B919" t="s">
        <v>15</v>
      </c>
      <c r="C919" s="2">
        <v>38859</v>
      </c>
      <c r="D919">
        <f>YEAR(ProductLine[[#This Row],[Date]])</f>
        <v>2006</v>
      </c>
      <c r="E919">
        <f>MONTH(ProductLine[[#This Row],[Date]])</f>
        <v>5</v>
      </c>
      <c r="F919" t="s">
        <v>26</v>
      </c>
      <c r="G919">
        <v>6</v>
      </c>
      <c r="H919" s="3">
        <v>20.099629096975125</v>
      </c>
      <c r="I919" s="3">
        <f>ProductLine[[#This Row],[Units]]*ProductLine[[#This Row],[Dollars]]</f>
        <v>120.59777458185076</v>
      </c>
    </row>
    <row r="920" spans="1:9" x14ac:dyDescent="0.35">
      <c r="A920">
        <v>919</v>
      </c>
      <c r="B920" t="s">
        <v>16</v>
      </c>
      <c r="C920" s="2">
        <v>38903</v>
      </c>
      <c r="D920">
        <f>YEAR(ProductLine[[#This Row],[Date]])</f>
        <v>2006</v>
      </c>
      <c r="E920">
        <f>MONTH(ProductLine[[#This Row],[Date]])</f>
        <v>7</v>
      </c>
      <c r="F920" t="s">
        <v>25</v>
      </c>
      <c r="G920">
        <v>8</v>
      </c>
      <c r="H920" s="3">
        <v>26.084862644671222</v>
      </c>
      <c r="I920" s="3">
        <f>ProductLine[[#This Row],[Units]]*ProductLine[[#This Row],[Dollars]]</f>
        <v>208.67890115736978</v>
      </c>
    </row>
    <row r="921" spans="1:9" x14ac:dyDescent="0.35">
      <c r="A921">
        <v>920</v>
      </c>
      <c r="B921" t="s">
        <v>15</v>
      </c>
      <c r="C921" s="2">
        <v>38727</v>
      </c>
      <c r="D921">
        <f>YEAR(ProductLine[[#This Row],[Date]])</f>
        <v>2006</v>
      </c>
      <c r="E921">
        <f>MONTH(ProductLine[[#This Row],[Date]])</f>
        <v>1</v>
      </c>
      <c r="F921" t="s">
        <v>27</v>
      </c>
      <c r="G921">
        <v>-2</v>
      </c>
      <c r="H921" s="3">
        <v>-3.7309676865630421</v>
      </c>
      <c r="I921" s="3">
        <f>ProductLine[[#This Row],[Units]]*ProductLine[[#This Row],[Dollars]]</f>
        <v>7.4619353731260842</v>
      </c>
    </row>
    <row r="922" spans="1:9" x14ac:dyDescent="0.35">
      <c r="A922">
        <v>921</v>
      </c>
      <c r="B922" t="s">
        <v>12</v>
      </c>
      <c r="C922" s="2">
        <v>38452</v>
      </c>
      <c r="D922">
        <f>YEAR(ProductLine[[#This Row],[Date]])</f>
        <v>2005</v>
      </c>
      <c r="E922">
        <f>MONTH(ProductLine[[#This Row],[Date]])</f>
        <v>4</v>
      </c>
      <c r="F922" t="s">
        <v>23</v>
      </c>
      <c r="G922">
        <v>80</v>
      </c>
      <c r="H922" s="3">
        <v>240.69010526776344</v>
      </c>
      <c r="I922" s="3">
        <f>ProductLine[[#This Row],[Units]]*ProductLine[[#This Row],[Dollars]]</f>
        <v>19255.208421421077</v>
      </c>
    </row>
    <row r="923" spans="1:9" x14ac:dyDescent="0.35">
      <c r="A923">
        <v>922</v>
      </c>
      <c r="B923" t="s">
        <v>16</v>
      </c>
      <c r="C923" s="2">
        <v>38474</v>
      </c>
      <c r="D923">
        <f>YEAR(ProductLine[[#This Row],[Date]])</f>
        <v>2005</v>
      </c>
      <c r="E923">
        <f>MONTH(ProductLine[[#This Row],[Date]])</f>
        <v>5</v>
      </c>
      <c r="F923" t="s">
        <v>24</v>
      </c>
      <c r="G923">
        <v>19</v>
      </c>
      <c r="H923" s="3">
        <v>58.904121420487954</v>
      </c>
      <c r="I923" s="3">
        <f>ProductLine[[#This Row],[Units]]*ProductLine[[#This Row],[Dollars]]</f>
        <v>1119.1783069892711</v>
      </c>
    </row>
    <row r="924" spans="1:9" x14ac:dyDescent="0.35">
      <c r="A924">
        <v>923</v>
      </c>
      <c r="B924" t="s">
        <v>9</v>
      </c>
      <c r="C924" s="2">
        <v>38452</v>
      </c>
      <c r="D924">
        <f>YEAR(ProductLine[[#This Row],[Date]])</f>
        <v>2005</v>
      </c>
      <c r="E924">
        <f>MONTH(ProductLine[[#This Row],[Date]])</f>
        <v>4</v>
      </c>
      <c r="F924" t="s">
        <v>25</v>
      </c>
      <c r="G924">
        <v>27</v>
      </c>
      <c r="H924" s="3">
        <v>82.994094545634482</v>
      </c>
      <c r="I924" s="3">
        <f>ProductLine[[#This Row],[Units]]*ProductLine[[#This Row],[Dollars]]</f>
        <v>2240.8405527321311</v>
      </c>
    </row>
    <row r="925" spans="1:9" x14ac:dyDescent="0.35">
      <c r="A925">
        <v>924</v>
      </c>
      <c r="B925" t="s">
        <v>11</v>
      </c>
      <c r="C925" s="2">
        <v>38023</v>
      </c>
      <c r="D925">
        <f>YEAR(ProductLine[[#This Row],[Date]])</f>
        <v>2004</v>
      </c>
      <c r="E925">
        <f>MONTH(ProductLine[[#This Row],[Date]])</f>
        <v>2</v>
      </c>
      <c r="F925" t="s">
        <v>27</v>
      </c>
      <c r="G925">
        <v>79</v>
      </c>
      <c r="H925" s="3">
        <v>239.44869651132598</v>
      </c>
      <c r="I925" s="3">
        <f>ProductLine[[#This Row],[Units]]*ProductLine[[#This Row],[Dollars]]</f>
        <v>18916.447024394751</v>
      </c>
    </row>
    <row r="926" spans="1:9" x14ac:dyDescent="0.35">
      <c r="A926">
        <v>925</v>
      </c>
      <c r="B926" t="s">
        <v>16</v>
      </c>
      <c r="C926" s="2">
        <v>38727</v>
      </c>
      <c r="D926">
        <f>YEAR(ProductLine[[#This Row],[Date]])</f>
        <v>2006</v>
      </c>
      <c r="E926">
        <f>MONTH(ProductLine[[#This Row],[Date]])</f>
        <v>1</v>
      </c>
      <c r="F926" t="s">
        <v>24</v>
      </c>
      <c r="G926">
        <v>57</v>
      </c>
      <c r="H926" s="3">
        <v>173.32970466821706</v>
      </c>
      <c r="I926" s="3">
        <f>ProductLine[[#This Row],[Units]]*ProductLine[[#This Row],[Dollars]]</f>
        <v>9879.7931660883733</v>
      </c>
    </row>
    <row r="927" spans="1:9" x14ac:dyDescent="0.35">
      <c r="A927">
        <v>926</v>
      </c>
      <c r="B927" t="s">
        <v>17</v>
      </c>
      <c r="C927" s="2">
        <v>38705</v>
      </c>
      <c r="D927">
        <f>YEAR(ProductLine[[#This Row],[Date]])</f>
        <v>2005</v>
      </c>
      <c r="E927">
        <f>MONTH(ProductLine[[#This Row],[Date]])</f>
        <v>12</v>
      </c>
      <c r="F927" t="s">
        <v>23</v>
      </c>
      <c r="G927">
        <v>47</v>
      </c>
      <c r="H927" s="3">
        <v>143.60165141540284</v>
      </c>
      <c r="I927" s="3">
        <f>ProductLine[[#This Row],[Units]]*ProductLine[[#This Row],[Dollars]]</f>
        <v>6749.2776165239338</v>
      </c>
    </row>
    <row r="928" spans="1:9" x14ac:dyDescent="0.35">
      <c r="A928">
        <v>927</v>
      </c>
      <c r="B928" t="s">
        <v>17</v>
      </c>
      <c r="C928" s="2">
        <v>38298</v>
      </c>
      <c r="D928">
        <f>YEAR(ProductLine[[#This Row],[Date]])</f>
        <v>2004</v>
      </c>
      <c r="E928">
        <f>MONTH(ProductLine[[#This Row],[Date]])</f>
        <v>11</v>
      </c>
      <c r="F928" t="s">
        <v>23</v>
      </c>
      <c r="G928">
        <v>9</v>
      </c>
      <c r="H928" s="3">
        <v>28.827091013525987</v>
      </c>
      <c r="I928" s="3">
        <f>ProductLine[[#This Row],[Units]]*ProductLine[[#This Row],[Dollars]]</f>
        <v>259.4438191217339</v>
      </c>
    </row>
    <row r="929" spans="1:9" x14ac:dyDescent="0.35">
      <c r="A929">
        <v>928</v>
      </c>
      <c r="B929" t="s">
        <v>16</v>
      </c>
      <c r="C929" s="2">
        <v>38683</v>
      </c>
      <c r="D929">
        <f>YEAR(ProductLine[[#This Row],[Date]])</f>
        <v>2005</v>
      </c>
      <c r="E929">
        <f>MONTH(ProductLine[[#This Row],[Date]])</f>
        <v>11</v>
      </c>
      <c r="F929" t="s">
        <v>23</v>
      </c>
      <c r="G929">
        <v>65</v>
      </c>
      <c r="H929" s="3">
        <v>196.85925384860963</v>
      </c>
      <c r="I929" s="3">
        <f>ProductLine[[#This Row],[Units]]*ProductLine[[#This Row],[Dollars]]</f>
        <v>12795.851500159626</v>
      </c>
    </row>
    <row r="930" spans="1:9" x14ac:dyDescent="0.35">
      <c r="A930">
        <v>929</v>
      </c>
      <c r="B930" t="s">
        <v>12</v>
      </c>
      <c r="C930" s="2">
        <v>38056</v>
      </c>
      <c r="D930">
        <f>YEAR(ProductLine[[#This Row],[Date]])</f>
        <v>2004</v>
      </c>
      <c r="E930">
        <f>MONTH(ProductLine[[#This Row],[Date]])</f>
        <v>3</v>
      </c>
      <c r="F930" t="s">
        <v>24</v>
      </c>
      <c r="G930">
        <v>58</v>
      </c>
      <c r="H930" s="3">
        <v>175.22266670553387</v>
      </c>
      <c r="I930" s="3">
        <f>ProductLine[[#This Row],[Units]]*ProductLine[[#This Row],[Dollars]]</f>
        <v>10162.914668920965</v>
      </c>
    </row>
    <row r="931" spans="1:9" x14ac:dyDescent="0.35">
      <c r="A931">
        <v>930</v>
      </c>
      <c r="B931" t="s">
        <v>17</v>
      </c>
      <c r="C931" s="2">
        <v>38243</v>
      </c>
      <c r="D931">
        <f>YEAR(ProductLine[[#This Row],[Date]])</f>
        <v>2004</v>
      </c>
      <c r="E931">
        <f>MONTH(ProductLine[[#This Row],[Date]])</f>
        <v>9</v>
      </c>
      <c r="F931" t="s">
        <v>27</v>
      </c>
      <c r="G931">
        <v>48</v>
      </c>
      <c r="H931" s="3">
        <v>145.9379301268051</v>
      </c>
      <c r="I931" s="3">
        <f>ProductLine[[#This Row],[Units]]*ProductLine[[#This Row],[Dollars]]</f>
        <v>7005.0206460866448</v>
      </c>
    </row>
    <row r="932" spans="1:9" x14ac:dyDescent="0.35">
      <c r="A932">
        <v>931</v>
      </c>
      <c r="B932" t="s">
        <v>12</v>
      </c>
      <c r="C932" s="2">
        <v>38639</v>
      </c>
      <c r="D932">
        <f>YEAR(ProductLine[[#This Row],[Date]])</f>
        <v>2005</v>
      </c>
      <c r="E932">
        <f>MONTH(ProductLine[[#This Row],[Date]])</f>
        <v>10</v>
      </c>
      <c r="F932" t="s">
        <v>24</v>
      </c>
      <c r="G932">
        <v>75</v>
      </c>
      <c r="H932" s="3">
        <v>226.61201635446793</v>
      </c>
      <c r="I932" s="3">
        <f>ProductLine[[#This Row],[Units]]*ProductLine[[#This Row],[Dollars]]</f>
        <v>16995.901226585094</v>
      </c>
    </row>
    <row r="933" spans="1:9" x14ac:dyDescent="0.35">
      <c r="A933">
        <v>932</v>
      </c>
      <c r="B933" t="s">
        <v>17</v>
      </c>
      <c r="C933" s="2">
        <v>38738</v>
      </c>
      <c r="D933">
        <f>YEAR(ProductLine[[#This Row],[Date]])</f>
        <v>2006</v>
      </c>
      <c r="E933">
        <f>MONTH(ProductLine[[#This Row],[Date]])</f>
        <v>1</v>
      </c>
      <c r="F933" t="s">
        <v>24</v>
      </c>
      <c r="G933">
        <v>59</v>
      </c>
      <c r="H933" s="3">
        <v>179.37483712712185</v>
      </c>
      <c r="I933" s="3">
        <f>ProductLine[[#This Row],[Units]]*ProductLine[[#This Row],[Dollars]]</f>
        <v>10583.115390500188</v>
      </c>
    </row>
    <row r="934" spans="1:9" x14ac:dyDescent="0.35">
      <c r="A934">
        <v>933</v>
      </c>
      <c r="B934" t="s">
        <v>16</v>
      </c>
      <c r="C934" s="2">
        <v>38375</v>
      </c>
      <c r="D934">
        <f>YEAR(ProductLine[[#This Row],[Date]])</f>
        <v>2005</v>
      </c>
      <c r="E934">
        <f>MONTH(ProductLine[[#This Row],[Date]])</f>
        <v>1</v>
      </c>
      <c r="F934" t="s">
        <v>27</v>
      </c>
      <c r="G934">
        <v>34</v>
      </c>
      <c r="H934" s="3">
        <v>104.445032643001</v>
      </c>
      <c r="I934" s="3">
        <f>ProductLine[[#This Row],[Units]]*ProductLine[[#This Row],[Dollars]]</f>
        <v>3551.131109862034</v>
      </c>
    </row>
    <row r="935" spans="1:9" x14ac:dyDescent="0.35">
      <c r="A935">
        <v>934</v>
      </c>
      <c r="B935" t="s">
        <v>12</v>
      </c>
      <c r="C935" s="2">
        <v>38078</v>
      </c>
      <c r="D935">
        <f>YEAR(ProductLine[[#This Row],[Date]])</f>
        <v>2004</v>
      </c>
      <c r="E935">
        <f>MONTH(ProductLine[[#This Row],[Date]])</f>
        <v>4</v>
      </c>
      <c r="F935" t="s">
        <v>25</v>
      </c>
      <c r="G935">
        <v>57</v>
      </c>
      <c r="H935" s="3">
        <v>173.06756590039018</v>
      </c>
      <c r="I935" s="3">
        <f>ProductLine[[#This Row],[Units]]*ProductLine[[#This Row],[Dollars]]</f>
        <v>9864.8512563222394</v>
      </c>
    </row>
    <row r="936" spans="1:9" x14ac:dyDescent="0.35">
      <c r="A936">
        <v>935</v>
      </c>
      <c r="B936" t="s">
        <v>15</v>
      </c>
      <c r="C936" s="2">
        <v>38804</v>
      </c>
      <c r="D936">
        <f>YEAR(ProductLine[[#This Row],[Date]])</f>
        <v>2006</v>
      </c>
      <c r="E936">
        <f>MONTH(ProductLine[[#This Row],[Date]])</f>
        <v>3</v>
      </c>
      <c r="F936" t="s">
        <v>23</v>
      </c>
      <c r="G936">
        <v>62</v>
      </c>
      <c r="H936" s="3">
        <v>187.88584432496489</v>
      </c>
      <c r="I936" s="3">
        <f>ProductLine[[#This Row],[Units]]*ProductLine[[#This Row],[Dollars]]</f>
        <v>11648.922348147824</v>
      </c>
    </row>
    <row r="937" spans="1:9" x14ac:dyDescent="0.35">
      <c r="A937">
        <v>936</v>
      </c>
      <c r="B937" t="s">
        <v>14</v>
      </c>
      <c r="C937" s="2">
        <v>38903</v>
      </c>
      <c r="D937">
        <f>YEAR(ProductLine[[#This Row],[Date]])</f>
        <v>2006</v>
      </c>
      <c r="E937">
        <f>MONTH(ProductLine[[#This Row],[Date]])</f>
        <v>7</v>
      </c>
      <c r="F937" t="s">
        <v>25</v>
      </c>
      <c r="G937">
        <v>17</v>
      </c>
      <c r="H937" s="3">
        <v>53.048677008733435</v>
      </c>
      <c r="I937" s="3">
        <f>ProductLine[[#This Row],[Units]]*ProductLine[[#This Row],[Dollars]]</f>
        <v>901.82750914846838</v>
      </c>
    </row>
    <row r="938" spans="1:9" x14ac:dyDescent="0.35">
      <c r="A938">
        <v>937</v>
      </c>
      <c r="B938" t="s">
        <v>11</v>
      </c>
      <c r="C938" s="2">
        <v>38562</v>
      </c>
      <c r="D938">
        <f>YEAR(ProductLine[[#This Row],[Date]])</f>
        <v>2005</v>
      </c>
      <c r="E938">
        <f>MONTH(ProductLine[[#This Row],[Date]])</f>
        <v>7</v>
      </c>
      <c r="F938" t="s">
        <v>24</v>
      </c>
      <c r="G938">
        <v>83</v>
      </c>
      <c r="H938" s="3">
        <v>250.82439492521385</v>
      </c>
      <c r="I938" s="3">
        <f>ProductLine[[#This Row],[Units]]*ProductLine[[#This Row],[Dollars]]</f>
        <v>20818.424778792749</v>
      </c>
    </row>
    <row r="939" spans="1:9" x14ac:dyDescent="0.35">
      <c r="A939">
        <v>938</v>
      </c>
      <c r="B939" t="s">
        <v>11</v>
      </c>
      <c r="C939" s="2">
        <v>38188</v>
      </c>
      <c r="D939">
        <f>YEAR(ProductLine[[#This Row],[Date]])</f>
        <v>2004</v>
      </c>
      <c r="E939">
        <f>MONTH(ProductLine[[#This Row],[Date]])</f>
        <v>7</v>
      </c>
      <c r="F939" t="s">
        <v>23</v>
      </c>
      <c r="G939">
        <v>56</v>
      </c>
      <c r="H939" s="3">
        <v>169.84037281505195</v>
      </c>
      <c r="I939" s="3">
        <f>ProductLine[[#This Row],[Units]]*ProductLine[[#This Row],[Dollars]]</f>
        <v>9511.060877642909</v>
      </c>
    </row>
    <row r="940" spans="1:9" x14ac:dyDescent="0.35">
      <c r="A940">
        <v>939</v>
      </c>
      <c r="B940" t="s">
        <v>10</v>
      </c>
      <c r="C940" s="2">
        <v>38045</v>
      </c>
      <c r="D940">
        <f>YEAR(ProductLine[[#This Row],[Date]])</f>
        <v>2004</v>
      </c>
      <c r="E940">
        <f>MONTH(ProductLine[[#This Row],[Date]])</f>
        <v>2</v>
      </c>
      <c r="F940" t="s">
        <v>23</v>
      </c>
      <c r="G940">
        <v>14</v>
      </c>
      <c r="H940" s="3">
        <v>44.194328055358937</v>
      </c>
      <c r="I940" s="3">
        <f>ProductLine[[#This Row],[Units]]*ProductLine[[#This Row],[Dollars]]</f>
        <v>618.72059277502512</v>
      </c>
    </row>
    <row r="941" spans="1:9" x14ac:dyDescent="0.35">
      <c r="A941">
        <v>940</v>
      </c>
      <c r="B941" t="s">
        <v>13</v>
      </c>
      <c r="C941" s="2">
        <v>38353</v>
      </c>
      <c r="D941">
        <f>YEAR(ProductLine[[#This Row],[Date]])</f>
        <v>2005</v>
      </c>
      <c r="E941">
        <f>MONTH(ProductLine[[#This Row],[Date]])</f>
        <v>1</v>
      </c>
      <c r="F941" t="s">
        <v>25</v>
      </c>
      <c r="G941">
        <v>-9</v>
      </c>
      <c r="H941" s="3">
        <v>-24.562782237120555</v>
      </c>
      <c r="I941" s="3">
        <f>ProductLine[[#This Row],[Units]]*ProductLine[[#This Row],[Dollars]]</f>
        <v>221.065040134085</v>
      </c>
    </row>
    <row r="942" spans="1:9" x14ac:dyDescent="0.35">
      <c r="A942">
        <v>941</v>
      </c>
      <c r="B942" t="s">
        <v>9</v>
      </c>
      <c r="C942" s="2">
        <v>38551</v>
      </c>
      <c r="D942">
        <f>YEAR(ProductLine[[#This Row],[Date]])</f>
        <v>2005</v>
      </c>
      <c r="E942">
        <f>MONTH(ProductLine[[#This Row],[Date]])</f>
        <v>7</v>
      </c>
      <c r="F942" t="s">
        <v>24</v>
      </c>
      <c r="G942">
        <v>44</v>
      </c>
      <c r="H942" s="3">
        <v>134.50349016705422</v>
      </c>
      <c r="I942" s="3">
        <f>ProductLine[[#This Row],[Units]]*ProductLine[[#This Row],[Dollars]]</f>
        <v>5918.1535673503859</v>
      </c>
    </row>
    <row r="943" spans="1:9" x14ac:dyDescent="0.35">
      <c r="A943">
        <v>942</v>
      </c>
      <c r="B943" t="s">
        <v>12</v>
      </c>
      <c r="C943" s="2">
        <v>38023</v>
      </c>
      <c r="D943">
        <f>YEAR(ProductLine[[#This Row],[Date]])</f>
        <v>2004</v>
      </c>
      <c r="E943">
        <f>MONTH(ProductLine[[#This Row],[Date]])</f>
        <v>2</v>
      </c>
      <c r="F943" t="s">
        <v>26</v>
      </c>
      <c r="G943">
        <v>32</v>
      </c>
      <c r="H943" s="3">
        <v>97.6497815079464</v>
      </c>
      <c r="I943" s="3">
        <f>ProductLine[[#This Row],[Units]]*ProductLine[[#This Row],[Dollars]]</f>
        <v>3124.7930082542848</v>
      </c>
    </row>
    <row r="944" spans="1:9" x14ac:dyDescent="0.35">
      <c r="A944">
        <v>943</v>
      </c>
      <c r="B944" t="s">
        <v>16</v>
      </c>
      <c r="C944" s="2">
        <v>38364</v>
      </c>
      <c r="D944">
        <f>YEAR(ProductLine[[#This Row],[Date]])</f>
        <v>2005</v>
      </c>
      <c r="E944">
        <f>MONTH(ProductLine[[#This Row],[Date]])</f>
        <v>1</v>
      </c>
      <c r="F944" t="s">
        <v>26</v>
      </c>
      <c r="G944">
        <v>85</v>
      </c>
      <c r="H944" s="3">
        <v>256.97037064610868</v>
      </c>
      <c r="I944" s="3">
        <f>ProductLine[[#This Row],[Units]]*ProductLine[[#This Row],[Dollars]]</f>
        <v>21842.481504919237</v>
      </c>
    </row>
    <row r="945" spans="1:9" x14ac:dyDescent="0.35">
      <c r="A945">
        <v>944</v>
      </c>
      <c r="B945" t="s">
        <v>9</v>
      </c>
      <c r="C945" s="2">
        <v>38254</v>
      </c>
      <c r="D945">
        <f>YEAR(ProductLine[[#This Row],[Date]])</f>
        <v>2004</v>
      </c>
      <c r="E945">
        <f>MONTH(ProductLine[[#This Row],[Date]])</f>
        <v>9</v>
      </c>
      <c r="F945" t="s">
        <v>23</v>
      </c>
      <c r="G945">
        <v>-2</v>
      </c>
      <c r="H945" s="3">
        <v>-3.7233562380367276</v>
      </c>
      <c r="I945" s="3">
        <f>ProductLine[[#This Row],[Units]]*ProductLine[[#This Row],[Dollars]]</f>
        <v>7.4467124760734551</v>
      </c>
    </row>
    <row r="946" spans="1:9" x14ac:dyDescent="0.35">
      <c r="A946">
        <v>945</v>
      </c>
      <c r="B946" t="s">
        <v>15</v>
      </c>
      <c r="C946" s="2">
        <v>38386</v>
      </c>
      <c r="D946">
        <f>YEAR(ProductLine[[#This Row],[Date]])</f>
        <v>2005</v>
      </c>
      <c r="E946">
        <f>MONTH(ProductLine[[#This Row],[Date]])</f>
        <v>2</v>
      </c>
      <c r="F946" t="s">
        <v>25</v>
      </c>
      <c r="G946">
        <v>31</v>
      </c>
      <c r="H946" s="3">
        <v>94.439645321373334</v>
      </c>
      <c r="I946" s="3">
        <f>ProductLine[[#This Row],[Units]]*ProductLine[[#This Row],[Dollars]]</f>
        <v>2927.6290049625732</v>
      </c>
    </row>
    <row r="947" spans="1:9" x14ac:dyDescent="0.35">
      <c r="A947">
        <v>946</v>
      </c>
      <c r="B947" t="s">
        <v>17</v>
      </c>
      <c r="C947" s="2">
        <v>38221</v>
      </c>
      <c r="D947">
        <f>YEAR(ProductLine[[#This Row],[Date]])</f>
        <v>2004</v>
      </c>
      <c r="E947">
        <f>MONTH(ProductLine[[#This Row],[Date]])</f>
        <v>8</v>
      </c>
      <c r="F947" t="s">
        <v>26</v>
      </c>
      <c r="G947">
        <v>-7</v>
      </c>
      <c r="H947" s="3">
        <v>-19.822062355825821</v>
      </c>
      <c r="I947" s="3">
        <f>ProductLine[[#This Row],[Units]]*ProductLine[[#This Row],[Dollars]]</f>
        <v>138.75443649078073</v>
      </c>
    </row>
    <row r="948" spans="1:9" x14ac:dyDescent="0.35">
      <c r="A948">
        <v>947</v>
      </c>
      <c r="B948" t="s">
        <v>13</v>
      </c>
      <c r="C948" s="2">
        <v>38012</v>
      </c>
      <c r="D948">
        <f>YEAR(ProductLine[[#This Row],[Date]])</f>
        <v>2004</v>
      </c>
      <c r="E948">
        <f>MONTH(ProductLine[[#This Row],[Date]])</f>
        <v>1</v>
      </c>
      <c r="F948" t="s">
        <v>25</v>
      </c>
      <c r="G948">
        <v>-1</v>
      </c>
      <c r="H948" s="3">
        <v>-0.28735784707427747</v>
      </c>
      <c r="I948" s="3">
        <f>ProductLine[[#This Row],[Units]]*ProductLine[[#This Row],[Dollars]]</f>
        <v>0.28735784707427747</v>
      </c>
    </row>
    <row r="949" spans="1:9" x14ac:dyDescent="0.35">
      <c r="A949">
        <v>948</v>
      </c>
      <c r="B949" t="s">
        <v>11</v>
      </c>
      <c r="C949" s="2">
        <v>39046</v>
      </c>
      <c r="D949">
        <f>YEAR(ProductLine[[#This Row],[Date]])</f>
        <v>2006</v>
      </c>
      <c r="E949">
        <f>MONTH(ProductLine[[#This Row],[Date]])</f>
        <v>11</v>
      </c>
      <c r="F949" t="s">
        <v>23</v>
      </c>
      <c r="G949">
        <v>6</v>
      </c>
      <c r="H949" s="3">
        <v>20.397135812092845</v>
      </c>
      <c r="I949" s="3">
        <f>ProductLine[[#This Row],[Units]]*ProductLine[[#This Row],[Dollars]]</f>
        <v>122.38281487255708</v>
      </c>
    </row>
    <row r="950" spans="1:9" x14ac:dyDescent="0.35">
      <c r="A950">
        <v>949</v>
      </c>
      <c r="B950" t="s">
        <v>14</v>
      </c>
      <c r="C950" s="2">
        <v>38144</v>
      </c>
      <c r="D950">
        <f>YEAR(ProductLine[[#This Row],[Date]])</f>
        <v>2004</v>
      </c>
      <c r="E950">
        <f>MONTH(ProductLine[[#This Row],[Date]])</f>
        <v>6</v>
      </c>
      <c r="F950" t="s">
        <v>24</v>
      </c>
      <c r="G950">
        <v>13</v>
      </c>
      <c r="H950" s="3">
        <v>41.830169969209855</v>
      </c>
      <c r="I950" s="3">
        <f>ProductLine[[#This Row],[Units]]*ProductLine[[#This Row],[Dollars]]</f>
        <v>543.79220959972815</v>
      </c>
    </row>
    <row r="951" spans="1:9" x14ac:dyDescent="0.35">
      <c r="A951">
        <v>950</v>
      </c>
      <c r="B951" t="s">
        <v>11</v>
      </c>
      <c r="C951" s="2">
        <v>38287</v>
      </c>
      <c r="D951">
        <f>YEAR(ProductLine[[#This Row],[Date]])</f>
        <v>2004</v>
      </c>
      <c r="E951">
        <f>MONTH(ProductLine[[#This Row],[Date]])</f>
        <v>10</v>
      </c>
      <c r="F951" t="s">
        <v>23</v>
      </c>
      <c r="G951">
        <v>70</v>
      </c>
      <c r="H951" s="3">
        <v>212.45510789670757</v>
      </c>
      <c r="I951" s="3">
        <f>ProductLine[[#This Row],[Units]]*ProductLine[[#This Row],[Dollars]]</f>
        <v>14871.85755276953</v>
      </c>
    </row>
    <row r="952" spans="1:9" x14ac:dyDescent="0.35">
      <c r="A952">
        <v>951</v>
      </c>
      <c r="B952" t="s">
        <v>13</v>
      </c>
      <c r="C952" s="2">
        <v>38155</v>
      </c>
      <c r="D952">
        <f>YEAR(ProductLine[[#This Row],[Date]])</f>
        <v>2004</v>
      </c>
      <c r="E952">
        <f>MONTH(ProductLine[[#This Row],[Date]])</f>
        <v>6</v>
      </c>
      <c r="F952" t="s">
        <v>24</v>
      </c>
      <c r="G952">
        <v>15</v>
      </c>
      <c r="H952" s="3">
        <v>47.749438891041251</v>
      </c>
      <c r="I952" s="3">
        <f>ProductLine[[#This Row],[Units]]*ProductLine[[#This Row],[Dollars]]</f>
        <v>716.24158336561879</v>
      </c>
    </row>
    <row r="953" spans="1:9" x14ac:dyDescent="0.35">
      <c r="A953">
        <v>952</v>
      </c>
      <c r="B953" t="s">
        <v>14</v>
      </c>
      <c r="C953" s="2">
        <v>38826</v>
      </c>
      <c r="D953">
        <f>YEAR(ProductLine[[#This Row],[Date]])</f>
        <v>2006</v>
      </c>
      <c r="E953">
        <f>MONTH(ProductLine[[#This Row],[Date]])</f>
        <v>4</v>
      </c>
      <c r="F953" t="s">
        <v>27</v>
      </c>
      <c r="G953">
        <v>18</v>
      </c>
      <c r="H953" s="3">
        <v>56.257832632332345</v>
      </c>
      <c r="I953" s="3">
        <f>ProductLine[[#This Row],[Units]]*ProductLine[[#This Row],[Dollars]]</f>
        <v>1012.6409873819822</v>
      </c>
    </row>
    <row r="954" spans="1:9" x14ac:dyDescent="0.35">
      <c r="A954">
        <v>953</v>
      </c>
      <c r="B954" t="s">
        <v>14</v>
      </c>
      <c r="C954" s="2">
        <v>38771</v>
      </c>
      <c r="D954">
        <f>YEAR(ProductLine[[#This Row],[Date]])</f>
        <v>2006</v>
      </c>
      <c r="E954">
        <f>MONTH(ProductLine[[#This Row],[Date]])</f>
        <v>2</v>
      </c>
      <c r="F954" t="s">
        <v>26</v>
      </c>
      <c r="G954">
        <v>30</v>
      </c>
      <c r="H954" s="3">
        <v>92.196479665554932</v>
      </c>
      <c r="I954" s="3">
        <f>ProductLine[[#This Row],[Units]]*ProductLine[[#This Row],[Dollars]]</f>
        <v>2765.8943899666479</v>
      </c>
    </row>
    <row r="955" spans="1:9" x14ac:dyDescent="0.35">
      <c r="A955">
        <v>954</v>
      </c>
      <c r="B955" t="s">
        <v>12</v>
      </c>
      <c r="C955" s="2">
        <v>39024</v>
      </c>
      <c r="D955">
        <f>YEAR(ProductLine[[#This Row],[Date]])</f>
        <v>2006</v>
      </c>
      <c r="E955">
        <f>MONTH(ProductLine[[#This Row],[Date]])</f>
        <v>11</v>
      </c>
      <c r="F955" t="s">
        <v>27</v>
      </c>
      <c r="G955">
        <v>17</v>
      </c>
      <c r="H955" s="3">
        <v>53.067953295003726</v>
      </c>
      <c r="I955" s="3">
        <f>ProductLine[[#This Row],[Units]]*ProductLine[[#This Row],[Dollars]]</f>
        <v>902.1552060150633</v>
      </c>
    </row>
    <row r="956" spans="1:9" x14ac:dyDescent="0.35">
      <c r="A956">
        <v>955</v>
      </c>
      <c r="B956" t="s">
        <v>12</v>
      </c>
      <c r="C956" s="2">
        <v>38364</v>
      </c>
      <c r="D956">
        <f>YEAR(ProductLine[[#This Row],[Date]])</f>
        <v>2005</v>
      </c>
      <c r="E956">
        <f>MONTH(ProductLine[[#This Row],[Date]])</f>
        <v>1</v>
      </c>
      <c r="F956" t="s">
        <v>26</v>
      </c>
      <c r="G956">
        <v>-1</v>
      </c>
      <c r="H956" s="3">
        <v>-1.4540693559294799</v>
      </c>
      <c r="I956" s="3">
        <f>ProductLine[[#This Row],[Units]]*ProductLine[[#This Row],[Dollars]]</f>
        <v>1.4540693559294799</v>
      </c>
    </row>
    <row r="957" spans="1:9" x14ac:dyDescent="0.35">
      <c r="A957">
        <v>956</v>
      </c>
      <c r="B957" t="s">
        <v>16</v>
      </c>
      <c r="C957" s="2">
        <v>38430</v>
      </c>
      <c r="D957">
        <f>YEAR(ProductLine[[#This Row],[Date]])</f>
        <v>2005</v>
      </c>
      <c r="E957">
        <f>MONTH(ProductLine[[#This Row],[Date]])</f>
        <v>3</v>
      </c>
      <c r="F957" t="s">
        <v>24</v>
      </c>
      <c r="G957">
        <v>50</v>
      </c>
      <c r="H957" s="3">
        <v>152.31719787311525</v>
      </c>
      <c r="I957" s="3">
        <f>ProductLine[[#This Row],[Units]]*ProductLine[[#This Row],[Dollars]]</f>
        <v>7615.8598936557628</v>
      </c>
    </row>
    <row r="958" spans="1:9" x14ac:dyDescent="0.35">
      <c r="A958">
        <v>957</v>
      </c>
      <c r="B958" t="s">
        <v>11</v>
      </c>
      <c r="C958" s="2">
        <v>38716</v>
      </c>
      <c r="D958">
        <f>YEAR(ProductLine[[#This Row],[Date]])</f>
        <v>2005</v>
      </c>
      <c r="E958">
        <f>MONTH(ProductLine[[#This Row],[Date]])</f>
        <v>12</v>
      </c>
      <c r="F958" t="s">
        <v>23</v>
      </c>
      <c r="G958">
        <v>83</v>
      </c>
      <c r="H958" s="3">
        <v>251.0948967308864</v>
      </c>
      <c r="I958" s="3">
        <f>ProductLine[[#This Row],[Units]]*ProductLine[[#This Row],[Dollars]]</f>
        <v>20840.876428663571</v>
      </c>
    </row>
    <row r="959" spans="1:9" x14ac:dyDescent="0.35">
      <c r="A959">
        <v>958</v>
      </c>
      <c r="B959" t="s">
        <v>15</v>
      </c>
      <c r="C959" s="2">
        <v>38111</v>
      </c>
      <c r="D959">
        <f>YEAR(ProductLine[[#This Row],[Date]])</f>
        <v>2004</v>
      </c>
      <c r="E959">
        <f>MONTH(ProductLine[[#This Row],[Date]])</f>
        <v>5</v>
      </c>
      <c r="F959" t="s">
        <v>27</v>
      </c>
      <c r="G959">
        <v>54</v>
      </c>
      <c r="H959" s="3">
        <v>164.08170340636366</v>
      </c>
      <c r="I959" s="3">
        <f>ProductLine[[#This Row],[Units]]*ProductLine[[#This Row],[Dollars]]</f>
        <v>8860.4119839436371</v>
      </c>
    </row>
    <row r="960" spans="1:9" x14ac:dyDescent="0.35">
      <c r="A960">
        <v>959</v>
      </c>
      <c r="B960" t="s">
        <v>11</v>
      </c>
      <c r="C960" s="2">
        <v>38463</v>
      </c>
      <c r="D960">
        <f>YEAR(ProductLine[[#This Row],[Date]])</f>
        <v>2005</v>
      </c>
      <c r="E960">
        <f>MONTH(ProductLine[[#This Row],[Date]])</f>
        <v>4</v>
      </c>
      <c r="F960" t="s">
        <v>23</v>
      </c>
      <c r="G960">
        <v>16</v>
      </c>
      <c r="H960" s="3">
        <v>49.968087631431565</v>
      </c>
      <c r="I960" s="3">
        <f>ProductLine[[#This Row],[Units]]*ProductLine[[#This Row],[Dollars]]</f>
        <v>799.48940210290505</v>
      </c>
    </row>
    <row r="961" spans="1:9" x14ac:dyDescent="0.35">
      <c r="A961">
        <v>960</v>
      </c>
      <c r="B961" t="s">
        <v>15</v>
      </c>
      <c r="C961" s="2">
        <v>38980</v>
      </c>
      <c r="D961">
        <f>YEAR(ProductLine[[#This Row],[Date]])</f>
        <v>2006</v>
      </c>
      <c r="E961">
        <f>MONTH(ProductLine[[#This Row],[Date]])</f>
        <v>9</v>
      </c>
      <c r="F961" t="s">
        <v>23</v>
      </c>
      <c r="G961">
        <v>53</v>
      </c>
      <c r="H961" s="3">
        <v>160.95914621811275</v>
      </c>
      <c r="I961" s="3">
        <f>ProductLine[[#This Row],[Units]]*ProductLine[[#This Row],[Dollars]]</f>
        <v>8530.8347495599755</v>
      </c>
    </row>
    <row r="962" spans="1:9" x14ac:dyDescent="0.35">
      <c r="A962">
        <v>961</v>
      </c>
      <c r="B962" t="s">
        <v>14</v>
      </c>
      <c r="C962" s="2">
        <v>38727</v>
      </c>
      <c r="D962">
        <f>YEAR(ProductLine[[#This Row],[Date]])</f>
        <v>2006</v>
      </c>
      <c r="E962">
        <f>MONTH(ProductLine[[#This Row],[Date]])</f>
        <v>1</v>
      </c>
      <c r="F962" t="s">
        <v>26</v>
      </c>
      <c r="G962">
        <v>95</v>
      </c>
      <c r="H962" s="3">
        <v>286.71922939024518</v>
      </c>
      <c r="I962" s="3">
        <f>ProductLine[[#This Row],[Units]]*ProductLine[[#This Row],[Dollars]]</f>
        <v>27238.326792073291</v>
      </c>
    </row>
    <row r="963" spans="1:9" x14ac:dyDescent="0.35">
      <c r="A963">
        <v>962</v>
      </c>
      <c r="B963" t="s">
        <v>11</v>
      </c>
      <c r="C963" s="2">
        <v>37990</v>
      </c>
      <c r="D963">
        <f>YEAR(ProductLine[[#This Row],[Date]])</f>
        <v>2004</v>
      </c>
      <c r="E963">
        <f>MONTH(ProductLine[[#This Row],[Date]])</f>
        <v>1</v>
      </c>
      <c r="F963" t="s">
        <v>27</v>
      </c>
      <c r="G963">
        <v>74</v>
      </c>
      <c r="H963" s="3">
        <v>224.1344883418044</v>
      </c>
      <c r="I963" s="3">
        <f>ProductLine[[#This Row],[Units]]*ProductLine[[#This Row],[Dollars]]</f>
        <v>16585.952137293527</v>
      </c>
    </row>
    <row r="964" spans="1:9" x14ac:dyDescent="0.35">
      <c r="A964">
        <v>963</v>
      </c>
      <c r="B964" t="s">
        <v>13</v>
      </c>
      <c r="C964" s="2">
        <v>38584</v>
      </c>
      <c r="D964">
        <f>YEAR(ProductLine[[#This Row],[Date]])</f>
        <v>2005</v>
      </c>
      <c r="E964">
        <f>MONTH(ProductLine[[#This Row],[Date]])</f>
        <v>8</v>
      </c>
      <c r="F964" t="s">
        <v>27</v>
      </c>
      <c r="G964">
        <v>11</v>
      </c>
      <c r="H964" s="3">
        <v>35.126507167926178</v>
      </c>
      <c r="I964" s="3">
        <f>ProductLine[[#This Row],[Units]]*ProductLine[[#This Row],[Dollars]]</f>
        <v>386.39157884718793</v>
      </c>
    </row>
    <row r="965" spans="1:9" x14ac:dyDescent="0.35">
      <c r="A965">
        <v>964</v>
      </c>
      <c r="B965" t="s">
        <v>10</v>
      </c>
      <c r="C965" s="2">
        <v>38980</v>
      </c>
      <c r="D965">
        <f>YEAR(ProductLine[[#This Row],[Date]])</f>
        <v>2006</v>
      </c>
      <c r="E965">
        <f>MONTH(ProductLine[[#This Row],[Date]])</f>
        <v>9</v>
      </c>
      <c r="F965" t="s">
        <v>24</v>
      </c>
      <c r="G965">
        <v>63</v>
      </c>
      <c r="H965" s="3">
        <v>191.00092010309442</v>
      </c>
      <c r="I965" s="3">
        <f>ProductLine[[#This Row],[Units]]*ProductLine[[#This Row],[Dollars]]</f>
        <v>12033.057966494947</v>
      </c>
    </row>
    <row r="966" spans="1:9" x14ac:dyDescent="0.35">
      <c r="A966">
        <v>965</v>
      </c>
      <c r="B966" t="s">
        <v>9</v>
      </c>
      <c r="C966" s="2">
        <v>38595</v>
      </c>
      <c r="D966">
        <f>YEAR(ProductLine[[#This Row],[Date]])</f>
        <v>2005</v>
      </c>
      <c r="E966">
        <f>MONTH(ProductLine[[#This Row],[Date]])</f>
        <v>8</v>
      </c>
      <c r="F966" t="s">
        <v>26</v>
      </c>
      <c r="G966">
        <v>53</v>
      </c>
      <c r="H966" s="3">
        <v>161.23768017364921</v>
      </c>
      <c r="I966" s="3">
        <f>ProductLine[[#This Row],[Units]]*ProductLine[[#This Row],[Dollars]]</f>
        <v>8545.5970492034085</v>
      </c>
    </row>
    <row r="967" spans="1:9" x14ac:dyDescent="0.35">
      <c r="A967">
        <v>966</v>
      </c>
      <c r="B967" t="s">
        <v>12</v>
      </c>
      <c r="C967" s="2">
        <v>38925</v>
      </c>
      <c r="D967">
        <f>YEAR(ProductLine[[#This Row],[Date]])</f>
        <v>2006</v>
      </c>
      <c r="E967">
        <f>MONTH(ProductLine[[#This Row],[Date]])</f>
        <v>7</v>
      </c>
      <c r="F967" t="s">
        <v>23</v>
      </c>
      <c r="G967">
        <v>1</v>
      </c>
      <c r="H967" s="3">
        <v>5.2816840348822387</v>
      </c>
      <c r="I967" s="3">
        <f>ProductLine[[#This Row],[Units]]*ProductLine[[#This Row],[Dollars]]</f>
        <v>5.2816840348822387</v>
      </c>
    </row>
    <row r="968" spans="1:9" x14ac:dyDescent="0.35">
      <c r="A968">
        <v>967</v>
      </c>
      <c r="B968" t="s">
        <v>14</v>
      </c>
      <c r="C968" s="2">
        <v>38309</v>
      </c>
      <c r="D968">
        <f>YEAR(ProductLine[[#This Row],[Date]])</f>
        <v>2004</v>
      </c>
      <c r="E968">
        <f>MONTH(ProductLine[[#This Row],[Date]])</f>
        <v>11</v>
      </c>
      <c r="F968" t="s">
        <v>24</v>
      </c>
      <c r="G968">
        <v>24</v>
      </c>
      <c r="H968" s="3">
        <v>74.30729541001925</v>
      </c>
      <c r="I968" s="3">
        <f>ProductLine[[#This Row],[Units]]*ProductLine[[#This Row],[Dollars]]</f>
        <v>1783.3750898404619</v>
      </c>
    </row>
    <row r="969" spans="1:9" x14ac:dyDescent="0.35">
      <c r="A969">
        <v>968</v>
      </c>
      <c r="B969" t="s">
        <v>12</v>
      </c>
      <c r="C969" s="2">
        <v>38815</v>
      </c>
      <c r="D969">
        <f>YEAR(ProductLine[[#This Row],[Date]])</f>
        <v>2006</v>
      </c>
      <c r="E969">
        <f>MONTH(ProductLine[[#This Row],[Date]])</f>
        <v>4</v>
      </c>
      <c r="F969" t="s">
        <v>25</v>
      </c>
      <c r="G969">
        <v>5</v>
      </c>
      <c r="H969" s="3">
        <v>16.422750032809695</v>
      </c>
      <c r="I969" s="3">
        <f>ProductLine[[#This Row],[Units]]*ProductLine[[#This Row],[Dollars]]</f>
        <v>82.113750164048469</v>
      </c>
    </row>
    <row r="970" spans="1:9" x14ac:dyDescent="0.35">
      <c r="A970">
        <v>969</v>
      </c>
      <c r="B970" t="s">
        <v>9</v>
      </c>
      <c r="C970" s="2">
        <v>38408</v>
      </c>
      <c r="D970">
        <f>YEAR(ProductLine[[#This Row],[Date]])</f>
        <v>2005</v>
      </c>
      <c r="E970">
        <f>MONTH(ProductLine[[#This Row],[Date]])</f>
        <v>2</v>
      </c>
      <c r="F970" t="s">
        <v>23</v>
      </c>
      <c r="G970">
        <v>35</v>
      </c>
      <c r="H970" s="3">
        <v>107.34237990295979</v>
      </c>
      <c r="I970" s="3">
        <f>ProductLine[[#This Row],[Units]]*ProductLine[[#This Row],[Dollars]]</f>
        <v>3756.9832966035929</v>
      </c>
    </row>
    <row r="971" spans="1:9" x14ac:dyDescent="0.35">
      <c r="A971">
        <v>970</v>
      </c>
      <c r="B971" t="s">
        <v>9</v>
      </c>
      <c r="C971" s="2">
        <v>38859</v>
      </c>
      <c r="D971">
        <f>YEAR(ProductLine[[#This Row],[Date]])</f>
        <v>2006</v>
      </c>
      <c r="E971">
        <f>MONTH(ProductLine[[#This Row],[Date]])</f>
        <v>5</v>
      </c>
      <c r="F971" t="s">
        <v>26</v>
      </c>
      <c r="G971">
        <v>33</v>
      </c>
      <c r="H971" s="3">
        <v>100.6187200673516</v>
      </c>
      <c r="I971" s="3">
        <f>ProductLine[[#This Row],[Units]]*ProductLine[[#This Row],[Dollars]]</f>
        <v>3320.417762222603</v>
      </c>
    </row>
    <row r="972" spans="1:9" x14ac:dyDescent="0.35">
      <c r="A972">
        <v>971</v>
      </c>
      <c r="B972" t="s">
        <v>15</v>
      </c>
      <c r="C972" s="2">
        <v>38749</v>
      </c>
      <c r="D972">
        <f>YEAR(ProductLine[[#This Row],[Date]])</f>
        <v>2006</v>
      </c>
      <c r="E972">
        <f>MONTH(ProductLine[[#This Row],[Date]])</f>
        <v>2</v>
      </c>
      <c r="F972" t="s">
        <v>27</v>
      </c>
      <c r="G972">
        <v>65</v>
      </c>
      <c r="H972" s="3">
        <v>196.63630077143569</v>
      </c>
      <c r="I972" s="3">
        <f>ProductLine[[#This Row],[Units]]*ProductLine[[#This Row],[Dollars]]</f>
        <v>12781.359550143319</v>
      </c>
    </row>
    <row r="973" spans="1:9" x14ac:dyDescent="0.35">
      <c r="A973">
        <v>972</v>
      </c>
      <c r="B973" t="s">
        <v>17</v>
      </c>
      <c r="C973" s="2">
        <v>38760</v>
      </c>
      <c r="D973">
        <f>YEAR(ProductLine[[#This Row],[Date]])</f>
        <v>2006</v>
      </c>
      <c r="E973">
        <f>MONTH(ProductLine[[#This Row],[Date]])</f>
        <v>2</v>
      </c>
      <c r="F973" t="s">
        <v>27</v>
      </c>
      <c r="G973">
        <v>52</v>
      </c>
      <c r="H973" s="3">
        <v>158.33506008490392</v>
      </c>
      <c r="I973" s="3">
        <f>ProductLine[[#This Row],[Units]]*ProductLine[[#This Row],[Dollars]]</f>
        <v>8233.4231244150033</v>
      </c>
    </row>
    <row r="974" spans="1:9" x14ac:dyDescent="0.35">
      <c r="A974">
        <v>973</v>
      </c>
      <c r="B974" t="s">
        <v>17</v>
      </c>
      <c r="C974" s="2">
        <v>38947</v>
      </c>
      <c r="D974">
        <f>YEAR(ProductLine[[#This Row],[Date]])</f>
        <v>2006</v>
      </c>
      <c r="E974">
        <f>MONTH(ProductLine[[#This Row],[Date]])</f>
        <v>8</v>
      </c>
      <c r="F974" t="s">
        <v>27</v>
      </c>
      <c r="G974">
        <v>44</v>
      </c>
      <c r="H974" s="3">
        <v>133.42498328468113</v>
      </c>
      <c r="I974" s="3">
        <f>ProductLine[[#This Row],[Units]]*ProductLine[[#This Row],[Dollars]]</f>
        <v>5870.6992645259697</v>
      </c>
    </row>
    <row r="975" spans="1:9" x14ac:dyDescent="0.35">
      <c r="A975">
        <v>974</v>
      </c>
      <c r="B975" t="s">
        <v>11</v>
      </c>
      <c r="C975" s="2">
        <v>39002</v>
      </c>
      <c r="D975">
        <f>YEAR(ProductLine[[#This Row],[Date]])</f>
        <v>2006</v>
      </c>
      <c r="E975">
        <f>MONTH(ProductLine[[#This Row],[Date]])</f>
        <v>10</v>
      </c>
      <c r="F975" t="s">
        <v>25</v>
      </c>
      <c r="G975">
        <v>72</v>
      </c>
      <c r="H975" s="3">
        <v>218.057153790916</v>
      </c>
      <c r="I975" s="3">
        <f>ProductLine[[#This Row],[Units]]*ProductLine[[#This Row],[Dollars]]</f>
        <v>15700.115072945951</v>
      </c>
    </row>
    <row r="976" spans="1:9" x14ac:dyDescent="0.35">
      <c r="A976">
        <v>975</v>
      </c>
      <c r="B976" t="s">
        <v>15</v>
      </c>
      <c r="C976" s="2">
        <v>38243</v>
      </c>
      <c r="D976">
        <f>YEAR(ProductLine[[#This Row],[Date]])</f>
        <v>2004</v>
      </c>
      <c r="E976">
        <f>MONTH(ProductLine[[#This Row],[Date]])</f>
        <v>9</v>
      </c>
      <c r="F976" t="s">
        <v>27</v>
      </c>
      <c r="G976">
        <v>13</v>
      </c>
      <c r="H976" s="3">
        <v>41.138712352864658</v>
      </c>
      <c r="I976" s="3">
        <f>ProductLine[[#This Row],[Units]]*ProductLine[[#This Row],[Dollars]]</f>
        <v>534.80326058724052</v>
      </c>
    </row>
    <row r="977" spans="1:9" x14ac:dyDescent="0.35">
      <c r="A977">
        <v>976</v>
      </c>
      <c r="B977" t="s">
        <v>12</v>
      </c>
      <c r="C977" s="2">
        <v>38969</v>
      </c>
      <c r="D977">
        <f>YEAR(ProductLine[[#This Row],[Date]])</f>
        <v>2006</v>
      </c>
      <c r="E977">
        <f>MONTH(ProductLine[[#This Row],[Date]])</f>
        <v>9</v>
      </c>
      <c r="F977" t="s">
        <v>24</v>
      </c>
      <c r="G977">
        <v>16</v>
      </c>
      <c r="H977" s="3">
        <v>50.15918619514666</v>
      </c>
      <c r="I977" s="3">
        <f>ProductLine[[#This Row],[Units]]*ProductLine[[#This Row],[Dollars]]</f>
        <v>802.54697912234656</v>
      </c>
    </row>
    <row r="978" spans="1:9" x14ac:dyDescent="0.35">
      <c r="A978">
        <v>977</v>
      </c>
      <c r="B978" t="s">
        <v>17</v>
      </c>
      <c r="C978" s="2">
        <v>38760</v>
      </c>
      <c r="D978">
        <f>YEAR(ProductLine[[#This Row],[Date]])</f>
        <v>2006</v>
      </c>
      <c r="E978">
        <f>MONTH(ProductLine[[#This Row],[Date]])</f>
        <v>2</v>
      </c>
      <c r="F978" t="s">
        <v>24</v>
      </c>
      <c r="G978">
        <v>19</v>
      </c>
      <c r="H978" s="3">
        <v>59.265314003350476</v>
      </c>
      <c r="I978" s="3">
        <f>ProductLine[[#This Row],[Units]]*ProductLine[[#This Row],[Dollars]]</f>
        <v>1126.040966063659</v>
      </c>
    </row>
    <row r="979" spans="1:9" x14ac:dyDescent="0.35">
      <c r="A979">
        <v>978</v>
      </c>
      <c r="B979" t="s">
        <v>12</v>
      </c>
      <c r="C979" s="2">
        <v>38485</v>
      </c>
      <c r="D979">
        <f>YEAR(ProductLine[[#This Row],[Date]])</f>
        <v>2005</v>
      </c>
      <c r="E979">
        <f>MONTH(ProductLine[[#This Row],[Date]])</f>
        <v>5</v>
      </c>
      <c r="F979" t="s">
        <v>27</v>
      </c>
      <c r="G979">
        <v>67</v>
      </c>
      <c r="H979" s="3">
        <v>203.43497713652508</v>
      </c>
      <c r="I979" s="3">
        <f>ProductLine[[#This Row],[Units]]*ProductLine[[#This Row],[Dollars]]</f>
        <v>13630.14346814718</v>
      </c>
    </row>
    <row r="980" spans="1:9" x14ac:dyDescent="0.35">
      <c r="A980">
        <v>979</v>
      </c>
      <c r="B980" t="s">
        <v>15</v>
      </c>
      <c r="C980" s="2">
        <v>38760</v>
      </c>
      <c r="D980">
        <f>YEAR(ProductLine[[#This Row],[Date]])</f>
        <v>2006</v>
      </c>
      <c r="E980">
        <f>MONTH(ProductLine[[#This Row],[Date]])</f>
        <v>2</v>
      </c>
      <c r="F980" t="s">
        <v>23</v>
      </c>
      <c r="G980">
        <v>2</v>
      </c>
      <c r="H980" s="3">
        <v>8.3122868755040553</v>
      </c>
      <c r="I980" s="3">
        <f>ProductLine[[#This Row],[Units]]*ProductLine[[#This Row],[Dollars]]</f>
        <v>16.624573751008111</v>
      </c>
    </row>
    <row r="981" spans="1:9" x14ac:dyDescent="0.35">
      <c r="A981">
        <v>980</v>
      </c>
      <c r="B981" t="s">
        <v>12</v>
      </c>
      <c r="C981" s="2">
        <v>38870</v>
      </c>
      <c r="D981">
        <f>YEAR(ProductLine[[#This Row],[Date]])</f>
        <v>2006</v>
      </c>
      <c r="E981">
        <f>MONTH(ProductLine[[#This Row],[Date]])</f>
        <v>6</v>
      </c>
      <c r="F981" t="s">
        <v>27</v>
      </c>
      <c r="G981">
        <v>28</v>
      </c>
      <c r="H981" s="3">
        <v>85.787320991735939</v>
      </c>
      <c r="I981" s="3">
        <f>ProductLine[[#This Row],[Units]]*ProductLine[[#This Row],[Dollars]]</f>
        <v>2402.0449877686065</v>
      </c>
    </row>
    <row r="982" spans="1:9" x14ac:dyDescent="0.35">
      <c r="A982">
        <v>981</v>
      </c>
      <c r="B982" t="s">
        <v>13</v>
      </c>
      <c r="C982" s="2">
        <v>38584</v>
      </c>
      <c r="D982">
        <f>YEAR(ProductLine[[#This Row],[Date]])</f>
        <v>2005</v>
      </c>
      <c r="E982">
        <f>MONTH(ProductLine[[#This Row],[Date]])</f>
        <v>8</v>
      </c>
      <c r="F982" t="s">
        <v>24</v>
      </c>
      <c r="G982">
        <v>-6</v>
      </c>
      <c r="H982" s="3">
        <v>-15.854559071603056</v>
      </c>
      <c r="I982" s="3">
        <f>ProductLine[[#This Row],[Units]]*ProductLine[[#This Row],[Dollars]]</f>
        <v>95.127354429618336</v>
      </c>
    </row>
    <row r="983" spans="1:9" x14ac:dyDescent="0.35">
      <c r="A983">
        <v>982</v>
      </c>
      <c r="B983" t="s">
        <v>11</v>
      </c>
      <c r="C983" s="2">
        <v>38441</v>
      </c>
      <c r="D983">
        <f>YEAR(ProductLine[[#This Row],[Date]])</f>
        <v>2005</v>
      </c>
      <c r="E983">
        <f>MONTH(ProductLine[[#This Row],[Date]])</f>
        <v>3</v>
      </c>
      <c r="F983" t="s">
        <v>27</v>
      </c>
      <c r="G983">
        <v>70</v>
      </c>
      <c r="H983" s="3">
        <v>212.03178089307775</v>
      </c>
      <c r="I983" s="3">
        <f>ProductLine[[#This Row],[Units]]*ProductLine[[#This Row],[Dollars]]</f>
        <v>14842.224662515442</v>
      </c>
    </row>
    <row r="984" spans="1:9" x14ac:dyDescent="0.35">
      <c r="A984">
        <v>983</v>
      </c>
      <c r="B984" t="s">
        <v>10</v>
      </c>
      <c r="C984" s="2">
        <v>38771</v>
      </c>
      <c r="D984">
        <f>YEAR(ProductLine[[#This Row],[Date]])</f>
        <v>2006</v>
      </c>
      <c r="E984">
        <f>MONTH(ProductLine[[#This Row],[Date]])</f>
        <v>2</v>
      </c>
      <c r="F984" t="s">
        <v>23</v>
      </c>
      <c r="G984">
        <v>65</v>
      </c>
      <c r="H984" s="3">
        <v>197.18663086835969</v>
      </c>
      <c r="I984" s="3">
        <f>ProductLine[[#This Row],[Units]]*ProductLine[[#This Row],[Dollars]]</f>
        <v>12817.13100644338</v>
      </c>
    </row>
    <row r="985" spans="1:9" x14ac:dyDescent="0.35">
      <c r="A985">
        <v>984</v>
      </c>
      <c r="B985" t="s">
        <v>15</v>
      </c>
      <c r="C985" s="2">
        <v>39079</v>
      </c>
      <c r="D985">
        <f>YEAR(ProductLine[[#This Row],[Date]])</f>
        <v>2006</v>
      </c>
      <c r="E985">
        <f>MONTH(ProductLine[[#This Row],[Date]])</f>
        <v>12</v>
      </c>
      <c r="F985" t="s">
        <v>24</v>
      </c>
      <c r="G985">
        <v>39</v>
      </c>
      <c r="H985" s="3">
        <v>119.05118285965317</v>
      </c>
      <c r="I985" s="3">
        <f>ProductLine[[#This Row],[Units]]*ProductLine[[#This Row],[Dollars]]</f>
        <v>4642.9961315264736</v>
      </c>
    </row>
    <row r="986" spans="1:9" x14ac:dyDescent="0.35">
      <c r="A986">
        <v>985</v>
      </c>
      <c r="B986" t="s">
        <v>10</v>
      </c>
      <c r="C986" s="2">
        <v>38958</v>
      </c>
      <c r="D986">
        <f>YEAR(ProductLine[[#This Row],[Date]])</f>
        <v>2006</v>
      </c>
      <c r="E986">
        <f>MONTH(ProductLine[[#This Row],[Date]])</f>
        <v>8</v>
      </c>
      <c r="F986" t="s">
        <v>24</v>
      </c>
      <c r="G986">
        <v>72</v>
      </c>
      <c r="H986" s="3">
        <v>218.19229267045282</v>
      </c>
      <c r="I986" s="3">
        <f>ProductLine[[#This Row],[Units]]*ProductLine[[#This Row],[Dollars]]</f>
        <v>15709.845072272603</v>
      </c>
    </row>
    <row r="987" spans="1:9" x14ac:dyDescent="0.35">
      <c r="A987">
        <v>986</v>
      </c>
      <c r="B987" t="s">
        <v>9</v>
      </c>
      <c r="C987" s="2">
        <v>38474</v>
      </c>
      <c r="D987">
        <f>YEAR(ProductLine[[#This Row],[Date]])</f>
        <v>2005</v>
      </c>
      <c r="E987">
        <f>MONTH(ProductLine[[#This Row],[Date]])</f>
        <v>5</v>
      </c>
      <c r="F987" t="s">
        <v>25</v>
      </c>
      <c r="G987">
        <v>47</v>
      </c>
      <c r="H987" s="3">
        <v>142.53694145811323</v>
      </c>
      <c r="I987" s="3">
        <f>ProductLine[[#This Row],[Units]]*ProductLine[[#This Row],[Dollars]]</f>
        <v>6699.2362485313224</v>
      </c>
    </row>
    <row r="988" spans="1:9" x14ac:dyDescent="0.35">
      <c r="A988">
        <v>987</v>
      </c>
      <c r="B988" t="s">
        <v>15</v>
      </c>
      <c r="C988" s="2">
        <v>38848</v>
      </c>
      <c r="D988">
        <f>YEAR(ProductLine[[#This Row],[Date]])</f>
        <v>2006</v>
      </c>
      <c r="E988">
        <f>MONTH(ProductLine[[#This Row],[Date]])</f>
        <v>5</v>
      </c>
      <c r="F988" t="s">
        <v>23</v>
      </c>
      <c r="G988">
        <v>94</v>
      </c>
      <c r="H988" s="3">
        <v>283.57943523104291</v>
      </c>
      <c r="I988" s="3">
        <f>ProductLine[[#This Row],[Units]]*ProductLine[[#This Row],[Dollars]]</f>
        <v>26656.466911718035</v>
      </c>
    </row>
    <row r="989" spans="1:9" x14ac:dyDescent="0.35">
      <c r="A989">
        <v>988</v>
      </c>
      <c r="B989" t="s">
        <v>9</v>
      </c>
      <c r="C989" s="2">
        <v>38485</v>
      </c>
      <c r="D989">
        <f>YEAR(ProductLine[[#This Row],[Date]])</f>
        <v>2005</v>
      </c>
      <c r="E989">
        <f>MONTH(ProductLine[[#This Row],[Date]])</f>
        <v>5</v>
      </c>
      <c r="F989" t="s">
        <v>23</v>
      </c>
      <c r="G989">
        <v>58</v>
      </c>
      <c r="H989" s="3">
        <v>175.8230061159172</v>
      </c>
      <c r="I989" s="3">
        <f>ProductLine[[#This Row],[Units]]*ProductLine[[#This Row],[Dollars]]</f>
        <v>10197.734354723198</v>
      </c>
    </row>
    <row r="990" spans="1:9" x14ac:dyDescent="0.35">
      <c r="A990">
        <v>989</v>
      </c>
      <c r="B990" t="s">
        <v>16</v>
      </c>
      <c r="C990" s="2">
        <v>38122</v>
      </c>
      <c r="D990">
        <f>YEAR(ProductLine[[#This Row],[Date]])</f>
        <v>2004</v>
      </c>
      <c r="E990">
        <f>MONTH(ProductLine[[#This Row],[Date]])</f>
        <v>5</v>
      </c>
      <c r="F990" t="s">
        <v>26</v>
      </c>
      <c r="G990">
        <v>-6</v>
      </c>
      <c r="H990" s="3">
        <v>-17.288821571122082</v>
      </c>
      <c r="I990" s="3">
        <f>ProductLine[[#This Row],[Units]]*ProductLine[[#This Row],[Dollars]]</f>
        <v>103.73292942673248</v>
      </c>
    </row>
    <row r="991" spans="1:9" x14ac:dyDescent="0.35">
      <c r="A991">
        <v>990</v>
      </c>
      <c r="B991" t="s">
        <v>13</v>
      </c>
      <c r="C991" s="2">
        <v>38034</v>
      </c>
      <c r="D991">
        <f>YEAR(ProductLine[[#This Row],[Date]])</f>
        <v>2004</v>
      </c>
      <c r="E991">
        <f>MONTH(ProductLine[[#This Row],[Date]])</f>
        <v>2</v>
      </c>
      <c r="F991" t="s">
        <v>26</v>
      </c>
      <c r="G991">
        <v>38</v>
      </c>
      <c r="H991" s="3">
        <v>115.96163338782357</v>
      </c>
      <c r="I991" s="3">
        <f>ProductLine[[#This Row],[Units]]*ProductLine[[#This Row],[Dollars]]</f>
        <v>4406.5420687372953</v>
      </c>
    </row>
    <row r="992" spans="1:9" x14ac:dyDescent="0.35">
      <c r="A992">
        <v>991</v>
      </c>
      <c r="B992" t="s">
        <v>14</v>
      </c>
      <c r="C992" s="2">
        <v>38001</v>
      </c>
      <c r="D992">
        <f>YEAR(ProductLine[[#This Row],[Date]])</f>
        <v>2004</v>
      </c>
      <c r="E992">
        <f>MONTH(ProductLine[[#This Row],[Date]])</f>
        <v>1</v>
      </c>
      <c r="F992" t="s">
        <v>26</v>
      </c>
      <c r="G992">
        <v>-1</v>
      </c>
      <c r="H992" s="3">
        <v>-1.0160108133922805</v>
      </c>
      <c r="I992" s="3">
        <f>ProductLine[[#This Row],[Units]]*ProductLine[[#This Row],[Dollars]]</f>
        <v>1.0160108133922805</v>
      </c>
    </row>
    <row r="993" spans="1:9" x14ac:dyDescent="0.35">
      <c r="A993">
        <v>992</v>
      </c>
      <c r="B993" t="s">
        <v>16</v>
      </c>
      <c r="C993" s="2">
        <v>38672</v>
      </c>
      <c r="D993">
        <f>YEAR(ProductLine[[#This Row],[Date]])</f>
        <v>2005</v>
      </c>
      <c r="E993">
        <f>MONTH(ProductLine[[#This Row],[Date]])</f>
        <v>11</v>
      </c>
      <c r="F993" t="s">
        <v>26</v>
      </c>
      <c r="G993">
        <v>34</v>
      </c>
      <c r="H993" s="3">
        <v>104.57917159926555</v>
      </c>
      <c r="I993" s="3">
        <f>ProductLine[[#This Row],[Units]]*ProductLine[[#This Row],[Dollars]]</f>
        <v>3555.6918343750285</v>
      </c>
    </row>
    <row r="994" spans="1:9" x14ac:dyDescent="0.35">
      <c r="A994">
        <v>993</v>
      </c>
      <c r="B994" t="s">
        <v>12</v>
      </c>
      <c r="C994" s="2">
        <v>38078</v>
      </c>
      <c r="D994">
        <f>YEAR(ProductLine[[#This Row],[Date]])</f>
        <v>2004</v>
      </c>
      <c r="E994">
        <f>MONTH(ProductLine[[#This Row],[Date]])</f>
        <v>4</v>
      </c>
      <c r="F994" t="s">
        <v>23</v>
      </c>
      <c r="G994">
        <v>30</v>
      </c>
      <c r="H994" s="3">
        <v>91.71732531853138</v>
      </c>
      <c r="I994" s="3">
        <f>ProductLine[[#This Row],[Units]]*ProductLine[[#This Row],[Dollars]]</f>
        <v>2751.5197595559412</v>
      </c>
    </row>
    <row r="995" spans="1:9" x14ac:dyDescent="0.35">
      <c r="A995">
        <v>994</v>
      </c>
      <c r="B995" t="s">
        <v>13</v>
      </c>
      <c r="C995" s="2">
        <v>38133</v>
      </c>
      <c r="D995">
        <f>YEAR(ProductLine[[#This Row],[Date]])</f>
        <v>2004</v>
      </c>
      <c r="E995">
        <f>MONTH(ProductLine[[#This Row],[Date]])</f>
        <v>5</v>
      </c>
      <c r="F995" t="s">
        <v>24</v>
      </c>
      <c r="G995">
        <v>62</v>
      </c>
      <c r="H995" s="3">
        <v>187.43238539805822</v>
      </c>
      <c r="I995" s="3">
        <f>ProductLine[[#This Row],[Units]]*ProductLine[[#This Row],[Dollars]]</f>
        <v>11620.807894679609</v>
      </c>
    </row>
    <row r="996" spans="1:9" x14ac:dyDescent="0.35">
      <c r="A996">
        <v>995</v>
      </c>
      <c r="B996" t="s">
        <v>9</v>
      </c>
      <c r="C996" s="2">
        <v>38760</v>
      </c>
      <c r="D996">
        <f>YEAR(ProductLine[[#This Row],[Date]])</f>
        <v>2006</v>
      </c>
      <c r="E996">
        <f>MONTH(ProductLine[[#This Row],[Date]])</f>
        <v>2</v>
      </c>
      <c r="F996" t="s">
        <v>23</v>
      </c>
      <c r="G996">
        <v>24</v>
      </c>
      <c r="H996" s="3">
        <v>74.211669903196139</v>
      </c>
      <c r="I996" s="3">
        <f>ProductLine[[#This Row],[Units]]*ProductLine[[#This Row],[Dollars]]</f>
        <v>1781.0800776767073</v>
      </c>
    </row>
    <row r="997" spans="1:9" x14ac:dyDescent="0.35">
      <c r="A997">
        <v>996</v>
      </c>
      <c r="B997" t="s">
        <v>13</v>
      </c>
      <c r="C997" s="2">
        <v>38243</v>
      </c>
      <c r="D997">
        <f>YEAR(ProductLine[[#This Row],[Date]])</f>
        <v>2004</v>
      </c>
      <c r="E997">
        <f>MONTH(ProductLine[[#This Row],[Date]])</f>
        <v>9</v>
      </c>
      <c r="F997" t="s">
        <v>26</v>
      </c>
      <c r="G997">
        <v>4</v>
      </c>
      <c r="H997" s="3">
        <v>13.654188955553082</v>
      </c>
      <c r="I997" s="3">
        <f>ProductLine[[#This Row],[Units]]*ProductLine[[#This Row],[Dollars]]</f>
        <v>54.616755822212326</v>
      </c>
    </row>
    <row r="998" spans="1:9" x14ac:dyDescent="0.35">
      <c r="A998">
        <v>997</v>
      </c>
      <c r="B998" t="s">
        <v>15</v>
      </c>
      <c r="C998" s="2">
        <v>38144</v>
      </c>
      <c r="D998">
        <f>YEAR(ProductLine[[#This Row],[Date]])</f>
        <v>2004</v>
      </c>
      <c r="E998">
        <f>MONTH(ProductLine[[#This Row],[Date]])</f>
        <v>6</v>
      </c>
      <c r="F998" t="s">
        <v>23</v>
      </c>
      <c r="G998">
        <v>88</v>
      </c>
      <c r="H998" s="3">
        <v>265.2916292071763</v>
      </c>
      <c r="I998" s="3">
        <f>ProductLine[[#This Row],[Units]]*ProductLine[[#This Row],[Dollars]]</f>
        <v>23345.663370231516</v>
      </c>
    </row>
    <row r="999" spans="1:9" x14ac:dyDescent="0.35">
      <c r="A999">
        <v>998</v>
      </c>
      <c r="B999" t="s">
        <v>15</v>
      </c>
      <c r="C999" s="2">
        <v>38628</v>
      </c>
      <c r="D999">
        <f>YEAR(ProductLine[[#This Row],[Date]])</f>
        <v>2005</v>
      </c>
      <c r="E999">
        <f>MONTH(ProductLine[[#This Row],[Date]])</f>
        <v>10</v>
      </c>
      <c r="F999" t="s">
        <v>26</v>
      </c>
      <c r="G999">
        <v>78</v>
      </c>
      <c r="H999" s="3">
        <v>235.69356375172592</v>
      </c>
      <c r="I999" s="3">
        <f>ProductLine[[#This Row],[Units]]*ProductLine[[#This Row],[Dollars]]</f>
        <v>18384.097972634623</v>
      </c>
    </row>
    <row r="1000" spans="1:9" x14ac:dyDescent="0.35">
      <c r="A1000">
        <v>999</v>
      </c>
      <c r="B1000" t="s">
        <v>11</v>
      </c>
      <c r="C1000" s="2">
        <v>38639</v>
      </c>
      <c r="D1000">
        <f>YEAR(ProductLine[[#This Row],[Date]])</f>
        <v>2005</v>
      </c>
      <c r="E1000">
        <f>MONTH(ProductLine[[#This Row],[Date]])</f>
        <v>10</v>
      </c>
      <c r="F1000" t="s">
        <v>26</v>
      </c>
      <c r="G1000">
        <v>82</v>
      </c>
      <c r="H1000" s="3">
        <v>248.12045570070282</v>
      </c>
      <c r="I1000" s="3">
        <f>ProductLine[[#This Row],[Units]]*ProductLine[[#This Row],[Dollars]]</f>
        <v>20345.87736745763</v>
      </c>
    </row>
    <row r="1001" spans="1:9" x14ac:dyDescent="0.35">
      <c r="A1001">
        <v>1000</v>
      </c>
      <c r="B1001" t="s">
        <v>14</v>
      </c>
      <c r="C1001" s="2">
        <v>38485</v>
      </c>
      <c r="D1001">
        <f>YEAR(ProductLine[[#This Row],[Date]])</f>
        <v>2005</v>
      </c>
      <c r="E1001">
        <f>MONTH(ProductLine[[#This Row],[Date]])</f>
        <v>5</v>
      </c>
      <c r="F1001" t="s">
        <v>23</v>
      </c>
      <c r="G1001">
        <v>68</v>
      </c>
      <c r="H1001" s="3">
        <v>206.8704837754205</v>
      </c>
      <c r="I1001" s="3">
        <f>ProductLine[[#This Row],[Units]]*ProductLine[[#This Row],[Dollars]]</f>
        <v>14067.192896728593</v>
      </c>
    </row>
    <row r="1002" spans="1:9" x14ac:dyDescent="0.35">
      <c r="A1002">
        <v>1001</v>
      </c>
      <c r="B1002" t="s">
        <v>14</v>
      </c>
      <c r="C1002" s="2">
        <v>38034</v>
      </c>
      <c r="D1002">
        <f>YEAR(ProductLine[[#This Row],[Date]])</f>
        <v>2004</v>
      </c>
      <c r="E1002">
        <f>MONTH(ProductLine[[#This Row],[Date]])</f>
        <v>2</v>
      </c>
      <c r="F1002" t="s">
        <v>24</v>
      </c>
      <c r="G1002">
        <v>20</v>
      </c>
      <c r="H1002" s="3">
        <v>61.598286646601295</v>
      </c>
      <c r="I1002" s="3">
        <f>ProductLine[[#This Row],[Units]]*ProductLine[[#This Row],[Dollars]]</f>
        <v>1231.965732932026</v>
      </c>
    </row>
    <row r="1003" spans="1:9" x14ac:dyDescent="0.35">
      <c r="A1003">
        <v>1002</v>
      </c>
      <c r="B1003" t="s">
        <v>13</v>
      </c>
      <c r="C1003" s="2">
        <v>38265</v>
      </c>
      <c r="D1003">
        <f>YEAR(ProductLine[[#This Row],[Date]])</f>
        <v>2004</v>
      </c>
      <c r="E1003">
        <f>MONTH(ProductLine[[#This Row],[Date]])</f>
        <v>10</v>
      </c>
      <c r="F1003" t="s">
        <v>23</v>
      </c>
      <c r="G1003">
        <v>-10</v>
      </c>
      <c r="H1003" s="3">
        <v>-28.326133240637468</v>
      </c>
      <c r="I1003" s="3">
        <f>ProductLine[[#This Row],[Units]]*ProductLine[[#This Row],[Dollars]]</f>
        <v>283.26133240637466</v>
      </c>
    </row>
    <row r="1004" spans="1:9" x14ac:dyDescent="0.35">
      <c r="A1004">
        <v>1003</v>
      </c>
      <c r="B1004" t="s">
        <v>12</v>
      </c>
      <c r="C1004" s="2">
        <v>38254</v>
      </c>
      <c r="D1004">
        <f>YEAR(ProductLine[[#This Row],[Date]])</f>
        <v>2004</v>
      </c>
      <c r="E1004">
        <f>MONTH(ProductLine[[#This Row],[Date]])</f>
        <v>9</v>
      </c>
      <c r="F1004" t="s">
        <v>26</v>
      </c>
      <c r="G1004">
        <v>94</v>
      </c>
      <c r="H1004" s="3">
        <v>283.987112843305</v>
      </c>
      <c r="I1004" s="3">
        <f>ProductLine[[#This Row],[Units]]*ProductLine[[#This Row],[Dollars]]</f>
        <v>26694.788607270671</v>
      </c>
    </row>
    <row r="1005" spans="1:9" x14ac:dyDescent="0.35">
      <c r="A1005">
        <v>1004</v>
      </c>
      <c r="B1005" t="s">
        <v>12</v>
      </c>
      <c r="C1005" s="2">
        <v>38815</v>
      </c>
      <c r="D1005">
        <f>YEAR(ProductLine[[#This Row],[Date]])</f>
        <v>2006</v>
      </c>
      <c r="E1005">
        <f>MONTH(ProductLine[[#This Row],[Date]])</f>
        <v>4</v>
      </c>
      <c r="F1005" t="s">
        <v>24</v>
      </c>
      <c r="G1005">
        <v>62</v>
      </c>
      <c r="H1005" s="3">
        <v>188.00253303300292</v>
      </c>
      <c r="I1005" s="3">
        <f>ProductLine[[#This Row],[Units]]*ProductLine[[#This Row],[Dollars]]</f>
        <v>11656.157048046181</v>
      </c>
    </row>
    <row r="1006" spans="1:9" x14ac:dyDescent="0.35">
      <c r="A1006">
        <v>1005</v>
      </c>
      <c r="B1006" t="s">
        <v>15</v>
      </c>
      <c r="C1006" s="2">
        <v>38177</v>
      </c>
      <c r="D1006">
        <f>YEAR(ProductLine[[#This Row],[Date]])</f>
        <v>2004</v>
      </c>
      <c r="E1006">
        <f>MONTH(ProductLine[[#This Row],[Date]])</f>
        <v>7</v>
      </c>
      <c r="F1006" t="s">
        <v>27</v>
      </c>
      <c r="G1006">
        <v>71</v>
      </c>
      <c r="H1006" s="3">
        <v>215.02251352159234</v>
      </c>
      <c r="I1006" s="3">
        <f>ProductLine[[#This Row],[Units]]*ProductLine[[#This Row],[Dollars]]</f>
        <v>15266.598460033056</v>
      </c>
    </row>
    <row r="1007" spans="1:9" x14ac:dyDescent="0.35">
      <c r="A1007">
        <v>1006</v>
      </c>
      <c r="B1007" t="s">
        <v>11</v>
      </c>
      <c r="C1007" s="2">
        <v>38067</v>
      </c>
      <c r="D1007">
        <f>YEAR(ProductLine[[#This Row],[Date]])</f>
        <v>2004</v>
      </c>
      <c r="E1007">
        <f>MONTH(ProductLine[[#This Row],[Date]])</f>
        <v>3</v>
      </c>
      <c r="F1007" t="s">
        <v>25</v>
      </c>
      <c r="G1007">
        <v>70</v>
      </c>
      <c r="H1007" s="3">
        <v>211.5224440500217</v>
      </c>
      <c r="I1007" s="3">
        <f>ProductLine[[#This Row],[Units]]*ProductLine[[#This Row],[Dollars]]</f>
        <v>14806.57108350152</v>
      </c>
    </row>
    <row r="1008" spans="1:9" x14ac:dyDescent="0.35">
      <c r="A1008">
        <v>1007</v>
      </c>
      <c r="B1008" t="s">
        <v>17</v>
      </c>
      <c r="C1008" s="2">
        <v>38089</v>
      </c>
      <c r="D1008">
        <f>YEAR(ProductLine[[#This Row],[Date]])</f>
        <v>2004</v>
      </c>
      <c r="E1008">
        <f>MONTH(ProductLine[[#This Row],[Date]])</f>
        <v>4</v>
      </c>
      <c r="F1008" t="s">
        <v>24</v>
      </c>
      <c r="G1008">
        <v>17</v>
      </c>
      <c r="H1008" s="3">
        <v>52.007206372460615</v>
      </c>
      <c r="I1008" s="3">
        <f>ProductLine[[#This Row],[Units]]*ProductLine[[#This Row],[Dollars]]</f>
        <v>884.12250833183043</v>
      </c>
    </row>
    <row r="1009" spans="1:9" x14ac:dyDescent="0.35">
      <c r="A1009">
        <v>1008</v>
      </c>
      <c r="B1009" t="s">
        <v>11</v>
      </c>
      <c r="C1009" s="2">
        <v>38694</v>
      </c>
      <c r="D1009">
        <f>YEAR(ProductLine[[#This Row],[Date]])</f>
        <v>2005</v>
      </c>
      <c r="E1009">
        <f>MONTH(ProductLine[[#This Row],[Date]])</f>
        <v>12</v>
      </c>
      <c r="F1009" t="s">
        <v>26</v>
      </c>
      <c r="G1009">
        <v>51</v>
      </c>
      <c r="H1009" s="3">
        <v>154.86582287521293</v>
      </c>
      <c r="I1009" s="3">
        <f>ProductLine[[#This Row],[Units]]*ProductLine[[#This Row],[Dollars]]</f>
        <v>7898.1569666358591</v>
      </c>
    </row>
    <row r="1010" spans="1:9" x14ac:dyDescent="0.35">
      <c r="A1010">
        <v>1009</v>
      </c>
      <c r="B1010" t="s">
        <v>9</v>
      </c>
      <c r="C1010" s="2">
        <v>38837</v>
      </c>
      <c r="D1010">
        <f>YEAR(ProductLine[[#This Row],[Date]])</f>
        <v>2006</v>
      </c>
      <c r="E1010">
        <f>MONTH(ProductLine[[#This Row],[Date]])</f>
        <v>4</v>
      </c>
      <c r="F1010" t="s">
        <v>27</v>
      </c>
      <c r="G1010">
        <v>70</v>
      </c>
      <c r="H1010" s="3">
        <v>212.18684363818184</v>
      </c>
      <c r="I1010" s="3">
        <f>ProductLine[[#This Row],[Units]]*ProductLine[[#This Row],[Dollars]]</f>
        <v>14853.079054672729</v>
      </c>
    </row>
    <row r="1011" spans="1:9" x14ac:dyDescent="0.35">
      <c r="A1011">
        <v>1010</v>
      </c>
      <c r="B1011" t="s">
        <v>12</v>
      </c>
      <c r="C1011" s="2">
        <v>38892</v>
      </c>
      <c r="D1011">
        <f>YEAR(ProductLine[[#This Row],[Date]])</f>
        <v>2006</v>
      </c>
      <c r="E1011">
        <f>MONTH(ProductLine[[#This Row],[Date]])</f>
        <v>6</v>
      </c>
      <c r="F1011" t="s">
        <v>26</v>
      </c>
      <c r="G1011">
        <v>94</v>
      </c>
      <c r="H1011" s="3">
        <v>283.91906780587465</v>
      </c>
      <c r="I1011" s="3">
        <f>ProductLine[[#This Row],[Units]]*ProductLine[[#This Row],[Dollars]]</f>
        <v>26688.392373752216</v>
      </c>
    </row>
    <row r="1012" spans="1:9" x14ac:dyDescent="0.35">
      <c r="A1012">
        <v>1011</v>
      </c>
      <c r="B1012" t="s">
        <v>13</v>
      </c>
      <c r="C1012" s="2">
        <v>38331</v>
      </c>
      <c r="D1012">
        <f>YEAR(ProductLine[[#This Row],[Date]])</f>
        <v>2004</v>
      </c>
      <c r="E1012">
        <f>MONTH(ProductLine[[#This Row],[Date]])</f>
        <v>12</v>
      </c>
      <c r="F1012" t="s">
        <v>27</v>
      </c>
      <c r="G1012">
        <v>70</v>
      </c>
      <c r="H1012" s="3">
        <v>211.85016457637715</v>
      </c>
      <c r="I1012" s="3">
        <f>ProductLine[[#This Row],[Units]]*ProductLine[[#This Row],[Dollars]]</f>
        <v>14829.511520346401</v>
      </c>
    </row>
    <row r="1013" spans="1:9" x14ac:dyDescent="0.35">
      <c r="A1013">
        <v>1012</v>
      </c>
      <c r="B1013" t="s">
        <v>11</v>
      </c>
      <c r="C1013" s="2">
        <v>38485</v>
      </c>
      <c r="D1013">
        <f>YEAR(ProductLine[[#This Row],[Date]])</f>
        <v>2005</v>
      </c>
      <c r="E1013">
        <f>MONTH(ProductLine[[#This Row],[Date]])</f>
        <v>5</v>
      </c>
      <c r="F1013" t="s">
        <v>23</v>
      </c>
      <c r="G1013">
        <v>89</v>
      </c>
      <c r="H1013" s="3">
        <v>269.18851021987467</v>
      </c>
      <c r="I1013" s="3">
        <f>ProductLine[[#This Row],[Units]]*ProductLine[[#This Row],[Dollars]]</f>
        <v>23957.777409568847</v>
      </c>
    </row>
    <row r="1014" spans="1:9" x14ac:dyDescent="0.35">
      <c r="A1014">
        <v>1013</v>
      </c>
      <c r="B1014" t="s">
        <v>13</v>
      </c>
      <c r="C1014" s="2">
        <v>38639</v>
      </c>
      <c r="D1014">
        <f>YEAR(ProductLine[[#This Row],[Date]])</f>
        <v>2005</v>
      </c>
      <c r="E1014">
        <f>MONTH(ProductLine[[#This Row],[Date]])</f>
        <v>10</v>
      </c>
      <c r="F1014" t="s">
        <v>23</v>
      </c>
      <c r="G1014">
        <v>26</v>
      </c>
      <c r="H1014" s="3">
        <v>79.311492307621293</v>
      </c>
      <c r="I1014" s="3">
        <f>ProductLine[[#This Row],[Units]]*ProductLine[[#This Row],[Dollars]]</f>
        <v>2062.0987999981535</v>
      </c>
    </row>
    <row r="1015" spans="1:9" x14ac:dyDescent="0.35">
      <c r="A1015">
        <v>1014</v>
      </c>
      <c r="B1015" t="s">
        <v>17</v>
      </c>
      <c r="C1015" s="2">
        <v>38694</v>
      </c>
      <c r="D1015">
        <f>YEAR(ProductLine[[#This Row],[Date]])</f>
        <v>2005</v>
      </c>
      <c r="E1015">
        <f>MONTH(ProductLine[[#This Row],[Date]])</f>
        <v>12</v>
      </c>
      <c r="F1015" t="s">
        <v>26</v>
      </c>
      <c r="G1015">
        <v>8</v>
      </c>
      <c r="H1015" s="3">
        <v>26.096472599703908</v>
      </c>
      <c r="I1015" s="3">
        <f>ProductLine[[#This Row],[Units]]*ProductLine[[#This Row],[Dollars]]</f>
        <v>208.77178079763127</v>
      </c>
    </row>
    <row r="1016" spans="1:9" x14ac:dyDescent="0.35">
      <c r="A1016">
        <v>1015</v>
      </c>
      <c r="B1016" t="s">
        <v>11</v>
      </c>
      <c r="C1016" s="2">
        <v>38749</v>
      </c>
      <c r="D1016">
        <f>YEAR(ProductLine[[#This Row],[Date]])</f>
        <v>2006</v>
      </c>
      <c r="E1016">
        <f>MONTH(ProductLine[[#This Row],[Date]])</f>
        <v>2</v>
      </c>
      <c r="F1016" t="s">
        <v>24</v>
      </c>
      <c r="G1016">
        <v>8</v>
      </c>
      <c r="H1016" s="3">
        <v>26.08199028619465</v>
      </c>
      <c r="I1016" s="3">
        <f>ProductLine[[#This Row],[Units]]*ProductLine[[#This Row],[Dollars]]</f>
        <v>208.6559222895572</v>
      </c>
    </row>
    <row r="1017" spans="1:9" x14ac:dyDescent="0.35">
      <c r="A1017">
        <v>1016</v>
      </c>
      <c r="B1017" t="s">
        <v>17</v>
      </c>
      <c r="C1017" s="2">
        <v>39002</v>
      </c>
      <c r="D1017">
        <f>YEAR(ProductLine[[#This Row],[Date]])</f>
        <v>2006</v>
      </c>
      <c r="E1017">
        <f>MONTH(ProductLine[[#This Row],[Date]])</f>
        <v>10</v>
      </c>
      <c r="F1017" t="s">
        <v>26</v>
      </c>
      <c r="G1017">
        <v>62</v>
      </c>
      <c r="H1017" s="3">
        <v>187.69110116385426</v>
      </c>
      <c r="I1017" s="3">
        <f>ProductLine[[#This Row],[Units]]*ProductLine[[#This Row],[Dollars]]</f>
        <v>11636.848272158964</v>
      </c>
    </row>
    <row r="1018" spans="1:9" x14ac:dyDescent="0.35">
      <c r="A1018">
        <v>1017</v>
      </c>
      <c r="B1018" t="s">
        <v>16</v>
      </c>
      <c r="C1018" s="2">
        <v>38947</v>
      </c>
      <c r="D1018">
        <f>YEAR(ProductLine[[#This Row],[Date]])</f>
        <v>2006</v>
      </c>
      <c r="E1018">
        <f>MONTH(ProductLine[[#This Row],[Date]])</f>
        <v>8</v>
      </c>
      <c r="F1018" t="s">
        <v>26</v>
      </c>
      <c r="G1018">
        <v>-9</v>
      </c>
      <c r="H1018" s="3">
        <v>-24.819632815121537</v>
      </c>
      <c r="I1018" s="3">
        <f>ProductLine[[#This Row],[Units]]*ProductLine[[#This Row],[Dollars]]</f>
        <v>223.37669533609383</v>
      </c>
    </row>
    <row r="1019" spans="1:9" x14ac:dyDescent="0.35">
      <c r="A1019">
        <v>1018</v>
      </c>
      <c r="B1019" t="s">
        <v>12</v>
      </c>
      <c r="C1019" s="2">
        <v>38221</v>
      </c>
      <c r="D1019">
        <f>YEAR(ProductLine[[#This Row],[Date]])</f>
        <v>2004</v>
      </c>
      <c r="E1019">
        <f>MONTH(ProductLine[[#This Row],[Date]])</f>
        <v>8</v>
      </c>
      <c r="F1019" t="s">
        <v>24</v>
      </c>
      <c r="G1019">
        <v>55</v>
      </c>
      <c r="H1019" s="3">
        <v>166.81971361139639</v>
      </c>
      <c r="I1019" s="3">
        <f>ProductLine[[#This Row],[Units]]*ProductLine[[#This Row],[Dollars]]</f>
        <v>9175.0842486268011</v>
      </c>
    </row>
    <row r="1020" spans="1:9" x14ac:dyDescent="0.35">
      <c r="A1020">
        <v>1019</v>
      </c>
      <c r="B1020" t="s">
        <v>10</v>
      </c>
      <c r="C1020" s="2">
        <v>38232</v>
      </c>
      <c r="D1020">
        <f>YEAR(ProductLine[[#This Row],[Date]])</f>
        <v>2004</v>
      </c>
      <c r="E1020">
        <f>MONTH(ProductLine[[#This Row],[Date]])</f>
        <v>9</v>
      </c>
      <c r="F1020" t="s">
        <v>25</v>
      </c>
      <c r="G1020">
        <v>71</v>
      </c>
      <c r="H1020" s="3">
        <v>215.35336056441088</v>
      </c>
      <c r="I1020" s="3">
        <f>ProductLine[[#This Row],[Units]]*ProductLine[[#This Row],[Dollars]]</f>
        <v>15290.088600073172</v>
      </c>
    </row>
    <row r="1021" spans="1:9" x14ac:dyDescent="0.35">
      <c r="A1021">
        <v>1020</v>
      </c>
      <c r="B1021" t="s">
        <v>15</v>
      </c>
      <c r="C1021" s="2">
        <v>38793</v>
      </c>
      <c r="D1021">
        <f>YEAR(ProductLine[[#This Row],[Date]])</f>
        <v>2006</v>
      </c>
      <c r="E1021">
        <f>MONTH(ProductLine[[#This Row],[Date]])</f>
        <v>3</v>
      </c>
      <c r="F1021" t="s">
        <v>27</v>
      </c>
      <c r="G1021">
        <v>5</v>
      </c>
      <c r="H1021" s="3">
        <v>17.428217544434208</v>
      </c>
      <c r="I1021" s="3">
        <f>ProductLine[[#This Row],[Units]]*ProductLine[[#This Row],[Dollars]]</f>
        <v>87.141087722171036</v>
      </c>
    </row>
    <row r="1022" spans="1:9" x14ac:dyDescent="0.35">
      <c r="A1022">
        <v>1021</v>
      </c>
      <c r="B1022" t="s">
        <v>13</v>
      </c>
      <c r="C1022" s="2">
        <v>38595</v>
      </c>
      <c r="D1022">
        <f>YEAR(ProductLine[[#This Row],[Date]])</f>
        <v>2005</v>
      </c>
      <c r="E1022">
        <f>MONTH(ProductLine[[#This Row],[Date]])</f>
        <v>8</v>
      </c>
      <c r="F1022" t="s">
        <v>24</v>
      </c>
      <c r="G1022">
        <v>28</v>
      </c>
      <c r="H1022" s="3">
        <v>86.322091823923344</v>
      </c>
      <c r="I1022" s="3">
        <f>ProductLine[[#This Row],[Units]]*ProductLine[[#This Row],[Dollars]]</f>
        <v>2417.0185710698538</v>
      </c>
    </row>
    <row r="1023" spans="1:9" x14ac:dyDescent="0.35">
      <c r="A1023">
        <v>1022</v>
      </c>
      <c r="B1023" t="s">
        <v>15</v>
      </c>
      <c r="C1023" s="2">
        <v>38848</v>
      </c>
      <c r="D1023">
        <f>YEAR(ProductLine[[#This Row],[Date]])</f>
        <v>2006</v>
      </c>
      <c r="E1023">
        <f>MONTH(ProductLine[[#This Row],[Date]])</f>
        <v>5</v>
      </c>
      <c r="F1023" t="s">
        <v>25</v>
      </c>
      <c r="G1023">
        <v>95</v>
      </c>
      <c r="H1023" s="3">
        <v>286.92674877229024</v>
      </c>
      <c r="I1023" s="3">
        <f>ProductLine[[#This Row],[Units]]*ProductLine[[#This Row],[Dollars]]</f>
        <v>27258.041133367573</v>
      </c>
    </row>
    <row r="1024" spans="1:9" x14ac:dyDescent="0.35">
      <c r="A1024">
        <v>1023</v>
      </c>
      <c r="B1024" t="s">
        <v>9</v>
      </c>
      <c r="C1024" s="2">
        <v>38617</v>
      </c>
      <c r="D1024">
        <f>YEAR(ProductLine[[#This Row],[Date]])</f>
        <v>2005</v>
      </c>
      <c r="E1024">
        <f>MONTH(ProductLine[[#This Row],[Date]])</f>
        <v>9</v>
      </c>
      <c r="F1024" t="s">
        <v>26</v>
      </c>
      <c r="G1024">
        <v>56</v>
      </c>
      <c r="H1024" s="3">
        <v>169.66853559743345</v>
      </c>
      <c r="I1024" s="3">
        <f>ProductLine[[#This Row],[Units]]*ProductLine[[#This Row],[Dollars]]</f>
        <v>9501.437993456273</v>
      </c>
    </row>
    <row r="1025" spans="1:9" x14ac:dyDescent="0.35">
      <c r="A1025">
        <v>1024</v>
      </c>
      <c r="B1025" t="s">
        <v>17</v>
      </c>
      <c r="C1025" s="2">
        <v>38650</v>
      </c>
      <c r="D1025">
        <f>YEAR(ProductLine[[#This Row],[Date]])</f>
        <v>2005</v>
      </c>
      <c r="E1025">
        <f>MONTH(ProductLine[[#This Row],[Date]])</f>
        <v>10</v>
      </c>
      <c r="F1025" t="s">
        <v>24</v>
      </c>
      <c r="G1025">
        <v>79</v>
      </c>
      <c r="H1025" s="3">
        <v>238.71622982310416</v>
      </c>
      <c r="I1025" s="3">
        <f>ProductLine[[#This Row],[Units]]*ProductLine[[#This Row],[Dollars]]</f>
        <v>18858.58215602523</v>
      </c>
    </row>
    <row r="1026" spans="1:9" x14ac:dyDescent="0.35">
      <c r="A1026">
        <v>1025</v>
      </c>
      <c r="B1026" t="s">
        <v>17</v>
      </c>
      <c r="C1026" s="2">
        <v>38562</v>
      </c>
      <c r="D1026">
        <f>YEAR(ProductLine[[#This Row],[Date]])</f>
        <v>2005</v>
      </c>
      <c r="E1026">
        <f>MONTH(ProductLine[[#This Row],[Date]])</f>
        <v>7</v>
      </c>
      <c r="F1026" t="s">
        <v>26</v>
      </c>
      <c r="G1026">
        <v>10</v>
      </c>
      <c r="H1026" s="3">
        <v>32.241149527753471</v>
      </c>
      <c r="I1026" s="3">
        <f>ProductLine[[#This Row],[Units]]*ProductLine[[#This Row],[Dollars]]</f>
        <v>322.4114952775347</v>
      </c>
    </row>
    <row r="1027" spans="1:9" x14ac:dyDescent="0.35">
      <c r="A1027">
        <v>1026</v>
      </c>
      <c r="B1027" t="s">
        <v>10</v>
      </c>
      <c r="C1027" s="2">
        <v>38254</v>
      </c>
      <c r="D1027">
        <f>YEAR(ProductLine[[#This Row],[Date]])</f>
        <v>2004</v>
      </c>
      <c r="E1027">
        <f>MONTH(ProductLine[[#This Row],[Date]])</f>
        <v>9</v>
      </c>
      <c r="F1027" t="s">
        <v>25</v>
      </c>
      <c r="G1027">
        <v>69</v>
      </c>
      <c r="H1027" s="3">
        <v>208.61631773052886</v>
      </c>
      <c r="I1027" s="3">
        <f>ProductLine[[#This Row],[Units]]*ProductLine[[#This Row],[Dollars]]</f>
        <v>14394.525923406491</v>
      </c>
    </row>
    <row r="1028" spans="1:9" x14ac:dyDescent="0.35">
      <c r="A1028">
        <v>1027</v>
      </c>
      <c r="B1028" t="s">
        <v>13</v>
      </c>
      <c r="C1028" s="2">
        <v>38793</v>
      </c>
      <c r="D1028">
        <f>YEAR(ProductLine[[#This Row],[Date]])</f>
        <v>2006</v>
      </c>
      <c r="E1028">
        <f>MONTH(ProductLine[[#This Row],[Date]])</f>
        <v>3</v>
      </c>
      <c r="F1028" t="s">
        <v>23</v>
      </c>
      <c r="G1028">
        <v>15</v>
      </c>
      <c r="H1028" s="3">
        <v>46.772430431730463</v>
      </c>
      <c r="I1028" s="3">
        <f>ProductLine[[#This Row],[Units]]*ProductLine[[#This Row],[Dollars]]</f>
        <v>701.58645647595699</v>
      </c>
    </row>
    <row r="1029" spans="1:9" x14ac:dyDescent="0.35">
      <c r="A1029">
        <v>1028</v>
      </c>
      <c r="B1029" t="s">
        <v>17</v>
      </c>
      <c r="C1029" s="2">
        <v>38749</v>
      </c>
      <c r="D1029">
        <f>YEAR(ProductLine[[#This Row],[Date]])</f>
        <v>2006</v>
      </c>
      <c r="E1029">
        <f>MONTH(ProductLine[[#This Row],[Date]])</f>
        <v>2</v>
      </c>
      <c r="F1029" t="s">
        <v>26</v>
      </c>
      <c r="G1029">
        <v>0</v>
      </c>
      <c r="H1029" s="3">
        <v>1.7760594332285693</v>
      </c>
      <c r="I1029" s="3">
        <f>ProductLine[[#This Row],[Units]]*ProductLine[[#This Row],[Dollars]]</f>
        <v>0</v>
      </c>
    </row>
    <row r="1030" spans="1:9" x14ac:dyDescent="0.35">
      <c r="A1030">
        <v>1029</v>
      </c>
      <c r="B1030" t="s">
        <v>17</v>
      </c>
      <c r="C1030" s="2">
        <v>38540</v>
      </c>
      <c r="D1030">
        <f>YEAR(ProductLine[[#This Row],[Date]])</f>
        <v>2005</v>
      </c>
      <c r="E1030">
        <f>MONTH(ProductLine[[#This Row],[Date]])</f>
        <v>7</v>
      </c>
      <c r="F1030" t="s">
        <v>25</v>
      </c>
      <c r="G1030">
        <v>78</v>
      </c>
      <c r="H1030" s="3">
        <v>236.10178950758817</v>
      </c>
      <c r="I1030" s="3">
        <f>ProductLine[[#This Row],[Units]]*ProductLine[[#This Row],[Dollars]]</f>
        <v>18415.939581591876</v>
      </c>
    </row>
    <row r="1031" spans="1:9" x14ac:dyDescent="0.35">
      <c r="A1031">
        <v>1030</v>
      </c>
      <c r="B1031" t="s">
        <v>10</v>
      </c>
      <c r="C1031" s="2">
        <v>38496</v>
      </c>
      <c r="D1031">
        <f>YEAR(ProductLine[[#This Row],[Date]])</f>
        <v>2005</v>
      </c>
      <c r="E1031">
        <f>MONTH(ProductLine[[#This Row],[Date]])</f>
        <v>5</v>
      </c>
      <c r="F1031" t="s">
        <v>27</v>
      </c>
      <c r="G1031">
        <v>89</v>
      </c>
      <c r="H1031" s="3">
        <v>268.45127891867156</v>
      </c>
      <c r="I1031" s="3">
        <f>ProductLine[[#This Row],[Units]]*ProductLine[[#This Row],[Dollars]]</f>
        <v>23892.16382376177</v>
      </c>
    </row>
    <row r="1032" spans="1:9" x14ac:dyDescent="0.35">
      <c r="A1032">
        <v>1031</v>
      </c>
      <c r="B1032" t="s">
        <v>17</v>
      </c>
      <c r="C1032" s="2">
        <v>38397</v>
      </c>
      <c r="D1032">
        <f>YEAR(ProductLine[[#This Row],[Date]])</f>
        <v>2005</v>
      </c>
      <c r="E1032">
        <f>MONTH(ProductLine[[#This Row],[Date]])</f>
        <v>2</v>
      </c>
      <c r="F1032" t="s">
        <v>27</v>
      </c>
      <c r="G1032">
        <v>94</v>
      </c>
      <c r="H1032" s="3">
        <v>284.11176896611153</v>
      </c>
      <c r="I1032" s="3">
        <f>ProductLine[[#This Row],[Units]]*ProductLine[[#This Row],[Dollars]]</f>
        <v>26706.506282814484</v>
      </c>
    </row>
    <row r="1033" spans="1:9" x14ac:dyDescent="0.35">
      <c r="A1033">
        <v>1032</v>
      </c>
      <c r="B1033" t="s">
        <v>9</v>
      </c>
      <c r="C1033" s="2">
        <v>38034</v>
      </c>
      <c r="D1033">
        <f>YEAR(ProductLine[[#This Row],[Date]])</f>
        <v>2004</v>
      </c>
      <c r="E1033">
        <f>MONTH(ProductLine[[#This Row],[Date]])</f>
        <v>2</v>
      </c>
      <c r="F1033" t="s">
        <v>27</v>
      </c>
      <c r="G1033">
        <v>-5</v>
      </c>
      <c r="H1033" s="3">
        <v>-13.090742445919402</v>
      </c>
      <c r="I1033" s="3">
        <f>ProductLine[[#This Row],[Units]]*ProductLine[[#This Row],[Dollars]]</f>
        <v>65.453712229597002</v>
      </c>
    </row>
    <row r="1034" spans="1:9" x14ac:dyDescent="0.35">
      <c r="A1034">
        <v>1033</v>
      </c>
      <c r="B1034" t="s">
        <v>10</v>
      </c>
      <c r="C1034" s="2">
        <v>39057</v>
      </c>
      <c r="D1034">
        <f>YEAR(ProductLine[[#This Row],[Date]])</f>
        <v>2006</v>
      </c>
      <c r="E1034">
        <f>MONTH(ProductLine[[#This Row],[Date]])</f>
        <v>12</v>
      </c>
      <c r="F1034" t="s">
        <v>23</v>
      </c>
      <c r="G1034">
        <v>42</v>
      </c>
      <c r="H1034" s="3">
        <v>127.95167625422781</v>
      </c>
      <c r="I1034" s="3">
        <f>ProductLine[[#This Row],[Units]]*ProductLine[[#This Row],[Dollars]]</f>
        <v>5373.970402677568</v>
      </c>
    </row>
    <row r="1035" spans="1:9" x14ac:dyDescent="0.35">
      <c r="A1035">
        <v>1034</v>
      </c>
      <c r="B1035" t="s">
        <v>15</v>
      </c>
      <c r="C1035" s="2">
        <v>38980</v>
      </c>
      <c r="D1035">
        <f>YEAR(ProductLine[[#This Row],[Date]])</f>
        <v>2006</v>
      </c>
      <c r="E1035">
        <f>MONTH(ProductLine[[#This Row],[Date]])</f>
        <v>9</v>
      </c>
      <c r="F1035" t="s">
        <v>26</v>
      </c>
      <c r="G1035">
        <v>9</v>
      </c>
      <c r="H1035" s="3">
        <v>29.027293052396654</v>
      </c>
      <c r="I1035" s="3">
        <f>ProductLine[[#This Row],[Units]]*ProductLine[[#This Row],[Dollars]]</f>
        <v>261.24563747156986</v>
      </c>
    </row>
    <row r="1036" spans="1:9" x14ac:dyDescent="0.35">
      <c r="A1036">
        <v>1035</v>
      </c>
      <c r="B1036" t="s">
        <v>15</v>
      </c>
      <c r="C1036" s="2">
        <v>38452</v>
      </c>
      <c r="D1036">
        <f>YEAR(ProductLine[[#This Row],[Date]])</f>
        <v>2005</v>
      </c>
      <c r="E1036">
        <f>MONTH(ProductLine[[#This Row],[Date]])</f>
        <v>4</v>
      </c>
      <c r="F1036" t="s">
        <v>24</v>
      </c>
      <c r="G1036">
        <v>8</v>
      </c>
      <c r="H1036" s="3">
        <v>26.399425452966565</v>
      </c>
      <c r="I1036" s="3">
        <f>ProductLine[[#This Row],[Units]]*ProductLine[[#This Row],[Dollars]]</f>
        <v>211.19540362373252</v>
      </c>
    </row>
    <row r="1037" spans="1:9" x14ac:dyDescent="0.35">
      <c r="A1037">
        <v>1036</v>
      </c>
      <c r="B1037" t="s">
        <v>9</v>
      </c>
      <c r="C1037" s="2">
        <v>38210</v>
      </c>
      <c r="D1037">
        <f>YEAR(ProductLine[[#This Row],[Date]])</f>
        <v>2004</v>
      </c>
      <c r="E1037">
        <f>MONTH(ProductLine[[#This Row],[Date]])</f>
        <v>8</v>
      </c>
      <c r="F1037" t="s">
        <v>24</v>
      </c>
      <c r="G1037">
        <v>69</v>
      </c>
      <c r="H1037" s="3">
        <v>209.14573718458519</v>
      </c>
      <c r="I1037" s="3">
        <f>ProductLine[[#This Row],[Units]]*ProductLine[[#This Row],[Dollars]]</f>
        <v>14431.055865736378</v>
      </c>
    </row>
    <row r="1038" spans="1:9" x14ac:dyDescent="0.35">
      <c r="A1038">
        <v>1037</v>
      </c>
      <c r="B1038" t="s">
        <v>14</v>
      </c>
      <c r="C1038" s="2">
        <v>39002</v>
      </c>
      <c r="D1038">
        <f>YEAR(ProductLine[[#This Row],[Date]])</f>
        <v>2006</v>
      </c>
      <c r="E1038">
        <f>MONTH(ProductLine[[#This Row],[Date]])</f>
        <v>10</v>
      </c>
      <c r="F1038" t="s">
        <v>27</v>
      </c>
      <c r="G1038">
        <v>2</v>
      </c>
      <c r="H1038" s="3">
        <v>7.7270735524440131</v>
      </c>
      <c r="I1038" s="3">
        <f>ProductLine[[#This Row],[Units]]*ProductLine[[#This Row],[Dollars]]</f>
        <v>15.454147104888026</v>
      </c>
    </row>
    <row r="1039" spans="1:9" x14ac:dyDescent="0.35">
      <c r="A1039">
        <v>1038</v>
      </c>
      <c r="B1039" t="s">
        <v>17</v>
      </c>
      <c r="C1039" s="2">
        <v>38254</v>
      </c>
      <c r="D1039">
        <f>YEAR(ProductLine[[#This Row],[Date]])</f>
        <v>2004</v>
      </c>
      <c r="E1039">
        <f>MONTH(ProductLine[[#This Row],[Date]])</f>
        <v>9</v>
      </c>
      <c r="F1039" t="s">
        <v>26</v>
      </c>
      <c r="G1039">
        <v>3</v>
      </c>
      <c r="H1039" s="3">
        <v>10.487455049777733</v>
      </c>
      <c r="I1039" s="3">
        <f>ProductLine[[#This Row],[Units]]*ProductLine[[#This Row],[Dollars]]</f>
        <v>31.462365149333198</v>
      </c>
    </row>
    <row r="1040" spans="1:9" x14ac:dyDescent="0.35">
      <c r="A1040">
        <v>1039</v>
      </c>
      <c r="B1040" t="s">
        <v>15</v>
      </c>
      <c r="C1040" s="2">
        <v>38518</v>
      </c>
      <c r="D1040">
        <f>YEAR(ProductLine[[#This Row],[Date]])</f>
        <v>2005</v>
      </c>
      <c r="E1040">
        <f>MONTH(ProductLine[[#This Row],[Date]])</f>
        <v>6</v>
      </c>
      <c r="F1040" t="s">
        <v>25</v>
      </c>
      <c r="G1040">
        <v>76</v>
      </c>
      <c r="H1040" s="3">
        <v>230.14134634452847</v>
      </c>
      <c r="I1040" s="3">
        <f>ProductLine[[#This Row],[Units]]*ProductLine[[#This Row],[Dollars]]</f>
        <v>17490.742322184164</v>
      </c>
    </row>
    <row r="1041" spans="1:9" x14ac:dyDescent="0.35">
      <c r="A1041">
        <v>1040</v>
      </c>
      <c r="B1041" t="s">
        <v>14</v>
      </c>
      <c r="C1041" s="2">
        <v>38166</v>
      </c>
      <c r="D1041">
        <f>YEAR(ProductLine[[#This Row],[Date]])</f>
        <v>2004</v>
      </c>
      <c r="E1041">
        <f>MONTH(ProductLine[[#This Row],[Date]])</f>
        <v>6</v>
      </c>
      <c r="F1041" t="s">
        <v>26</v>
      </c>
      <c r="G1041">
        <v>-7</v>
      </c>
      <c r="H1041" s="3">
        <v>-18.434662066971001</v>
      </c>
      <c r="I1041" s="3">
        <f>ProductLine[[#This Row],[Units]]*ProductLine[[#This Row],[Dollars]]</f>
        <v>129.04263446879702</v>
      </c>
    </row>
    <row r="1042" spans="1:9" x14ac:dyDescent="0.35">
      <c r="A1042">
        <v>1041</v>
      </c>
      <c r="B1042" t="s">
        <v>13</v>
      </c>
      <c r="C1042" s="2">
        <v>38903</v>
      </c>
      <c r="D1042">
        <f>YEAR(ProductLine[[#This Row],[Date]])</f>
        <v>2006</v>
      </c>
      <c r="E1042">
        <f>MONTH(ProductLine[[#This Row],[Date]])</f>
        <v>7</v>
      </c>
      <c r="F1042" t="s">
        <v>27</v>
      </c>
      <c r="G1042">
        <v>24</v>
      </c>
      <c r="H1042" s="3">
        <v>74.040343042743388</v>
      </c>
      <c r="I1042" s="3">
        <f>ProductLine[[#This Row],[Units]]*ProductLine[[#This Row],[Dollars]]</f>
        <v>1776.9682330258413</v>
      </c>
    </row>
    <row r="1043" spans="1:9" x14ac:dyDescent="0.35">
      <c r="A1043">
        <v>1042</v>
      </c>
      <c r="B1043" t="s">
        <v>16</v>
      </c>
      <c r="C1043" s="2">
        <v>38969</v>
      </c>
      <c r="D1043">
        <f>YEAR(ProductLine[[#This Row],[Date]])</f>
        <v>2006</v>
      </c>
      <c r="E1043">
        <f>MONTH(ProductLine[[#This Row],[Date]])</f>
        <v>9</v>
      </c>
      <c r="F1043" t="s">
        <v>24</v>
      </c>
      <c r="G1043">
        <v>35</v>
      </c>
      <c r="H1043" s="3">
        <v>106.66944991477989</v>
      </c>
      <c r="I1043" s="3">
        <f>ProductLine[[#This Row],[Units]]*ProductLine[[#This Row],[Dollars]]</f>
        <v>3733.4307470172962</v>
      </c>
    </row>
    <row r="1044" spans="1:9" x14ac:dyDescent="0.35">
      <c r="A1044">
        <v>1043</v>
      </c>
      <c r="B1044" t="s">
        <v>17</v>
      </c>
      <c r="C1044" s="2">
        <v>38067</v>
      </c>
      <c r="D1044">
        <f>YEAR(ProductLine[[#This Row],[Date]])</f>
        <v>2004</v>
      </c>
      <c r="E1044">
        <f>MONTH(ProductLine[[#This Row],[Date]])</f>
        <v>3</v>
      </c>
      <c r="F1044" t="s">
        <v>24</v>
      </c>
      <c r="G1044">
        <v>23</v>
      </c>
      <c r="H1044" s="3">
        <v>71.099513118305453</v>
      </c>
      <c r="I1044" s="3">
        <f>ProductLine[[#This Row],[Units]]*ProductLine[[#This Row],[Dollars]]</f>
        <v>1635.2888017210255</v>
      </c>
    </row>
    <row r="1045" spans="1:9" x14ac:dyDescent="0.35">
      <c r="A1045">
        <v>1044</v>
      </c>
      <c r="B1045" t="s">
        <v>12</v>
      </c>
      <c r="C1045" s="2">
        <v>38837</v>
      </c>
      <c r="D1045">
        <f>YEAR(ProductLine[[#This Row],[Date]])</f>
        <v>2006</v>
      </c>
      <c r="E1045">
        <f>MONTH(ProductLine[[#This Row],[Date]])</f>
        <v>4</v>
      </c>
      <c r="F1045" t="s">
        <v>26</v>
      </c>
      <c r="G1045">
        <v>32</v>
      </c>
      <c r="H1045" s="3">
        <v>97.982599723305</v>
      </c>
      <c r="I1045" s="3">
        <f>ProductLine[[#This Row],[Units]]*ProductLine[[#This Row],[Dollars]]</f>
        <v>3135.44319114576</v>
      </c>
    </row>
    <row r="1046" spans="1:9" x14ac:dyDescent="0.35">
      <c r="A1046">
        <v>1045</v>
      </c>
      <c r="B1046" t="s">
        <v>14</v>
      </c>
      <c r="C1046" s="2">
        <v>38232</v>
      </c>
      <c r="D1046">
        <f>YEAR(ProductLine[[#This Row],[Date]])</f>
        <v>2004</v>
      </c>
      <c r="E1046">
        <f>MONTH(ProductLine[[#This Row],[Date]])</f>
        <v>9</v>
      </c>
      <c r="F1046" t="s">
        <v>27</v>
      </c>
      <c r="G1046">
        <v>46</v>
      </c>
      <c r="H1046" s="3">
        <v>139.82203886104327</v>
      </c>
      <c r="I1046" s="3">
        <f>ProductLine[[#This Row],[Units]]*ProductLine[[#This Row],[Dollars]]</f>
        <v>6431.81378760799</v>
      </c>
    </row>
    <row r="1047" spans="1:9" x14ac:dyDescent="0.35">
      <c r="A1047">
        <v>1046</v>
      </c>
      <c r="B1047" t="s">
        <v>17</v>
      </c>
      <c r="C1047" s="2">
        <v>38023</v>
      </c>
      <c r="D1047">
        <f>YEAR(ProductLine[[#This Row],[Date]])</f>
        <v>2004</v>
      </c>
      <c r="E1047">
        <f>MONTH(ProductLine[[#This Row],[Date]])</f>
        <v>2</v>
      </c>
      <c r="F1047" t="s">
        <v>23</v>
      </c>
      <c r="G1047">
        <v>28</v>
      </c>
      <c r="H1047" s="3">
        <v>85.913586896960894</v>
      </c>
      <c r="I1047" s="3">
        <f>ProductLine[[#This Row],[Units]]*ProductLine[[#This Row],[Dollars]]</f>
        <v>2405.5804331149052</v>
      </c>
    </row>
    <row r="1048" spans="1:9" x14ac:dyDescent="0.35">
      <c r="A1048">
        <v>1047</v>
      </c>
      <c r="B1048" t="s">
        <v>17</v>
      </c>
      <c r="C1048" s="2">
        <v>38386</v>
      </c>
      <c r="D1048">
        <f>YEAR(ProductLine[[#This Row],[Date]])</f>
        <v>2005</v>
      </c>
      <c r="E1048">
        <f>MONTH(ProductLine[[#This Row],[Date]])</f>
        <v>2</v>
      </c>
      <c r="F1048" t="s">
        <v>25</v>
      </c>
      <c r="G1048">
        <v>58</v>
      </c>
      <c r="H1048" s="3">
        <v>176.38262351251041</v>
      </c>
      <c r="I1048" s="3">
        <f>ProductLine[[#This Row],[Units]]*ProductLine[[#This Row],[Dollars]]</f>
        <v>10230.192163725604</v>
      </c>
    </row>
    <row r="1049" spans="1:9" x14ac:dyDescent="0.35">
      <c r="A1049">
        <v>1048</v>
      </c>
      <c r="B1049" t="s">
        <v>15</v>
      </c>
      <c r="C1049" s="2">
        <v>38672</v>
      </c>
      <c r="D1049">
        <f>YEAR(ProductLine[[#This Row],[Date]])</f>
        <v>2005</v>
      </c>
      <c r="E1049">
        <f>MONTH(ProductLine[[#This Row],[Date]])</f>
        <v>11</v>
      </c>
      <c r="F1049" t="s">
        <v>23</v>
      </c>
      <c r="G1049">
        <v>19</v>
      </c>
      <c r="H1049" s="3">
        <v>59.083968230358913</v>
      </c>
      <c r="I1049" s="3">
        <f>ProductLine[[#This Row],[Units]]*ProductLine[[#This Row],[Dollars]]</f>
        <v>1122.5953963768193</v>
      </c>
    </row>
    <row r="1050" spans="1:9" x14ac:dyDescent="0.35">
      <c r="A1050">
        <v>1049</v>
      </c>
      <c r="B1050" t="s">
        <v>13</v>
      </c>
      <c r="C1050" s="2">
        <v>38210</v>
      </c>
      <c r="D1050">
        <f>YEAR(ProductLine[[#This Row],[Date]])</f>
        <v>2004</v>
      </c>
      <c r="E1050">
        <f>MONTH(ProductLine[[#This Row],[Date]])</f>
        <v>8</v>
      </c>
      <c r="F1050" t="s">
        <v>23</v>
      </c>
      <c r="G1050">
        <v>79</v>
      </c>
      <c r="H1050" s="3">
        <v>238.63617965265877</v>
      </c>
      <c r="I1050" s="3">
        <f>ProductLine[[#This Row],[Units]]*ProductLine[[#This Row],[Dollars]]</f>
        <v>18852.258192560043</v>
      </c>
    </row>
    <row r="1051" spans="1:9" x14ac:dyDescent="0.35">
      <c r="A1051">
        <v>1050</v>
      </c>
      <c r="B1051" t="s">
        <v>9</v>
      </c>
      <c r="C1051" s="2">
        <v>38331</v>
      </c>
      <c r="D1051">
        <f>YEAR(ProductLine[[#This Row],[Date]])</f>
        <v>2004</v>
      </c>
      <c r="E1051">
        <f>MONTH(ProductLine[[#This Row],[Date]])</f>
        <v>12</v>
      </c>
      <c r="F1051" t="s">
        <v>27</v>
      </c>
      <c r="G1051">
        <v>31</v>
      </c>
      <c r="H1051" s="3">
        <v>94.124548214467538</v>
      </c>
      <c r="I1051" s="3">
        <f>ProductLine[[#This Row],[Units]]*ProductLine[[#This Row],[Dollars]]</f>
        <v>2917.8609946484935</v>
      </c>
    </row>
    <row r="1052" spans="1:9" x14ac:dyDescent="0.35">
      <c r="A1052">
        <v>1051</v>
      </c>
      <c r="B1052" t="s">
        <v>17</v>
      </c>
      <c r="C1052" s="2">
        <v>38672</v>
      </c>
      <c r="D1052">
        <f>YEAR(ProductLine[[#This Row],[Date]])</f>
        <v>2005</v>
      </c>
      <c r="E1052">
        <f>MONTH(ProductLine[[#This Row],[Date]])</f>
        <v>11</v>
      </c>
      <c r="F1052" t="s">
        <v>26</v>
      </c>
      <c r="G1052">
        <v>4</v>
      </c>
      <c r="H1052" s="3">
        <v>14.292798170188892</v>
      </c>
      <c r="I1052" s="3">
        <f>ProductLine[[#This Row],[Units]]*ProductLine[[#This Row],[Dollars]]</f>
        <v>57.171192680755567</v>
      </c>
    </row>
    <row r="1053" spans="1:9" x14ac:dyDescent="0.35">
      <c r="A1053">
        <v>1052</v>
      </c>
      <c r="B1053" t="s">
        <v>13</v>
      </c>
      <c r="C1053" s="2">
        <v>38804</v>
      </c>
      <c r="D1053">
        <f>YEAR(ProductLine[[#This Row],[Date]])</f>
        <v>2006</v>
      </c>
      <c r="E1053">
        <f>MONTH(ProductLine[[#This Row],[Date]])</f>
        <v>3</v>
      </c>
      <c r="F1053" t="s">
        <v>24</v>
      </c>
      <c r="G1053">
        <v>91</v>
      </c>
      <c r="H1053" s="3">
        <v>275.5094232943423</v>
      </c>
      <c r="I1053" s="3">
        <f>ProductLine[[#This Row],[Units]]*ProductLine[[#This Row],[Dollars]]</f>
        <v>25071.35751978515</v>
      </c>
    </row>
    <row r="1054" spans="1:9" x14ac:dyDescent="0.35">
      <c r="A1054">
        <v>1053</v>
      </c>
      <c r="B1054" t="s">
        <v>10</v>
      </c>
      <c r="C1054" s="2">
        <v>38518</v>
      </c>
      <c r="D1054">
        <f>YEAR(ProductLine[[#This Row],[Date]])</f>
        <v>2005</v>
      </c>
      <c r="E1054">
        <f>MONTH(ProductLine[[#This Row],[Date]])</f>
        <v>6</v>
      </c>
      <c r="F1054" t="s">
        <v>23</v>
      </c>
      <c r="G1054">
        <v>51</v>
      </c>
      <c r="H1054" s="3">
        <v>154.74630946716462</v>
      </c>
      <c r="I1054" s="3">
        <f>ProductLine[[#This Row],[Units]]*ProductLine[[#This Row],[Dollars]]</f>
        <v>7892.0617828253953</v>
      </c>
    </row>
    <row r="1055" spans="1:9" x14ac:dyDescent="0.35">
      <c r="A1055">
        <v>1054</v>
      </c>
      <c r="B1055" t="s">
        <v>15</v>
      </c>
      <c r="C1055" s="2">
        <v>38001</v>
      </c>
      <c r="D1055">
        <f>YEAR(ProductLine[[#This Row],[Date]])</f>
        <v>2004</v>
      </c>
      <c r="E1055">
        <f>MONTH(ProductLine[[#This Row],[Date]])</f>
        <v>1</v>
      </c>
      <c r="F1055" t="s">
        <v>26</v>
      </c>
      <c r="G1055">
        <v>2</v>
      </c>
      <c r="H1055" s="3">
        <v>8.3443048208269879</v>
      </c>
      <c r="I1055" s="3">
        <f>ProductLine[[#This Row],[Units]]*ProductLine[[#This Row],[Dollars]]</f>
        <v>16.688609641653976</v>
      </c>
    </row>
    <row r="1056" spans="1:9" x14ac:dyDescent="0.35">
      <c r="A1056">
        <v>1055</v>
      </c>
      <c r="B1056" t="s">
        <v>16</v>
      </c>
      <c r="C1056" s="2">
        <v>38540</v>
      </c>
      <c r="D1056">
        <f>YEAR(ProductLine[[#This Row],[Date]])</f>
        <v>2005</v>
      </c>
      <c r="E1056">
        <f>MONTH(ProductLine[[#This Row],[Date]])</f>
        <v>7</v>
      </c>
      <c r="F1056" t="s">
        <v>25</v>
      </c>
      <c r="G1056">
        <v>42</v>
      </c>
      <c r="H1056" s="3">
        <v>127.68402675435583</v>
      </c>
      <c r="I1056" s="3">
        <f>ProductLine[[#This Row],[Units]]*ProductLine[[#This Row],[Dollars]]</f>
        <v>5362.7291236829451</v>
      </c>
    </row>
    <row r="1057" spans="1:9" x14ac:dyDescent="0.35">
      <c r="A1057">
        <v>1056</v>
      </c>
      <c r="B1057" t="s">
        <v>9</v>
      </c>
      <c r="C1057" s="2">
        <v>38309</v>
      </c>
      <c r="D1057">
        <f>YEAR(ProductLine[[#This Row],[Date]])</f>
        <v>2004</v>
      </c>
      <c r="E1057">
        <f>MONTH(ProductLine[[#This Row],[Date]])</f>
        <v>11</v>
      </c>
      <c r="F1057" t="s">
        <v>23</v>
      </c>
      <c r="G1057">
        <v>57</v>
      </c>
      <c r="H1057" s="3">
        <v>173.09988607692904</v>
      </c>
      <c r="I1057" s="3">
        <f>ProductLine[[#This Row],[Units]]*ProductLine[[#This Row],[Dollars]]</f>
        <v>9866.693506384956</v>
      </c>
    </row>
    <row r="1058" spans="1:9" x14ac:dyDescent="0.35">
      <c r="A1058">
        <v>1057</v>
      </c>
      <c r="B1058" t="s">
        <v>13</v>
      </c>
      <c r="C1058" s="2">
        <v>38254</v>
      </c>
      <c r="D1058">
        <f>YEAR(ProductLine[[#This Row],[Date]])</f>
        <v>2004</v>
      </c>
      <c r="E1058">
        <f>MONTH(ProductLine[[#This Row],[Date]])</f>
        <v>9</v>
      </c>
      <c r="F1058" t="s">
        <v>24</v>
      </c>
      <c r="G1058">
        <v>63</v>
      </c>
      <c r="H1058" s="3">
        <v>190.20945346469671</v>
      </c>
      <c r="I1058" s="3">
        <f>ProductLine[[#This Row],[Units]]*ProductLine[[#This Row],[Dollars]]</f>
        <v>11983.195568275893</v>
      </c>
    </row>
    <row r="1059" spans="1:9" x14ac:dyDescent="0.35">
      <c r="A1059">
        <v>1058</v>
      </c>
      <c r="B1059" t="s">
        <v>9</v>
      </c>
      <c r="C1059" s="2">
        <v>38111</v>
      </c>
      <c r="D1059">
        <f>YEAR(ProductLine[[#This Row],[Date]])</f>
        <v>2004</v>
      </c>
      <c r="E1059">
        <f>MONTH(ProductLine[[#This Row],[Date]])</f>
        <v>5</v>
      </c>
      <c r="F1059" t="s">
        <v>27</v>
      </c>
      <c r="G1059">
        <v>37</v>
      </c>
      <c r="H1059" s="3">
        <v>112.97090107811077</v>
      </c>
      <c r="I1059" s="3">
        <f>ProductLine[[#This Row],[Units]]*ProductLine[[#This Row],[Dollars]]</f>
        <v>4179.9233398900988</v>
      </c>
    </row>
    <row r="1060" spans="1:9" x14ac:dyDescent="0.35">
      <c r="A1060">
        <v>1059</v>
      </c>
      <c r="B1060" t="s">
        <v>9</v>
      </c>
      <c r="C1060" s="2">
        <v>38056</v>
      </c>
      <c r="D1060">
        <f>YEAR(ProductLine[[#This Row],[Date]])</f>
        <v>2004</v>
      </c>
      <c r="E1060">
        <f>MONTH(ProductLine[[#This Row],[Date]])</f>
        <v>3</v>
      </c>
      <c r="F1060" t="s">
        <v>23</v>
      </c>
      <c r="G1060">
        <v>30</v>
      </c>
      <c r="H1060" s="3">
        <v>92.612099918838155</v>
      </c>
      <c r="I1060" s="3">
        <f>ProductLine[[#This Row],[Units]]*ProductLine[[#This Row],[Dollars]]</f>
        <v>2778.3629975651447</v>
      </c>
    </row>
    <row r="1061" spans="1:9" x14ac:dyDescent="0.35">
      <c r="A1061">
        <v>1060</v>
      </c>
      <c r="B1061" t="s">
        <v>10</v>
      </c>
      <c r="C1061" s="2">
        <v>38804</v>
      </c>
      <c r="D1061">
        <f>YEAR(ProductLine[[#This Row],[Date]])</f>
        <v>2006</v>
      </c>
      <c r="E1061">
        <f>MONTH(ProductLine[[#This Row],[Date]])</f>
        <v>3</v>
      </c>
      <c r="F1061" t="s">
        <v>24</v>
      </c>
      <c r="G1061">
        <v>31</v>
      </c>
      <c r="H1061" s="3">
        <v>95.22083891239123</v>
      </c>
      <c r="I1061" s="3">
        <f>ProductLine[[#This Row],[Units]]*ProductLine[[#This Row],[Dollars]]</f>
        <v>2951.8460062841282</v>
      </c>
    </row>
    <row r="1062" spans="1:9" x14ac:dyDescent="0.35">
      <c r="A1062">
        <v>1061</v>
      </c>
      <c r="B1062" t="s">
        <v>14</v>
      </c>
      <c r="C1062" s="2">
        <v>38056</v>
      </c>
      <c r="D1062">
        <f>YEAR(ProductLine[[#This Row],[Date]])</f>
        <v>2004</v>
      </c>
      <c r="E1062">
        <f>MONTH(ProductLine[[#This Row],[Date]])</f>
        <v>3</v>
      </c>
      <c r="F1062" t="s">
        <v>26</v>
      </c>
      <c r="G1062">
        <v>55</v>
      </c>
      <c r="H1062" s="3">
        <v>167.32540465961139</v>
      </c>
      <c r="I1062" s="3">
        <f>ProductLine[[#This Row],[Units]]*ProductLine[[#This Row],[Dollars]]</f>
        <v>9202.8972562786275</v>
      </c>
    </row>
    <row r="1063" spans="1:9" x14ac:dyDescent="0.35">
      <c r="A1063">
        <v>1062</v>
      </c>
      <c r="B1063" t="s">
        <v>16</v>
      </c>
      <c r="C1063" s="2">
        <v>38705</v>
      </c>
      <c r="D1063">
        <f>YEAR(ProductLine[[#This Row],[Date]])</f>
        <v>2005</v>
      </c>
      <c r="E1063">
        <f>MONTH(ProductLine[[#This Row],[Date]])</f>
        <v>12</v>
      </c>
      <c r="F1063" t="s">
        <v>26</v>
      </c>
      <c r="G1063">
        <v>-5</v>
      </c>
      <c r="H1063" s="3">
        <v>-12.643881441117404</v>
      </c>
      <c r="I1063" s="3">
        <f>ProductLine[[#This Row],[Units]]*ProductLine[[#This Row],[Dollars]]</f>
        <v>63.219407205587018</v>
      </c>
    </row>
    <row r="1064" spans="1:9" x14ac:dyDescent="0.35">
      <c r="A1064">
        <v>1063</v>
      </c>
      <c r="B1064" t="s">
        <v>12</v>
      </c>
      <c r="C1064" s="2">
        <v>38100</v>
      </c>
      <c r="D1064">
        <f>YEAR(ProductLine[[#This Row],[Date]])</f>
        <v>2004</v>
      </c>
      <c r="E1064">
        <f>MONTH(ProductLine[[#This Row],[Date]])</f>
        <v>4</v>
      </c>
      <c r="F1064" t="s">
        <v>23</v>
      </c>
      <c r="G1064">
        <v>28</v>
      </c>
      <c r="H1064" s="3">
        <v>85.460904685258157</v>
      </c>
      <c r="I1064" s="3">
        <f>ProductLine[[#This Row],[Units]]*ProductLine[[#This Row],[Dollars]]</f>
        <v>2392.9053311872285</v>
      </c>
    </row>
    <row r="1065" spans="1:9" x14ac:dyDescent="0.35">
      <c r="A1065">
        <v>1064</v>
      </c>
      <c r="B1065" t="s">
        <v>15</v>
      </c>
      <c r="C1065" s="2">
        <v>38584</v>
      </c>
      <c r="D1065">
        <f>YEAR(ProductLine[[#This Row],[Date]])</f>
        <v>2005</v>
      </c>
      <c r="E1065">
        <f>MONTH(ProductLine[[#This Row],[Date]])</f>
        <v>8</v>
      </c>
      <c r="F1065" t="s">
        <v>26</v>
      </c>
      <c r="G1065">
        <v>93</v>
      </c>
      <c r="H1065" s="3">
        <v>280.15032356040319</v>
      </c>
      <c r="I1065" s="3">
        <f>ProductLine[[#This Row],[Units]]*ProductLine[[#This Row],[Dollars]]</f>
        <v>26053.980091117497</v>
      </c>
    </row>
    <row r="1066" spans="1:9" x14ac:dyDescent="0.35">
      <c r="A1066">
        <v>1065</v>
      </c>
      <c r="B1066" t="s">
        <v>16</v>
      </c>
      <c r="C1066" s="2">
        <v>38639</v>
      </c>
      <c r="D1066">
        <f>YEAR(ProductLine[[#This Row],[Date]])</f>
        <v>2005</v>
      </c>
      <c r="E1066">
        <f>MONTH(ProductLine[[#This Row],[Date]])</f>
        <v>10</v>
      </c>
      <c r="F1066" t="s">
        <v>25</v>
      </c>
      <c r="G1066">
        <v>13</v>
      </c>
      <c r="H1066" s="3">
        <v>40.969412971677201</v>
      </c>
      <c r="I1066" s="3">
        <f>ProductLine[[#This Row],[Units]]*ProductLine[[#This Row],[Dollars]]</f>
        <v>532.60236863180364</v>
      </c>
    </row>
    <row r="1067" spans="1:9" x14ac:dyDescent="0.35">
      <c r="A1067">
        <v>1066</v>
      </c>
      <c r="B1067" t="s">
        <v>9</v>
      </c>
      <c r="C1067" s="2">
        <v>38782</v>
      </c>
      <c r="D1067">
        <f>YEAR(ProductLine[[#This Row],[Date]])</f>
        <v>2006</v>
      </c>
      <c r="E1067">
        <f>MONTH(ProductLine[[#This Row],[Date]])</f>
        <v>3</v>
      </c>
      <c r="F1067" t="s">
        <v>24</v>
      </c>
      <c r="G1067">
        <v>94</v>
      </c>
      <c r="H1067" s="3">
        <v>283.90021520553751</v>
      </c>
      <c r="I1067" s="3">
        <f>ProductLine[[#This Row],[Units]]*ProductLine[[#This Row],[Dollars]]</f>
        <v>26686.620229320524</v>
      </c>
    </row>
    <row r="1068" spans="1:9" x14ac:dyDescent="0.35">
      <c r="A1068">
        <v>1067</v>
      </c>
      <c r="B1068" t="s">
        <v>16</v>
      </c>
      <c r="C1068" s="2">
        <v>38430</v>
      </c>
      <c r="D1068">
        <f>YEAR(ProductLine[[#This Row],[Date]])</f>
        <v>2005</v>
      </c>
      <c r="E1068">
        <f>MONTH(ProductLine[[#This Row],[Date]])</f>
        <v>3</v>
      </c>
      <c r="F1068" t="s">
        <v>24</v>
      </c>
      <c r="G1068">
        <v>1</v>
      </c>
      <c r="H1068" s="3">
        <v>4.8568701800652914</v>
      </c>
      <c r="I1068" s="3">
        <f>ProductLine[[#This Row],[Units]]*ProductLine[[#This Row],[Dollars]]</f>
        <v>4.8568701800652914</v>
      </c>
    </row>
    <row r="1069" spans="1:9" x14ac:dyDescent="0.35">
      <c r="A1069">
        <v>1068</v>
      </c>
      <c r="B1069" t="s">
        <v>17</v>
      </c>
      <c r="C1069" s="2">
        <v>38628</v>
      </c>
      <c r="D1069">
        <f>YEAR(ProductLine[[#This Row],[Date]])</f>
        <v>2005</v>
      </c>
      <c r="E1069">
        <f>MONTH(ProductLine[[#This Row],[Date]])</f>
        <v>10</v>
      </c>
      <c r="F1069" t="s">
        <v>24</v>
      </c>
      <c r="G1069">
        <v>5</v>
      </c>
      <c r="H1069" s="3">
        <v>16.493067805841463</v>
      </c>
      <c r="I1069" s="3">
        <f>ProductLine[[#This Row],[Units]]*ProductLine[[#This Row],[Dollars]]</f>
        <v>82.465339029207314</v>
      </c>
    </row>
    <row r="1070" spans="1:9" x14ac:dyDescent="0.35">
      <c r="A1070">
        <v>1069</v>
      </c>
      <c r="B1070" t="s">
        <v>13</v>
      </c>
      <c r="C1070" s="2">
        <v>38870</v>
      </c>
      <c r="D1070">
        <f>YEAR(ProductLine[[#This Row],[Date]])</f>
        <v>2006</v>
      </c>
      <c r="E1070">
        <f>MONTH(ProductLine[[#This Row],[Date]])</f>
        <v>6</v>
      </c>
      <c r="F1070" t="s">
        <v>27</v>
      </c>
      <c r="G1070">
        <v>60</v>
      </c>
      <c r="H1070" s="3">
        <v>181.32960345577825</v>
      </c>
      <c r="I1070" s="3">
        <f>ProductLine[[#This Row],[Units]]*ProductLine[[#This Row],[Dollars]]</f>
        <v>10879.776207346695</v>
      </c>
    </row>
    <row r="1071" spans="1:9" x14ac:dyDescent="0.35">
      <c r="A1071">
        <v>1070</v>
      </c>
      <c r="B1071" t="s">
        <v>10</v>
      </c>
      <c r="C1071" s="2">
        <v>38188</v>
      </c>
      <c r="D1071">
        <f>YEAR(ProductLine[[#This Row],[Date]])</f>
        <v>2004</v>
      </c>
      <c r="E1071">
        <f>MONTH(ProductLine[[#This Row],[Date]])</f>
        <v>7</v>
      </c>
      <c r="F1071" t="s">
        <v>23</v>
      </c>
      <c r="G1071">
        <v>67</v>
      </c>
      <c r="H1071" s="3">
        <v>203.02085582320817</v>
      </c>
      <c r="I1071" s="3">
        <f>ProductLine[[#This Row],[Units]]*ProductLine[[#This Row],[Dollars]]</f>
        <v>13602.397340154947</v>
      </c>
    </row>
    <row r="1072" spans="1:9" x14ac:dyDescent="0.35">
      <c r="A1072">
        <v>1071</v>
      </c>
      <c r="B1072" t="s">
        <v>10</v>
      </c>
      <c r="C1072" s="2">
        <v>38331</v>
      </c>
      <c r="D1072">
        <f>YEAR(ProductLine[[#This Row],[Date]])</f>
        <v>2004</v>
      </c>
      <c r="E1072">
        <f>MONTH(ProductLine[[#This Row],[Date]])</f>
        <v>12</v>
      </c>
      <c r="F1072" t="s">
        <v>24</v>
      </c>
      <c r="G1072">
        <v>87</v>
      </c>
      <c r="H1072" s="3">
        <v>263.51929625786306</v>
      </c>
      <c r="I1072" s="3">
        <f>ProductLine[[#This Row],[Units]]*ProductLine[[#This Row],[Dollars]]</f>
        <v>22926.178774434087</v>
      </c>
    </row>
    <row r="1073" spans="1:9" x14ac:dyDescent="0.35">
      <c r="A1073">
        <v>1072</v>
      </c>
      <c r="B1073" t="s">
        <v>10</v>
      </c>
      <c r="C1073" s="2">
        <v>38309</v>
      </c>
      <c r="D1073">
        <f>YEAR(ProductLine[[#This Row],[Date]])</f>
        <v>2004</v>
      </c>
      <c r="E1073">
        <f>MONTH(ProductLine[[#This Row],[Date]])</f>
        <v>11</v>
      </c>
      <c r="F1073" t="s">
        <v>27</v>
      </c>
      <c r="G1073">
        <v>53</v>
      </c>
      <c r="H1073" s="3">
        <v>161.06925467832338</v>
      </c>
      <c r="I1073" s="3">
        <f>ProductLine[[#This Row],[Units]]*ProductLine[[#This Row],[Dollars]]</f>
        <v>8536.6704979511396</v>
      </c>
    </row>
    <row r="1074" spans="1:9" x14ac:dyDescent="0.35">
      <c r="A1074">
        <v>1073</v>
      </c>
      <c r="B1074" t="s">
        <v>16</v>
      </c>
      <c r="C1074" s="2">
        <v>38573</v>
      </c>
      <c r="D1074">
        <f>YEAR(ProductLine[[#This Row],[Date]])</f>
        <v>2005</v>
      </c>
      <c r="E1074">
        <f>MONTH(ProductLine[[#This Row],[Date]])</f>
        <v>8</v>
      </c>
      <c r="F1074" t="s">
        <v>23</v>
      </c>
      <c r="G1074">
        <v>74</v>
      </c>
      <c r="H1074" s="3">
        <v>224.19731799549618</v>
      </c>
      <c r="I1074" s="3">
        <f>ProductLine[[#This Row],[Units]]*ProductLine[[#This Row],[Dollars]]</f>
        <v>16590.601531666718</v>
      </c>
    </row>
    <row r="1075" spans="1:9" x14ac:dyDescent="0.35">
      <c r="A1075">
        <v>1074</v>
      </c>
      <c r="B1075" t="s">
        <v>9</v>
      </c>
      <c r="C1075" s="2">
        <v>39035</v>
      </c>
      <c r="D1075">
        <f>YEAR(ProductLine[[#This Row],[Date]])</f>
        <v>2006</v>
      </c>
      <c r="E1075">
        <f>MONTH(ProductLine[[#This Row],[Date]])</f>
        <v>11</v>
      </c>
      <c r="F1075" t="s">
        <v>23</v>
      </c>
      <c r="G1075">
        <v>83</v>
      </c>
      <c r="H1075" s="3">
        <v>251.40105252927455</v>
      </c>
      <c r="I1075" s="3">
        <f>ProductLine[[#This Row],[Units]]*ProductLine[[#This Row],[Dollars]]</f>
        <v>20866.287359929789</v>
      </c>
    </row>
    <row r="1076" spans="1:9" x14ac:dyDescent="0.35">
      <c r="A1076">
        <v>1075</v>
      </c>
      <c r="B1076" t="s">
        <v>17</v>
      </c>
      <c r="C1076" s="2">
        <v>38639</v>
      </c>
      <c r="D1076">
        <f>YEAR(ProductLine[[#This Row],[Date]])</f>
        <v>2005</v>
      </c>
      <c r="E1076">
        <f>MONTH(ProductLine[[#This Row],[Date]])</f>
        <v>10</v>
      </c>
      <c r="F1076" t="s">
        <v>27</v>
      </c>
      <c r="G1076">
        <v>45</v>
      </c>
      <c r="H1076" s="3">
        <v>136.79350682205418</v>
      </c>
      <c r="I1076" s="3">
        <f>ProductLine[[#This Row],[Units]]*ProductLine[[#This Row],[Dollars]]</f>
        <v>6155.7078069924382</v>
      </c>
    </row>
    <row r="1077" spans="1:9" x14ac:dyDescent="0.35">
      <c r="A1077">
        <v>1076</v>
      </c>
      <c r="B1077" t="s">
        <v>16</v>
      </c>
      <c r="C1077" s="2">
        <v>38166</v>
      </c>
      <c r="D1077">
        <f>YEAR(ProductLine[[#This Row],[Date]])</f>
        <v>2004</v>
      </c>
      <c r="E1077">
        <f>MONTH(ProductLine[[#This Row],[Date]])</f>
        <v>6</v>
      </c>
      <c r="F1077" t="s">
        <v>23</v>
      </c>
      <c r="G1077">
        <v>36</v>
      </c>
      <c r="H1077" s="3">
        <v>109.96021821591992</v>
      </c>
      <c r="I1077" s="3">
        <f>ProductLine[[#This Row],[Units]]*ProductLine[[#This Row],[Dollars]]</f>
        <v>3958.5678557731171</v>
      </c>
    </row>
    <row r="1078" spans="1:9" x14ac:dyDescent="0.35">
      <c r="A1078">
        <v>1077</v>
      </c>
      <c r="B1078" t="s">
        <v>10</v>
      </c>
      <c r="C1078" s="2">
        <v>38705</v>
      </c>
      <c r="D1078">
        <f>YEAR(ProductLine[[#This Row],[Date]])</f>
        <v>2005</v>
      </c>
      <c r="E1078">
        <f>MONTH(ProductLine[[#This Row],[Date]])</f>
        <v>12</v>
      </c>
      <c r="F1078" t="s">
        <v>24</v>
      </c>
      <c r="G1078">
        <v>82</v>
      </c>
      <c r="H1078" s="3">
        <v>248.19651758376037</v>
      </c>
      <c r="I1078" s="3">
        <f>ProductLine[[#This Row],[Units]]*ProductLine[[#This Row],[Dollars]]</f>
        <v>20352.114441868351</v>
      </c>
    </row>
    <row r="1079" spans="1:9" x14ac:dyDescent="0.35">
      <c r="A1079">
        <v>1078</v>
      </c>
      <c r="B1079" t="s">
        <v>11</v>
      </c>
      <c r="C1079" s="2">
        <v>38958</v>
      </c>
      <c r="D1079">
        <f>YEAR(ProductLine[[#This Row],[Date]])</f>
        <v>2006</v>
      </c>
      <c r="E1079">
        <f>MONTH(ProductLine[[#This Row],[Date]])</f>
        <v>8</v>
      </c>
      <c r="F1079" t="s">
        <v>24</v>
      </c>
      <c r="G1079">
        <v>18</v>
      </c>
      <c r="H1079" s="3">
        <v>56.505060708421091</v>
      </c>
      <c r="I1079" s="3">
        <f>ProductLine[[#This Row],[Units]]*ProductLine[[#This Row],[Dollars]]</f>
        <v>1017.0910927515796</v>
      </c>
    </row>
    <row r="1080" spans="1:9" x14ac:dyDescent="0.35">
      <c r="A1080">
        <v>1079</v>
      </c>
      <c r="B1080" t="s">
        <v>15</v>
      </c>
      <c r="C1080" s="2">
        <v>38089</v>
      </c>
      <c r="D1080">
        <f>YEAR(ProductLine[[#This Row],[Date]])</f>
        <v>2004</v>
      </c>
      <c r="E1080">
        <f>MONTH(ProductLine[[#This Row],[Date]])</f>
        <v>4</v>
      </c>
      <c r="F1080" t="s">
        <v>24</v>
      </c>
      <c r="G1080">
        <v>21</v>
      </c>
      <c r="H1080" s="3">
        <v>64.56759924886002</v>
      </c>
      <c r="I1080" s="3">
        <f>ProductLine[[#This Row],[Units]]*ProductLine[[#This Row],[Dollars]]</f>
        <v>1355.9195842260604</v>
      </c>
    </row>
    <row r="1081" spans="1:9" x14ac:dyDescent="0.35">
      <c r="A1081">
        <v>1080</v>
      </c>
      <c r="B1081" t="s">
        <v>13</v>
      </c>
      <c r="C1081" s="2">
        <v>38529</v>
      </c>
      <c r="D1081">
        <f>YEAR(ProductLine[[#This Row],[Date]])</f>
        <v>2005</v>
      </c>
      <c r="E1081">
        <f>MONTH(ProductLine[[#This Row],[Date]])</f>
        <v>6</v>
      </c>
      <c r="F1081" t="s">
        <v>24</v>
      </c>
      <c r="G1081">
        <v>56</v>
      </c>
      <c r="H1081" s="3">
        <v>170.16525129894848</v>
      </c>
      <c r="I1081" s="3">
        <f>ProductLine[[#This Row],[Units]]*ProductLine[[#This Row],[Dollars]]</f>
        <v>9529.2540727411142</v>
      </c>
    </row>
    <row r="1082" spans="1:9" x14ac:dyDescent="0.35">
      <c r="A1082">
        <v>1081</v>
      </c>
      <c r="B1082" t="s">
        <v>17</v>
      </c>
      <c r="C1082" s="2">
        <v>38837</v>
      </c>
      <c r="D1082">
        <f>YEAR(ProductLine[[#This Row],[Date]])</f>
        <v>2006</v>
      </c>
      <c r="E1082">
        <f>MONTH(ProductLine[[#This Row],[Date]])</f>
        <v>4</v>
      </c>
      <c r="F1082" t="s">
        <v>26</v>
      </c>
      <c r="G1082">
        <v>51</v>
      </c>
      <c r="H1082" s="3">
        <v>154.96390627719521</v>
      </c>
      <c r="I1082" s="3">
        <f>ProductLine[[#This Row],[Units]]*ProductLine[[#This Row],[Dollars]]</f>
        <v>7903.1592201369558</v>
      </c>
    </row>
    <row r="1083" spans="1:9" x14ac:dyDescent="0.35">
      <c r="A1083">
        <v>1082</v>
      </c>
      <c r="B1083" t="s">
        <v>14</v>
      </c>
      <c r="C1083" s="2">
        <v>38782</v>
      </c>
      <c r="D1083">
        <f>YEAR(ProductLine[[#This Row],[Date]])</f>
        <v>2006</v>
      </c>
      <c r="E1083">
        <f>MONTH(ProductLine[[#This Row],[Date]])</f>
        <v>3</v>
      </c>
      <c r="F1083" t="s">
        <v>24</v>
      </c>
      <c r="G1083">
        <v>88</v>
      </c>
      <c r="H1083" s="3">
        <v>266.15496391241169</v>
      </c>
      <c r="I1083" s="3">
        <f>ProductLine[[#This Row],[Units]]*ProductLine[[#This Row],[Dollars]]</f>
        <v>23421.636824292229</v>
      </c>
    </row>
    <row r="1084" spans="1:9" x14ac:dyDescent="0.35">
      <c r="A1084">
        <v>1083</v>
      </c>
      <c r="B1084" t="s">
        <v>15</v>
      </c>
      <c r="C1084" s="2">
        <v>38463</v>
      </c>
      <c r="D1084">
        <f>YEAR(ProductLine[[#This Row],[Date]])</f>
        <v>2005</v>
      </c>
      <c r="E1084">
        <f>MONTH(ProductLine[[#This Row],[Date]])</f>
        <v>4</v>
      </c>
      <c r="F1084" t="s">
        <v>26</v>
      </c>
      <c r="G1084">
        <v>93</v>
      </c>
      <c r="H1084" s="3">
        <v>280.95785849203958</v>
      </c>
      <c r="I1084" s="3">
        <f>ProductLine[[#This Row],[Units]]*ProductLine[[#This Row],[Dollars]]</f>
        <v>26129.080839759681</v>
      </c>
    </row>
    <row r="1085" spans="1:9" x14ac:dyDescent="0.35">
      <c r="A1085">
        <v>1084</v>
      </c>
      <c r="B1085" t="s">
        <v>11</v>
      </c>
      <c r="C1085" s="2">
        <v>38254</v>
      </c>
      <c r="D1085">
        <f>YEAR(ProductLine[[#This Row],[Date]])</f>
        <v>2004</v>
      </c>
      <c r="E1085">
        <f>MONTH(ProductLine[[#This Row],[Date]])</f>
        <v>9</v>
      </c>
      <c r="F1085" t="s">
        <v>23</v>
      </c>
      <c r="G1085">
        <v>-4</v>
      </c>
      <c r="H1085" s="3">
        <v>-9.79509378079055</v>
      </c>
      <c r="I1085" s="3">
        <f>ProductLine[[#This Row],[Units]]*ProductLine[[#This Row],[Dollars]]</f>
        <v>39.1803751231622</v>
      </c>
    </row>
    <row r="1086" spans="1:9" x14ac:dyDescent="0.35">
      <c r="A1086">
        <v>1085</v>
      </c>
      <c r="B1086" t="s">
        <v>13</v>
      </c>
      <c r="C1086" s="2">
        <v>38463</v>
      </c>
      <c r="D1086">
        <f>YEAR(ProductLine[[#This Row],[Date]])</f>
        <v>2005</v>
      </c>
      <c r="E1086">
        <f>MONTH(ProductLine[[#This Row],[Date]])</f>
        <v>4</v>
      </c>
      <c r="F1086" t="s">
        <v>26</v>
      </c>
      <c r="G1086">
        <v>30</v>
      </c>
      <c r="H1086" s="3">
        <v>91.838519584417725</v>
      </c>
      <c r="I1086" s="3">
        <f>ProductLine[[#This Row],[Units]]*ProductLine[[#This Row],[Dollars]]</f>
        <v>2755.1555875325316</v>
      </c>
    </row>
    <row r="1087" spans="1:9" x14ac:dyDescent="0.35">
      <c r="A1087">
        <v>1086</v>
      </c>
      <c r="B1087" t="s">
        <v>16</v>
      </c>
      <c r="C1087" s="2">
        <v>38705</v>
      </c>
      <c r="D1087">
        <f>YEAR(ProductLine[[#This Row],[Date]])</f>
        <v>2005</v>
      </c>
      <c r="E1087">
        <f>MONTH(ProductLine[[#This Row],[Date]])</f>
        <v>12</v>
      </c>
      <c r="F1087" t="s">
        <v>24</v>
      </c>
      <c r="G1087">
        <v>81</v>
      </c>
      <c r="H1087" s="3">
        <v>245.61829415980108</v>
      </c>
      <c r="I1087" s="3">
        <f>ProductLine[[#This Row],[Units]]*ProductLine[[#This Row],[Dollars]]</f>
        <v>19895.081826943886</v>
      </c>
    </row>
    <row r="1088" spans="1:9" x14ac:dyDescent="0.35">
      <c r="A1088">
        <v>1087</v>
      </c>
      <c r="B1088" t="s">
        <v>13</v>
      </c>
      <c r="C1088" s="2">
        <v>38463</v>
      </c>
      <c r="D1088">
        <f>YEAR(ProductLine[[#This Row],[Date]])</f>
        <v>2005</v>
      </c>
      <c r="E1088">
        <f>MONTH(ProductLine[[#This Row],[Date]])</f>
        <v>4</v>
      </c>
      <c r="F1088" t="s">
        <v>24</v>
      </c>
      <c r="G1088">
        <v>58</v>
      </c>
      <c r="H1088" s="3">
        <v>175.7935070061545</v>
      </c>
      <c r="I1088" s="3">
        <f>ProductLine[[#This Row],[Units]]*ProductLine[[#This Row],[Dollars]]</f>
        <v>10196.023406356961</v>
      </c>
    </row>
    <row r="1089" spans="1:9" x14ac:dyDescent="0.35">
      <c r="A1089">
        <v>1088</v>
      </c>
      <c r="B1089" t="s">
        <v>11</v>
      </c>
      <c r="C1089" s="2">
        <v>37990</v>
      </c>
      <c r="D1089">
        <f>YEAR(ProductLine[[#This Row],[Date]])</f>
        <v>2004</v>
      </c>
      <c r="E1089">
        <f>MONTH(ProductLine[[#This Row],[Date]])</f>
        <v>1</v>
      </c>
      <c r="F1089" t="s">
        <v>27</v>
      </c>
      <c r="G1089">
        <v>50</v>
      </c>
      <c r="H1089" s="3">
        <v>151.96180824733827</v>
      </c>
      <c r="I1089" s="3">
        <f>ProductLine[[#This Row],[Units]]*ProductLine[[#This Row],[Dollars]]</f>
        <v>7598.0904123669134</v>
      </c>
    </row>
    <row r="1090" spans="1:9" x14ac:dyDescent="0.35">
      <c r="A1090">
        <v>1089</v>
      </c>
      <c r="B1090" t="s">
        <v>12</v>
      </c>
      <c r="C1090" s="2">
        <v>38166</v>
      </c>
      <c r="D1090">
        <f>YEAR(ProductLine[[#This Row],[Date]])</f>
        <v>2004</v>
      </c>
      <c r="E1090">
        <f>MONTH(ProductLine[[#This Row],[Date]])</f>
        <v>6</v>
      </c>
      <c r="F1090" t="s">
        <v>23</v>
      </c>
      <c r="G1090">
        <v>92</v>
      </c>
      <c r="H1090" s="3">
        <v>277.64731000872155</v>
      </c>
      <c r="I1090" s="3">
        <f>ProductLine[[#This Row],[Units]]*ProductLine[[#This Row],[Dollars]]</f>
        <v>25543.552520802383</v>
      </c>
    </row>
    <row r="1091" spans="1:9" x14ac:dyDescent="0.35">
      <c r="A1091">
        <v>1090</v>
      </c>
      <c r="B1091" t="s">
        <v>11</v>
      </c>
      <c r="C1091" s="2">
        <v>39035</v>
      </c>
      <c r="D1091">
        <f>YEAR(ProductLine[[#This Row],[Date]])</f>
        <v>2006</v>
      </c>
      <c r="E1091">
        <f>MONTH(ProductLine[[#This Row],[Date]])</f>
        <v>11</v>
      </c>
      <c r="F1091" t="s">
        <v>24</v>
      </c>
      <c r="G1091">
        <v>27</v>
      </c>
      <c r="H1091" s="3">
        <v>82.124904169698794</v>
      </c>
      <c r="I1091" s="3">
        <f>ProductLine[[#This Row],[Units]]*ProductLine[[#This Row],[Dollars]]</f>
        <v>2217.3724125818676</v>
      </c>
    </row>
    <row r="1092" spans="1:9" x14ac:dyDescent="0.35">
      <c r="A1092">
        <v>1091</v>
      </c>
      <c r="B1092" t="s">
        <v>12</v>
      </c>
      <c r="C1092" s="2">
        <v>38221</v>
      </c>
      <c r="D1092">
        <f>YEAR(ProductLine[[#This Row],[Date]])</f>
        <v>2004</v>
      </c>
      <c r="E1092">
        <f>MONTH(ProductLine[[#This Row],[Date]])</f>
        <v>8</v>
      </c>
      <c r="F1092" t="s">
        <v>24</v>
      </c>
      <c r="G1092">
        <v>61</v>
      </c>
      <c r="H1092" s="3">
        <v>184.45390394551416</v>
      </c>
      <c r="I1092" s="3">
        <f>ProductLine[[#This Row],[Units]]*ProductLine[[#This Row],[Dollars]]</f>
        <v>11251.688140676364</v>
      </c>
    </row>
    <row r="1093" spans="1:9" x14ac:dyDescent="0.35">
      <c r="A1093">
        <v>1092</v>
      </c>
      <c r="B1093" t="s">
        <v>13</v>
      </c>
      <c r="C1093" s="2">
        <v>38925</v>
      </c>
      <c r="D1093">
        <f>YEAR(ProductLine[[#This Row],[Date]])</f>
        <v>2006</v>
      </c>
      <c r="E1093">
        <f>MONTH(ProductLine[[#This Row],[Date]])</f>
        <v>7</v>
      </c>
      <c r="F1093" t="s">
        <v>27</v>
      </c>
      <c r="G1093">
        <v>7</v>
      </c>
      <c r="H1093" s="3">
        <v>23.198272342782062</v>
      </c>
      <c r="I1093" s="3">
        <f>ProductLine[[#This Row],[Units]]*ProductLine[[#This Row],[Dollars]]</f>
        <v>162.38790639947445</v>
      </c>
    </row>
    <row r="1094" spans="1:9" x14ac:dyDescent="0.35">
      <c r="A1094">
        <v>1093</v>
      </c>
      <c r="B1094" t="s">
        <v>9</v>
      </c>
      <c r="C1094" s="2">
        <v>38331</v>
      </c>
      <c r="D1094">
        <f>YEAR(ProductLine[[#This Row],[Date]])</f>
        <v>2004</v>
      </c>
      <c r="E1094">
        <f>MONTH(ProductLine[[#This Row],[Date]])</f>
        <v>12</v>
      </c>
      <c r="F1094" t="s">
        <v>23</v>
      </c>
      <c r="G1094">
        <v>25</v>
      </c>
      <c r="H1094" s="3">
        <v>76.517978614258837</v>
      </c>
      <c r="I1094" s="3">
        <f>ProductLine[[#This Row],[Units]]*ProductLine[[#This Row],[Dollars]]</f>
        <v>1912.9494653564709</v>
      </c>
    </row>
    <row r="1095" spans="1:9" x14ac:dyDescent="0.35">
      <c r="A1095">
        <v>1094</v>
      </c>
      <c r="B1095" t="s">
        <v>11</v>
      </c>
      <c r="C1095" s="2">
        <v>38221</v>
      </c>
      <c r="D1095">
        <f>YEAR(ProductLine[[#This Row],[Date]])</f>
        <v>2004</v>
      </c>
      <c r="E1095">
        <f>MONTH(ProductLine[[#This Row],[Date]])</f>
        <v>8</v>
      </c>
      <c r="F1095" t="s">
        <v>23</v>
      </c>
      <c r="G1095">
        <v>84</v>
      </c>
      <c r="H1095" s="3">
        <v>254.21310769001889</v>
      </c>
      <c r="I1095" s="3">
        <f>ProductLine[[#This Row],[Units]]*ProductLine[[#This Row],[Dollars]]</f>
        <v>21353.901045961586</v>
      </c>
    </row>
    <row r="1096" spans="1:9" x14ac:dyDescent="0.35">
      <c r="A1096">
        <v>1095</v>
      </c>
      <c r="B1096" t="s">
        <v>9</v>
      </c>
      <c r="C1096" s="2">
        <v>38078</v>
      </c>
      <c r="D1096">
        <f>YEAR(ProductLine[[#This Row],[Date]])</f>
        <v>2004</v>
      </c>
      <c r="E1096">
        <f>MONTH(ProductLine[[#This Row],[Date]])</f>
        <v>4</v>
      </c>
      <c r="F1096" t="s">
        <v>26</v>
      </c>
      <c r="G1096">
        <v>66</v>
      </c>
      <c r="H1096" s="3">
        <v>199.92451734594025</v>
      </c>
      <c r="I1096" s="3">
        <f>ProductLine[[#This Row],[Units]]*ProductLine[[#This Row],[Dollars]]</f>
        <v>13195.018144832056</v>
      </c>
    </row>
    <row r="1097" spans="1:9" x14ac:dyDescent="0.35">
      <c r="A1097">
        <v>1096</v>
      </c>
      <c r="B1097" t="s">
        <v>15</v>
      </c>
      <c r="C1097" s="2">
        <v>38111</v>
      </c>
      <c r="D1097">
        <f>YEAR(ProductLine[[#This Row],[Date]])</f>
        <v>2004</v>
      </c>
      <c r="E1097">
        <f>MONTH(ProductLine[[#This Row],[Date]])</f>
        <v>5</v>
      </c>
      <c r="F1097" t="s">
        <v>26</v>
      </c>
      <c r="G1097">
        <v>89</v>
      </c>
      <c r="H1097" s="3">
        <v>269.23471780277339</v>
      </c>
      <c r="I1097" s="3">
        <f>ProductLine[[#This Row],[Units]]*ProductLine[[#This Row],[Dollars]]</f>
        <v>23961.889884446831</v>
      </c>
    </row>
    <row r="1098" spans="1:9" x14ac:dyDescent="0.35">
      <c r="A1098">
        <v>1097</v>
      </c>
      <c r="B1098" t="s">
        <v>14</v>
      </c>
      <c r="C1098" s="2">
        <v>38485</v>
      </c>
      <c r="D1098">
        <f>YEAR(ProductLine[[#This Row],[Date]])</f>
        <v>2005</v>
      </c>
      <c r="E1098">
        <f>MONTH(ProductLine[[#This Row],[Date]])</f>
        <v>5</v>
      </c>
      <c r="F1098" t="s">
        <v>24</v>
      </c>
      <c r="G1098">
        <v>32</v>
      </c>
      <c r="H1098" s="3">
        <v>97.883310582745409</v>
      </c>
      <c r="I1098" s="3">
        <f>ProductLine[[#This Row],[Units]]*ProductLine[[#This Row],[Dollars]]</f>
        <v>3132.2659386478531</v>
      </c>
    </row>
    <row r="1099" spans="1:9" x14ac:dyDescent="0.35">
      <c r="A1099">
        <v>1098</v>
      </c>
      <c r="B1099" t="s">
        <v>14</v>
      </c>
      <c r="C1099" s="2">
        <v>38903</v>
      </c>
      <c r="D1099">
        <f>YEAR(ProductLine[[#This Row],[Date]])</f>
        <v>2006</v>
      </c>
      <c r="E1099">
        <f>MONTH(ProductLine[[#This Row],[Date]])</f>
        <v>7</v>
      </c>
      <c r="F1099" t="s">
        <v>23</v>
      </c>
      <c r="G1099">
        <v>78</v>
      </c>
      <c r="H1099" s="3">
        <v>236.26032561473036</v>
      </c>
      <c r="I1099" s="3">
        <f>ProductLine[[#This Row],[Units]]*ProductLine[[#This Row],[Dollars]]</f>
        <v>18428.305397948967</v>
      </c>
    </row>
    <row r="1100" spans="1:9" x14ac:dyDescent="0.35">
      <c r="A1100">
        <v>1099</v>
      </c>
      <c r="B1100" t="s">
        <v>15</v>
      </c>
      <c r="C1100" s="2">
        <v>38793</v>
      </c>
      <c r="D1100">
        <f>YEAR(ProductLine[[#This Row],[Date]])</f>
        <v>2006</v>
      </c>
      <c r="E1100">
        <f>MONTH(ProductLine[[#This Row],[Date]])</f>
        <v>3</v>
      </c>
      <c r="F1100" t="s">
        <v>25</v>
      </c>
      <c r="G1100">
        <v>56</v>
      </c>
      <c r="H1100" s="3">
        <v>169.98666558680949</v>
      </c>
      <c r="I1100" s="3">
        <f>ProductLine[[#This Row],[Units]]*ProductLine[[#This Row],[Dollars]]</f>
        <v>9519.2532728613314</v>
      </c>
    </row>
    <row r="1101" spans="1:9" x14ac:dyDescent="0.35">
      <c r="A1101">
        <v>1100</v>
      </c>
      <c r="B1101" t="s">
        <v>13</v>
      </c>
      <c r="C1101" s="2">
        <v>39079</v>
      </c>
      <c r="D1101">
        <f>YEAR(ProductLine[[#This Row],[Date]])</f>
        <v>2006</v>
      </c>
      <c r="E1101">
        <f>MONTH(ProductLine[[#This Row],[Date]])</f>
        <v>12</v>
      </c>
      <c r="F1101" t="s">
        <v>24</v>
      </c>
      <c r="G1101">
        <v>80</v>
      </c>
      <c r="H1101" s="3">
        <v>241.53786763068013</v>
      </c>
      <c r="I1101" s="3">
        <f>ProductLine[[#This Row],[Units]]*ProductLine[[#This Row],[Dollars]]</f>
        <v>19323.029410454408</v>
      </c>
    </row>
    <row r="1102" spans="1:9" x14ac:dyDescent="0.35">
      <c r="A1102">
        <v>1101</v>
      </c>
      <c r="B1102" t="s">
        <v>17</v>
      </c>
      <c r="C1102" s="2">
        <v>38386</v>
      </c>
      <c r="D1102">
        <f>YEAR(ProductLine[[#This Row],[Date]])</f>
        <v>2005</v>
      </c>
      <c r="E1102">
        <f>MONTH(ProductLine[[#This Row],[Date]])</f>
        <v>2</v>
      </c>
      <c r="F1102" t="s">
        <v>27</v>
      </c>
      <c r="G1102">
        <v>72</v>
      </c>
      <c r="H1102" s="3">
        <v>218.32896513434619</v>
      </c>
      <c r="I1102" s="3">
        <f>ProductLine[[#This Row],[Units]]*ProductLine[[#This Row],[Dollars]]</f>
        <v>15719.685489672926</v>
      </c>
    </row>
    <row r="1103" spans="1:9" x14ac:dyDescent="0.35">
      <c r="A1103">
        <v>1102</v>
      </c>
      <c r="B1103" t="s">
        <v>12</v>
      </c>
      <c r="C1103" s="2">
        <v>38672</v>
      </c>
      <c r="D1103">
        <f>YEAR(ProductLine[[#This Row],[Date]])</f>
        <v>2005</v>
      </c>
      <c r="E1103">
        <f>MONTH(ProductLine[[#This Row],[Date]])</f>
        <v>11</v>
      </c>
      <c r="F1103" t="s">
        <v>23</v>
      </c>
      <c r="G1103">
        <v>23</v>
      </c>
      <c r="H1103" s="3">
        <v>71.298686579104526</v>
      </c>
      <c r="I1103" s="3">
        <f>ProductLine[[#This Row],[Units]]*ProductLine[[#This Row],[Dollars]]</f>
        <v>1639.8697913194042</v>
      </c>
    </row>
    <row r="1104" spans="1:9" x14ac:dyDescent="0.35">
      <c r="A1104">
        <v>1103</v>
      </c>
      <c r="B1104" t="s">
        <v>17</v>
      </c>
      <c r="C1104" s="2">
        <v>38782</v>
      </c>
      <c r="D1104">
        <f>YEAR(ProductLine[[#This Row],[Date]])</f>
        <v>2006</v>
      </c>
      <c r="E1104">
        <f>MONTH(ProductLine[[#This Row],[Date]])</f>
        <v>3</v>
      </c>
      <c r="F1104" t="s">
        <v>27</v>
      </c>
      <c r="G1104">
        <v>-2</v>
      </c>
      <c r="H1104" s="3">
        <v>-3.6886090441469834</v>
      </c>
      <c r="I1104" s="3">
        <f>ProductLine[[#This Row],[Units]]*ProductLine[[#This Row],[Dollars]]</f>
        <v>7.3772180882939669</v>
      </c>
    </row>
    <row r="1105" spans="1:9" x14ac:dyDescent="0.35">
      <c r="A1105">
        <v>1104</v>
      </c>
      <c r="B1105" t="s">
        <v>13</v>
      </c>
      <c r="C1105" s="2">
        <v>38265</v>
      </c>
      <c r="D1105">
        <f>YEAR(ProductLine[[#This Row],[Date]])</f>
        <v>2004</v>
      </c>
      <c r="E1105">
        <f>MONTH(ProductLine[[#This Row],[Date]])</f>
        <v>10</v>
      </c>
      <c r="F1105" t="s">
        <v>23</v>
      </c>
      <c r="G1105">
        <v>81</v>
      </c>
      <c r="H1105" s="3">
        <v>245.36857839567088</v>
      </c>
      <c r="I1105" s="3">
        <f>ProductLine[[#This Row],[Units]]*ProductLine[[#This Row],[Dollars]]</f>
        <v>19874.854850049342</v>
      </c>
    </row>
    <row r="1106" spans="1:9" x14ac:dyDescent="0.35">
      <c r="A1106">
        <v>1105</v>
      </c>
      <c r="B1106" t="s">
        <v>15</v>
      </c>
      <c r="C1106" s="2">
        <v>38661</v>
      </c>
      <c r="D1106">
        <f>YEAR(ProductLine[[#This Row],[Date]])</f>
        <v>2005</v>
      </c>
      <c r="E1106">
        <f>MONTH(ProductLine[[#This Row],[Date]])</f>
        <v>11</v>
      </c>
      <c r="F1106" t="s">
        <v>25</v>
      </c>
      <c r="G1106">
        <v>-4</v>
      </c>
      <c r="H1106" s="3">
        <v>-10.626598892969428</v>
      </c>
      <c r="I1106" s="3">
        <f>ProductLine[[#This Row],[Units]]*ProductLine[[#This Row],[Dollars]]</f>
        <v>42.506395571877711</v>
      </c>
    </row>
    <row r="1107" spans="1:9" x14ac:dyDescent="0.35">
      <c r="A1107">
        <v>1106</v>
      </c>
      <c r="B1107" t="s">
        <v>9</v>
      </c>
      <c r="C1107" s="2">
        <v>38353</v>
      </c>
      <c r="D1107">
        <f>YEAR(ProductLine[[#This Row],[Date]])</f>
        <v>2005</v>
      </c>
      <c r="E1107">
        <f>MONTH(ProductLine[[#This Row],[Date]])</f>
        <v>1</v>
      </c>
      <c r="F1107" t="s">
        <v>27</v>
      </c>
      <c r="G1107">
        <v>81</v>
      </c>
      <c r="H1107" s="3">
        <v>245.47079100584946</v>
      </c>
      <c r="I1107" s="3">
        <f>ProductLine[[#This Row],[Units]]*ProductLine[[#This Row],[Dollars]]</f>
        <v>19883.134071473807</v>
      </c>
    </row>
    <row r="1108" spans="1:9" x14ac:dyDescent="0.35">
      <c r="A1108">
        <v>1107</v>
      </c>
      <c r="B1108" t="s">
        <v>13</v>
      </c>
      <c r="C1108" s="2">
        <v>38056</v>
      </c>
      <c r="D1108">
        <f>YEAR(ProductLine[[#This Row],[Date]])</f>
        <v>2004</v>
      </c>
      <c r="E1108">
        <f>MONTH(ProductLine[[#This Row],[Date]])</f>
        <v>3</v>
      </c>
      <c r="F1108" t="s">
        <v>25</v>
      </c>
      <c r="G1108">
        <v>-9</v>
      </c>
      <c r="H1108" s="3">
        <v>-24.901607770449246</v>
      </c>
      <c r="I1108" s="3">
        <f>ProductLine[[#This Row],[Units]]*ProductLine[[#This Row],[Dollars]]</f>
        <v>224.1144699340432</v>
      </c>
    </row>
    <row r="1109" spans="1:9" x14ac:dyDescent="0.35">
      <c r="A1109">
        <v>1108</v>
      </c>
      <c r="B1109" t="s">
        <v>10</v>
      </c>
      <c r="C1109" s="2">
        <v>38419</v>
      </c>
      <c r="D1109">
        <f>YEAR(ProductLine[[#This Row],[Date]])</f>
        <v>2005</v>
      </c>
      <c r="E1109">
        <f>MONTH(ProductLine[[#This Row],[Date]])</f>
        <v>3</v>
      </c>
      <c r="F1109" t="s">
        <v>26</v>
      </c>
      <c r="G1109">
        <v>67</v>
      </c>
      <c r="H1109" s="3">
        <v>203.3886615347389</v>
      </c>
      <c r="I1109" s="3">
        <f>ProductLine[[#This Row],[Units]]*ProductLine[[#This Row],[Dollars]]</f>
        <v>13627.040322827506</v>
      </c>
    </row>
    <row r="1110" spans="1:9" x14ac:dyDescent="0.35">
      <c r="A1110">
        <v>1109</v>
      </c>
      <c r="B1110" t="s">
        <v>9</v>
      </c>
      <c r="C1110" s="2">
        <v>38386</v>
      </c>
      <c r="D1110">
        <f>YEAR(ProductLine[[#This Row],[Date]])</f>
        <v>2005</v>
      </c>
      <c r="E1110">
        <f>MONTH(ProductLine[[#This Row],[Date]])</f>
        <v>2</v>
      </c>
      <c r="F1110" t="s">
        <v>27</v>
      </c>
      <c r="G1110">
        <v>27</v>
      </c>
      <c r="H1110" s="3">
        <v>83.259650238493791</v>
      </c>
      <c r="I1110" s="3">
        <f>ProductLine[[#This Row],[Units]]*ProductLine[[#This Row],[Dollars]]</f>
        <v>2248.0105564393325</v>
      </c>
    </row>
    <row r="1111" spans="1:9" x14ac:dyDescent="0.35">
      <c r="A1111">
        <v>1110</v>
      </c>
      <c r="B1111" t="s">
        <v>13</v>
      </c>
      <c r="C1111" s="2">
        <v>38782</v>
      </c>
      <c r="D1111">
        <f>YEAR(ProductLine[[#This Row],[Date]])</f>
        <v>2006</v>
      </c>
      <c r="E1111">
        <f>MONTH(ProductLine[[#This Row],[Date]])</f>
        <v>3</v>
      </c>
      <c r="F1111" t="s">
        <v>27</v>
      </c>
      <c r="G1111">
        <v>-1</v>
      </c>
      <c r="H1111" s="3">
        <v>-1.4486502930593175</v>
      </c>
      <c r="I1111" s="3">
        <f>ProductLine[[#This Row],[Units]]*ProductLine[[#This Row],[Dollars]]</f>
        <v>1.4486502930593175</v>
      </c>
    </row>
    <row r="1112" spans="1:9" x14ac:dyDescent="0.35">
      <c r="A1112">
        <v>1111</v>
      </c>
      <c r="B1112" t="s">
        <v>11</v>
      </c>
      <c r="C1112" s="2">
        <v>38595</v>
      </c>
      <c r="D1112">
        <f>YEAR(ProductLine[[#This Row],[Date]])</f>
        <v>2005</v>
      </c>
      <c r="E1112">
        <f>MONTH(ProductLine[[#This Row],[Date]])</f>
        <v>8</v>
      </c>
      <c r="F1112" t="s">
        <v>27</v>
      </c>
      <c r="G1112">
        <v>24</v>
      </c>
      <c r="H1112" s="3">
        <v>74.448442468444156</v>
      </c>
      <c r="I1112" s="3">
        <f>ProductLine[[#This Row],[Units]]*ProductLine[[#This Row],[Dollars]]</f>
        <v>1786.7626192426596</v>
      </c>
    </row>
    <row r="1113" spans="1:9" x14ac:dyDescent="0.35">
      <c r="A1113">
        <v>1112</v>
      </c>
      <c r="B1113" t="s">
        <v>10</v>
      </c>
      <c r="C1113" s="2">
        <v>38749</v>
      </c>
      <c r="D1113">
        <f>YEAR(ProductLine[[#This Row],[Date]])</f>
        <v>2006</v>
      </c>
      <c r="E1113">
        <f>MONTH(ProductLine[[#This Row],[Date]])</f>
        <v>2</v>
      </c>
      <c r="F1113" t="s">
        <v>26</v>
      </c>
      <c r="G1113">
        <v>80</v>
      </c>
      <c r="H1113" s="3">
        <v>241.96811222876255</v>
      </c>
      <c r="I1113" s="3">
        <f>ProductLine[[#This Row],[Units]]*ProductLine[[#This Row],[Dollars]]</f>
        <v>19357.448978301003</v>
      </c>
    </row>
    <row r="1114" spans="1:9" x14ac:dyDescent="0.35">
      <c r="A1114">
        <v>1113</v>
      </c>
      <c r="B1114" t="s">
        <v>12</v>
      </c>
      <c r="C1114" s="2">
        <v>38265</v>
      </c>
      <c r="D1114">
        <f>YEAR(ProductLine[[#This Row],[Date]])</f>
        <v>2004</v>
      </c>
      <c r="E1114">
        <f>MONTH(ProductLine[[#This Row],[Date]])</f>
        <v>10</v>
      </c>
      <c r="F1114" t="s">
        <v>23</v>
      </c>
      <c r="G1114">
        <v>82</v>
      </c>
      <c r="H1114" s="3">
        <v>248.20917526875209</v>
      </c>
      <c r="I1114" s="3">
        <f>ProductLine[[#This Row],[Units]]*ProductLine[[#This Row],[Dollars]]</f>
        <v>20353.152372037672</v>
      </c>
    </row>
    <row r="1115" spans="1:9" x14ac:dyDescent="0.35">
      <c r="A1115">
        <v>1114</v>
      </c>
      <c r="B1115" t="s">
        <v>16</v>
      </c>
      <c r="C1115" s="2">
        <v>38716</v>
      </c>
      <c r="D1115">
        <f>YEAR(ProductLine[[#This Row],[Date]])</f>
        <v>2005</v>
      </c>
      <c r="E1115">
        <f>MONTH(ProductLine[[#This Row],[Date]])</f>
        <v>12</v>
      </c>
      <c r="F1115" t="s">
        <v>24</v>
      </c>
      <c r="G1115">
        <v>1</v>
      </c>
      <c r="H1115" s="3">
        <v>5.5518623429739176</v>
      </c>
      <c r="I1115" s="3">
        <f>ProductLine[[#This Row],[Units]]*ProductLine[[#This Row],[Dollars]]</f>
        <v>5.5518623429739176</v>
      </c>
    </row>
    <row r="1116" spans="1:9" x14ac:dyDescent="0.35">
      <c r="A1116">
        <v>1115</v>
      </c>
      <c r="B1116" t="s">
        <v>14</v>
      </c>
      <c r="C1116" s="2">
        <v>38089</v>
      </c>
      <c r="D1116">
        <f>YEAR(ProductLine[[#This Row],[Date]])</f>
        <v>2004</v>
      </c>
      <c r="E1116">
        <f>MONTH(ProductLine[[#This Row],[Date]])</f>
        <v>4</v>
      </c>
      <c r="F1116" t="s">
        <v>24</v>
      </c>
      <c r="G1116">
        <v>11</v>
      </c>
      <c r="H1116" s="3">
        <v>35.277547883231819</v>
      </c>
      <c r="I1116" s="3">
        <f>ProductLine[[#This Row],[Units]]*ProductLine[[#This Row],[Dollars]]</f>
        <v>388.05302671555</v>
      </c>
    </row>
    <row r="1117" spans="1:9" x14ac:dyDescent="0.35">
      <c r="A1117">
        <v>1116</v>
      </c>
      <c r="B1117" t="s">
        <v>9</v>
      </c>
      <c r="C1117" s="2">
        <v>38914</v>
      </c>
      <c r="D1117">
        <f>YEAR(ProductLine[[#This Row],[Date]])</f>
        <v>2006</v>
      </c>
      <c r="E1117">
        <f>MONTH(ProductLine[[#This Row],[Date]])</f>
        <v>7</v>
      </c>
      <c r="F1117" t="s">
        <v>27</v>
      </c>
      <c r="G1117">
        <v>12</v>
      </c>
      <c r="H1117" s="3">
        <v>37.331388811713445</v>
      </c>
      <c r="I1117" s="3">
        <f>ProductLine[[#This Row],[Units]]*ProductLine[[#This Row],[Dollars]]</f>
        <v>447.97666574056132</v>
      </c>
    </row>
    <row r="1118" spans="1:9" x14ac:dyDescent="0.35">
      <c r="A1118">
        <v>1117</v>
      </c>
      <c r="B1118" t="s">
        <v>17</v>
      </c>
      <c r="C1118" s="2">
        <v>38331</v>
      </c>
      <c r="D1118">
        <f>YEAR(ProductLine[[#This Row],[Date]])</f>
        <v>2004</v>
      </c>
      <c r="E1118">
        <f>MONTH(ProductLine[[#This Row],[Date]])</f>
        <v>12</v>
      </c>
      <c r="F1118" t="s">
        <v>26</v>
      </c>
      <c r="G1118">
        <v>54</v>
      </c>
      <c r="H1118" s="3">
        <v>164.38171569287022</v>
      </c>
      <c r="I1118" s="3">
        <f>ProductLine[[#This Row],[Units]]*ProductLine[[#This Row],[Dollars]]</f>
        <v>8876.6126474149914</v>
      </c>
    </row>
    <row r="1119" spans="1:9" x14ac:dyDescent="0.35">
      <c r="A1119">
        <v>1118</v>
      </c>
      <c r="B1119" t="s">
        <v>16</v>
      </c>
      <c r="C1119" s="2">
        <v>39024</v>
      </c>
      <c r="D1119">
        <f>YEAR(ProductLine[[#This Row],[Date]])</f>
        <v>2006</v>
      </c>
      <c r="E1119">
        <f>MONTH(ProductLine[[#This Row],[Date]])</f>
        <v>11</v>
      </c>
      <c r="F1119" t="s">
        <v>27</v>
      </c>
      <c r="G1119">
        <v>78</v>
      </c>
      <c r="H1119" s="3">
        <v>236.65619273355256</v>
      </c>
      <c r="I1119" s="3">
        <f>ProductLine[[#This Row],[Units]]*ProductLine[[#This Row],[Dollars]]</f>
        <v>18459.183033217101</v>
      </c>
    </row>
    <row r="1120" spans="1:9" x14ac:dyDescent="0.35">
      <c r="A1120">
        <v>1119</v>
      </c>
      <c r="B1120" t="s">
        <v>17</v>
      </c>
      <c r="C1120" s="2">
        <v>38023</v>
      </c>
      <c r="D1120">
        <f>YEAR(ProductLine[[#This Row],[Date]])</f>
        <v>2004</v>
      </c>
      <c r="E1120">
        <f>MONTH(ProductLine[[#This Row],[Date]])</f>
        <v>2</v>
      </c>
      <c r="F1120" t="s">
        <v>27</v>
      </c>
      <c r="G1120">
        <v>-8</v>
      </c>
      <c r="H1120" s="3">
        <v>-21.770000035096253</v>
      </c>
      <c r="I1120" s="3">
        <f>ProductLine[[#This Row],[Units]]*ProductLine[[#This Row],[Dollars]]</f>
        <v>174.16000028077002</v>
      </c>
    </row>
    <row r="1121" spans="1:9" x14ac:dyDescent="0.35">
      <c r="A1121">
        <v>1120</v>
      </c>
      <c r="B1121" t="s">
        <v>9</v>
      </c>
      <c r="C1121" s="2">
        <v>38034</v>
      </c>
      <c r="D1121">
        <f>YEAR(ProductLine[[#This Row],[Date]])</f>
        <v>2004</v>
      </c>
      <c r="E1121">
        <f>MONTH(ProductLine[[#This Row],[Date]])</f>
        <v>2</v>
      </c>
      <c r="F1121" t="s">
        <v>26</v>
      </c>
      <c r="G1121">
        <v>6</v>
      </c>
      <c r="H1121" s="3">
        <v>19.844298491399009</v>
      </c>
      <c r="I1121" s="3">
        <f>ProductLine[[#This Row],[Units]]*ProductLine[[#This Row],[Dollars]]</f>
        <v>119.06579094839405</v>
      </c>
    </row>
    <row r="1122" spans="1:9" x14ac:dyDescent="0.35">
      <c r="A1122">
        <v>1121</v>
      </c>
      <c r="B1122" t="s">
        <v>12</v>
      </c>
      <c r="C1122" s="2">
        <v>38265</v>
      </c>
      <c r="D1122">
        <f>YEAR(ProductLine[[#This Row],[Date]])</f>
        <v>2004</v>
      </c>
      <c r="E1122">
        <f>MONTH(ProductLine[[#This Row],[Date]])</f>
        <v>10</v>
      </c>
      <c r="F1122" t="s">
        <v>24</v>
      </c>
      <c r="G1122">
        <v>30</v>
      </c>
      <c r="H1122" s="3">
        <v>91.748243472806891</v>
      </c>
      <c r="I1122" s="3">
        <f>ProductLine[[#This Row],[Units]]*ProductLine[[#This Row],[Dollars]]</f>
        <v>2752.4473041842066</v>
      </c>
    </row>
    <row r="1123" spans="1:9" x14ac:dyDescent="0.35">
      <c r="A1123">
        <v>1122</v>
      </c>
      <c r="B1123" t="s">
        <v>13</v>
      </c>
      <c r="C1123" s="2">
        <v>38749</v>
      </c>
      <c r="D1123">
        <f>YEAR(ProductLine[[#This Row],[Date]])</f>
        <v>2006</v>
      </c>
      <c r="E1123">
        <f>MONTH(ProductLine[[#This Row],[Date]])</f>
        <v>2</v>
      </c>
      <c r="F1123" t="s">
        <v>23</v>
      </c>
      <c r="G1123">
        <v>55</v>
      </c>
      <c r="H1123" s="3">
        <v>166.81449022634519</v>
      </c>
      <c r="I1123" s="3">
        <f>ProductLine[[#This Row],[Units]]*ProductLine[[#This Row],[Dollars]]</f>
        <v>9174.7969624489851</v>
      </c>
    </row>
    <row r="1124" spans="1:9" x14ac:dyDescent="0.35">
      <c r="A1124">
        <v>1123</v>
      </c>
      <c r="B1124" t="s">
        <v>17</v>
      </c>
      <c r="C1124" s="2">
        <v>38804</v>
      </c>
      <c r="D1124">
        <f>YEAR(ProductLine[[#This Row],[Date]])</f>
        <v>2006</v>
      </c>
      <c r="E1124">
        <f>MONTH(ProductLine[[#This Row],[Date]])</f>
        <v>3</v>
      </c>
      <c r="F1124" t="s">
        <v>26</v>
      </c>
      <c r="G1124">
        <v>53</v>
      </c>
      <c r="H1124" s="3">
        <v>161.24130416457103</v>
      </c>
      <c r="I1124" s="3">
        <f>ProductLine[[#This Row],[Units]]*ProductLine[[#This Row],[Dollars]]</f>
        <v>8545.7891207222656</v>
      </c>
    </row>
    <row r="1125" spans="1:9" x14ac:dyDescent="0.35">
      <c r="A1125">
        <v>1124</v>
      </c>
      <c r="B1125" t="s">
        <v>11</v>
      </c>
      <c r="C1125" s="2">
        <v>38397</v>
      </c>
      <c r="D1125">
        <f>YEAR(ProductLine[[#This Row],[Date]])</f>
        <v>2005</v>
      </c>
      <c r="E1125">
        <f>MONTH(ProductLine[[#This Row],[Date]])</f>
        <v>2</v>
      </c>
      <c r="F1125" t="s">
        <v>27</v>
      </c>
      <c r="G1125">
        <v>29</v>
      </c>
      <c r="H1125" s="3">
        <v>88.931035912155679</v>
      </c>
      <c r="I1125" s="3">
        <f>ProductLine[[#This Row],[Units]]*ProductLine[[#This Row],[Dollars]]</f>
        <v>2579.0000414525148</v>
      </c>
    </row>
    <row r="1126" spans="1:9" x14ac:dyDescent="0.35">
      <c r="A1126">
        <v>1125</v>
      </c>
      <c r="B1126" t="s">
        <v>9</v>
      </c>
      <c r="C1126" s="2">
        <v>38089</v>
      </c>
      <c r="D1126">
        <f>YEAR(ProductLine[[#This Row],[Date]])</f>
        <v>2004</v>
      </c>
      <c r="E1126">
        <f>MONTH(ProductLine[[#This Row],[Date]])</f>
        <v>4</v>
      </c>
      <c r="F1126" t="s">
        <v>23</v>
      </c>
      <c r="G1126">
        <v>75</v>
      </c>
      <c r="H1126" s="3">
        <v>227.03788190973427</v>
      </c>
      <c r="I1126" s="3">
        <f>ProductLine[[#This Row],[Units]]*ProductLine[[#This Row],[Dollars]]</f>
        <v>17027.841143230071</v>
      </c>
    </row>
    <row r="1127" spans="1:9" x14ac:dyDescent="0.35">
      <c r="A1127">
        <v>1126</v>
      </c>
      <c r="B1127" t="s">
        <v>11</v>
      </c>
      <c r="C1127" s="2">
        <v>38320</v>
      </c>
      <c r="D1127">
        <f>YEAR(ProductLine[[#This Row],[Date]])</f>
        <v>2004</v>
      </c>
      <c r="E1127">
        <f>MONTH(ProductLine[[#This Row],[Date]])</f>
        <v>11</v>
      </c>
      <c r="F1127" t="s">
        <v>24</v>
      </c>
      <c r="G1127">
        <v>78</v>
      </c>
      <c r="H1127" s="3">
        <v>235.68084148847547</v>
      </c>
      <c r="I1127" s="3">
        <f>ProductLine[[#This Row],[Units]]*ProductLine[[#This Row],[Dollars]]</f>
        <v>18383.105636101085</v>
      </c>
    </row>
    <row r="1128" spans="1:9" x14ac:dyDescent="0.35">
      <c r="A1128">
        <v>1127</v>
      </c>
      <c r="B1128" t="s">
        <v>12</v>
      </c>
      <c r="C1128" s="2">
        <v>38980</v>
      </c>
      <c r="D1128">
        <f>YEAR(ProductLine[[#This Row],[Date]])</f>
        <v>2006</v>
      </c>
      <c r="E1128">
        <f>MONTH(ProductLine[[#This Row],[Date]])</f>
        <v>9</v>
      </c>
      <c r="F1128" t="s">
        <v>24</v>
      </c>
      <c r="G1128">
        <v>6</v>
      </c>
      <c r="H1128" s="3">
        <v>20.386126115237083</v>
      </c>
      <c r="I1128" s="3">
        <f>ProductLine[[#This Row],[Units]]*ProductLine[[#This Row],[Dollars]]</f>
        <v>122.3167566914225</v>
      </c>
    </row>
    <row r="1129" spans="1:9" x14ac:dyDescent="0.35">
      <c r="A1129">
        <v>1128</v>
      </c>
      <c r="B1129" t="s">
        <v>13</v>
      </c>
      <c r="C1129" s="2">
        <v>38562</v>
      </c>
      <c r="D1129">
        <f>YEAR(ProductLine[[#This Row],[Date]])</f>
        <v>2005</v>
      </c>
      <c r="E1129">
        <f>MONTH(ProductLine[[#This Row],[Date]])</f>
        <v>7</v>
      </c>
      <c r="F1129" t="s">
        <v>23</v>
      </c>
      <c r="G1129">
        <v>57</v>
      </c>
      <c r="H1129" s="3">
        <v>172.66966829976792</v>
      </c>
      <c r="I1129" s="3">
        <f>ProductLine[[#This Row],[Units]]*ProductLine[[#This Row],[Dollars]]</f>
        <v>9842.1710930867721</v>
      </c>
    </row>
    <row r="1130" spans="1:9" x14ac:dyDescent="0.35">
      <c r="A1130">
        <v>1129</v>
      </c>
      <c r="B1130" t="s">
        <v>10</v>
      </c>
      <c r="C1130" s="2">
        <v>38452</v>
      </c>
      <c r="D1130">
        <f>YEAR(ProductLine[[#This Row],[Date]])</f>
        <v>2005</v>
      </c>
      <c r="E1130">
        <f>MONTH(ProductLine[[#This Row],[Date]])</f>
        <v>4</v>
      </c>
      <c r="F1130" t="s">
        <v>26</v>
      </c>
      <c r="G1130">
        <v>35</v>
      </c>
      <c r="H1130" s="3">
        <v>106.52782470569326</v>
      </c>
      <c r="I1130" s="3">
        <f>ProductLine[[#This Row],[Units]]*ProductLine[[#This Row],[Dollars]]</f>
        <v>3728.4738646992641</v>
      </c>
    </row>
    <row r="1131" spans="1:9" x14ac:dyDescent="0.35">
      <c r="A1131">
        <v>1130</v>
      </c>
      <c r="B1131" t="s">
        <v>17</v>
      </c>
      <c r="C1131" s="2">
        <v>39035</v>
      </c>
      <c r="D1131">
        <f>YEAR(ProductLine[[#This Row],[Date]])</f>
        <v>2006</v>
      </c>
      <c r="E1131">
        <f>MONTH(ProductLine[[#This Row],[Date]])</f>
        <v>11</v>
      </c>
      <c r="F1131" t="s">
        <v>26</v>
      </c>
      <c r="G1131">
        <v>72</v>
      </c>
      <c r="H1131" s="3">
        <v>217.3653218325137</v>
      </c>
      <c r="I1131" s="3">
        <f>ProductLine[[#This Row],[Units]]*ProductLine[[#This Row],[Dollars]]</f>
        <v>15650.303171940986</v>
      </c>
    </row>
    <row r="1132" spans="1:9" x14ac:dyDescent="0.35">
      <c r="A1132">
        <v>1131</v>
      </c>
      <c r="B1132" t="s">
        <v>16</v>
      </c>
      <c r="C1132" s="2">
        <v>38155</v>
      </c>
      <c r="D1132">
        <f>YEAR(ProductLine[[#This Row],[Date]])</f>
        <v>2004</v>
      </c>
      <c r="E1132">
        <f>MONTH(ProductLine[[#This Row],[Date]])</f>
        <v>6</v>
      </c>
      <c r="F1132" t="s">
        <v>27</v>
      </c>
      <c r="G1132">
        <v>79</v>
      </c>
      <c r="H1132" s="3">
        <v>238.31546571286182</v>
      </c>
      <c r="I1132" s="3">
        <f>ProductLine[[#This Row],[Units]]*ProductLine[[#This Row],[Dollars]]</f>
        <v>18826.921791316083</v>
      </c>
    </row>
    <row r="1133" spans="1:9" x14ac:dyDescent="0.35">
      <c r="A1133">
        <v>1132</v>
      </c>
      <c r="B1133" t="s">
        <v>17</v>
      </c>
      <c r="C1133" s="2">
        <v>38463</v>
      </c>
      <c r="D1133">
        <f>YEAR(ProductLine[[#This Row],[Date]])</f>
        <v>2005</v>
      </c>
      <c r="E1133">
        <f>MONTH(ProductLine[[#This Row],[Date]])</f>
        <v>4</v>
      </c>
      <c r="F1133" t="s">
        <v>23</v>
      </c>
      <c r="G1133">
        <v>89</v>
      </c>
      <c r="H1133" s="3">
        <v>269.0186169961018</v>
      </c>
      <c r="I1133" s="3">
        <f>ProductLine[[#This Row],[Units]]*ProductLine[[#This Row],[Dollars]]</f>
        <v>23942.656912653059</v>
      </c>
    </row>
    <row r="1134" spans="1:9" x14ac:dyDescent="0.35">
      <c r="A1134">
        <v>1133</v>
      </c>
      <c r="B1134" t="s">
        <v>16</v>
      </c>
      <c r="C1134" s="2">
        <v>38474</v>
      </c>
      <c r="D1134">
        <f>YEAR(ProductLine[[#This Row],[Date]])</f>
        <v>2005</v>
      </c>
      <c r="E1134">
        <f>MONTH(ProductLine[[#This Row],[Date]])</f>
        <v>5</v>
      </c>
      <c r="F1134" t="s">
        <v>26</v>
      </c>
      <c r="G1134">
        <v>84</v>
      </c>
      <c r="H1134" s="3">
        <v>252.58494974261927</v>
      </c>
      <c r="I1134" s="3">
        <f>ProductLine[[#This Row],[Units]]*ProductLine[[#This Row],[Dollars]]</f>
        <v>21217.135778380019</v>
      </c>
    </row>
    <row r="1135" spans="1:9" x14ac:dyDescent="0.35">
      <c r="A1135">
        <v>1134</v>
      </c>
      <c r="B1135" t="s">
        <v>14</v>
      </c>
      <c r="C1135" s="2">
        <v>38969</v>
      </c>
      <c r="D1135">
        <f>YEAR(ProductLine[[#This Row],[Date]])</f>
        <v>2006</v>
      </c>
      <c r="E1135">
        <f>MONTH(ProductLine[[#This Row],[Date]])</f>
        <v>9</v>
      </c>
      <c r="F1135" t="s">
        <v>27</v>
      </c>
      <c r="G1135">
        <v>43</v>
      </c>
      <c r="H1135" s="3">
        <v>130.65515170314279</v>
      </c>
      <c r="I1135" s="3">
        <f>ProductLine[[#This Row],[Units]]*ProductLine[[#This Row],[Dollars]]</f>
        <v>5618.1715232351398</v>
      </c>
    </row>
    <row r="1136" spans="1:9" x14ac:dyDescent="0.35">
      <c r="A1136">
        <v>1135</v>
      </c>
      <c r="B1136" t="s">
        <v>15</v>
      </c>
      <c r="C1136" s="2">
        <v>38738</v>
      </c>
      <c r="D1136">
        <f>YEAR(ProductLine[[#This Row],[Date]])</f>
        <v>2006</v>
      </c>
      <c r="E1136">
        <f>MONTH(ProductLine[[#This Row],[Date]])</f>
        <v>1</v>
      </c>
      <c r="F1136" t="s">
        <v>23</v>
      </c>
      <c r="G1136">
        <v>-4</v>
      </c>
      <c r="H1136" s="3">
        <v>-9.965195042789297</v>
      </c>
      <c r="I1136" s="3">
        <f>ProductLine[[#This Row],[Units]]*ProductLine[[#This Row],[Dollars]]</f>
        <v>39.860780171157188</v>
      </c>
    </row>
    <row r="1137" spans="1:9" x14ac:dyDescent="0.35">
      <c r="A1137">
        <v>1136</v>
      </c>
      <c r="B1137" t="s">
        <v>15</v>
      </c>
      <c r="C1137" s="2">
        <v>38364</v>
      </c>
      <c r="D1137">
        <f>YEAR(ProductLine[[#This Row],[Date]])</f>
        <v>2005</v>
      </c>
      <c r="E1137">
        <f>MONTH(ProductLine[[#This Row],[Date]])</f>
        <v>1</v>
      </c>
      <c r="F1137" t="s">
        <v>24</v>
      </c>
      <c r="G1137">
        <v>51</v>
      </c>
      <c r="H1137" s="3">
        <v>154.66031011925435</v>
      </c>
      <c r="I1137" s="3">
        <f>ProductLine[[#This Row],[Units]]*ProductLine[[#This Row],[Dollars]]</f>
        <v>7887.6758160819718</v>
      </c>
    </row>
    <row r="1138" spans="1:9" x14ac:dyDescent="0.35">
      <c r="A1138">
        <v>1137</v>
      </c>
      <c r="B1138" t="s">
        <v>9</v>
      </c>
      <c r="C1138" s="2">
        <v>38859</v>
      </c>
      <c r="D1138">
        <f>YEAR(ProductLine[[#This Row],[Date]])</f>
        <v>2006</v>
      </c>
      <c r="E1138">
        <f>MONTH(ProductLine[[#This Row],[Date]])</f>
        <v>5</v>
      </c>
      <c r="F1138" t="s">
        <v>23</v>
      </c>
      <c r="G1138">
        <v>17</v>
      </c>
      <c r="H1138" s="3">
        <v>53.072576846761372</v>
      </c>
      <c r="I1138" s="3">
        <f>ProductLine[[#This Row],[Units]]*ProductLine[[#This Row],[Dollars]]</f>
        <v>902.23380639494337</v>
      </c>
    </row>
    <row r="1139" spans="1:9" x14ac:dyDescent="0.35">
      <c r="A1139">
        <v>1138</v>
      </c>
      <c r="B1139" t="s">
        <v>10</v>
      </c>
      <c r="C1139" s="2">
        <v>39035</v>
      </c>
      <c r="D1139">
        <f>YEAR(ProductLine[[#This Row],[Date]])</f>
        <v>2006</v>
      </c>
      <c r="E1139">
        <f>MONTH(ProductLine[[#This Row],[Date]])</f>
        <v>11</v>
      </c>
      <c r="F1139" t="s">
        <v>27</v>
      </c>
      <c r="G1139">
        <v>51</v>
      </c>
      <c r="H1139" s="3">
        <v>155.23584686430669</v>
      </c>
      <c r="I1139" s="3">
        <f>ProductLine[[#This Row],[Units]]*ProductLine[[#This Row],[Dollars]]</f>
        <v>7917.0281900796417</v>
      </c>
    </row>
    <row r="1140" spans="1:9" x14ac:dyDescent="0.35">
      <c r="A1140">
        <v>1139</v>
      </c>
      <c r="B1140" t="s">
        <v>16</v>
      </c>
      <c r="C1140" s="2">
        <v>38782</v>
      </c>
      <c r="D1140">
        <f>YEAR(ProductLine[[#This Row],[Date]])</f>
        <v>2006</v>
      </c>
      <c r="E1140">
        <f>MONTH(ProductLine[[#This Row],[Date]])</f>
        <v>3</v>
      </c>
      <c r="F1140" t="s">
        <v>26</v>
      </c>
      <c r="G1140">
        <v>14</v>
      </c>
      <c r="H1140" s="3">
        <v>44.195651647644979</v>
      </c>
      <c r="I1140" s="3">
        <f>ProductLine[[#This Row],[Units]]*ProductLine[[#This Row],[Dollars]]</f>
        <v>618.73912306702971</v>
      </c>
    </row>
    <row r="1141" spans="1:9" x14ac:dyDescent="0.35">
      <c r="A1141">
        <v>1140</v>
      </c>
      <c r="B1141" t="s">
        <v>11</v>
      </c>
      <c r="C1141" s="2">
        <v>39068</v>
      </c>
      <c r="D1141">
        <f>YEAR(ProductLine[[#This Row],[Date]])</f>
        <v>2006</v>
      </c>
      <c r="E1141">
        <f>MONTH(ProductLine[[#This Row],[Date]])</f>
        <v>12</v>
      </c>
      <c r="F1141" t="s">
        <v>23</v>
      </c>
      <c r="G1141">
        <v>60</v>
      </c>
      <c r="H1141" s="3">
        <v>181.87259058007896</v>
      </c>
      <c r="I1141" s="3">
        <f>ProductLine[[#This Row],[Units]]*ProductLine[[#This Row],[Dollars]]</f>
        <v>10912.355434804738</v>
      </c>
    </row>
    <row r="1142" spans="1:9" x14ac:dyDescent="0.35">
      <c r="A1142">
        <v>1141</v>
      </c>
      <c r="B1142" t="s">
        <v>17</v>
      </c>
      <c r="C1142" s="2">
        <v>38309</v>
      </c>
      <c r="D1142">
        <f>YEAR(ProductLine[[#This Row],[Date]])</f>
        <v>2004</v>
      </c>
      <c r="E1142">
        <f>MONTH(ProductLine[[#This Row],[Date]])</f>
        <v>11</v>
      </c>
      <c r="F1142" t="s">
        <v>27</v>
      </c>
      <c r="G1142">
        <v>-8</v>
      </c>
      <c r="H1142" s="3">
        <v>-21.981669305596434</v>
      </c>
      <c r="I1142" s="3">
        <f>ProductLine[[#This Row],[Units]]*ProductLine[[#This Row],[Dollars]]</f>
        <v>175.85335444477147</v>
      </c>
    </row>
    <row r="1143" spans="1:9" x14ac:dyDescent="0.35">
      <c r="A1143">
        <v>1142</v>
      </c>
      <c r="B1143" t="s">
        <v>13</v>
      </c>
      <c r="C1143" s="2">
        <v>38529</v>
      </c>
      <c r="D1143">
        <f>YEAR(ProductLine[[#This Row],[Date]])</f>
        <v>2005</v>
      </c>
      <c r="E1143">
        <f>MONTH(ProductLine[[#This Row],[Date]])</f>
        <v>6</v>
      </c>
      <c r="F1143" t="s">
        <v>24</v>
      </c>
      <c r="G1143">
        <v>95</v>
      </c>
      <c r="H1143" s="3">
        <v>286.66171116702549</v>
      </c>
      <c r="I1143" s="3">
        <f>ProductLine[[#This Row],[Units]]*ProductLine[[#This Row],[Dollars]]</f>
        <v>27232.862560867423</v>
      </c>
    </row>
    <row r="1144" spans="1:9" x14ac:dyDescent="0.35">
      <c r="A1144">
        <v>1143</v>
      </c>
      <c r="B1144" t="s">
        <v>12</v>
      </c>
      <c r="C1144" s="2">
        <v>38749</v>
      </c>
      <c r="D1144">
        <f>YEAR(ProductLine[[#This Row],[Date]])</f>
        <v>2006</v>
      </c>
      <c r="E1144">
        <f>MONTH(ProductLine[[#This Row],[Date]])</f>
        <v>2</v>
      </c>
      <c r="F1144" t="s">
        <v>24</v>
      </c>
      <c r="G1144">
        <v>66</v>
      </c>
      <c r="H1144" s="3">
        <v>199.59386136754239</v>
      </c>
      <c r="I1144" s="3">
        <f>ProductLine[[#This Row],[Units]]*ProductLine[[#This Row],[Dollars]]</f>
        <v>13173.194850257798</v>
      </c>
    </row>
    <row r="1145" spans="1:9" x14ac:dyDescent="0.35">
      <c r="A1145">
        <v>1144</v>
      </c>
      <c r="B1145" t="s">
        <v>12</v>
      </c>
      <c r="C1145" s="2">
        <v>38342</v>
      </c>
      <c r="D1145">
        <f>YEAR(ProductLine[[#This Row],[Date]])</f>
        <v>2004</v>
      </c>
      <c r="E1145">
        <f>MONTH(ProductLine[[#This Row],[Date]])</f>
        <v>12</v>
      </c>
      <c r="F1145" t="s">
        <v>23</v>
      </c>
      <c r="G1145">
        <v>77</v>
      </c>
      <c r="H1145" s="3">
        <v>232.62615004199816</v>
      </c>
      <c r="I1145" s="3">
        <f>ProductLine[[#This Row],[Units]]*ProductLine[[#This Row],[Dollars]]</f>
        <v>17912.213553233858</v>
      </c>
    </row>
    <row r="1146" spans="1:9" x14ac:dyDescent="0.35">
      <c r="A1146">
        <v>1145</v>
      </c>
      <c r="B1146" t="s">
        <v>10</v>
      </c>
      <c r="C1146" s="2">
        <v>38331</v>
      </c>
      <c r="D1146">
        <f>YEAR(ProductLine[[#This Row],[Date]])</f>
        <v>2004</v>
      </c>
      <c r="E1146">
        <f>MONTH(ProductLine[[#This Row],[Date]])</f>
        <v>12</v>
      </c>
      <c r="F1146" t="s">
        <v>26</v>
      </c>
      <c r="G1146">
        <v>65</v>
      </c>
      <c r="H1146" s="3">
        <v>197.3309600781289</v>
      </c>
      <c r="I1146" s="3">
        <f>ProductLine[[#This Row],[Units]]*ProductLine[[#This Row],[Dollars]]</f>
        <v>12826.512405078378</v>
      </c>
    </row>
    <row r="1147" spans="1:9" x14ac:dyDescent="0.35">
      <c r="A1147">
        <v>1146</v>
      </c>
      <c r="B1147" t="s">
        <v>10</v>
      </c>
      <c r="C1147" s="2">
        <v>38463</v>
      </c>
      <c r="D1147">
        <f>YEAR(ProductLine[[#This Row],[Date]])</f>
        <v>2005</v>
      </c>
      <c r="E1147">
        <f>MONTH(ProductLine[[#This Row],[Date]])</f>
        <v>4</v>
      </c>
      <c r="F1147" t="s">
        <v>27</v>
      </c>
      <c r="G1147">
        <v>29</v>
      </c>
      <c r="H1147" s="3">
        <v>89.184247826635968</v>
      </c>
      <c r="I1147" s="3">
        <f>ProductLine[[#This Row],[Units]]*ProductLine[[#This Row],[Dollars]]</f>
        <v>2586.3431869724432</v>
      </c>
    </row>
    <row r="1148" spans="1:9" x14ac:dyDescent="0.35">
      <c r="A1148">
        <v>1147</v>
      </c>
      <c r="B1148" t="s">
        <v>12</v>
      </c>
      <c r="C1148" s="2">
        <v>38177</v>
      </c>
      <c r="D1148">
        <f>YEAR(ProductLine[[#This Row],[Date]])</f>
        <v>2004</v>
      </c>
      <c r="E1148">
        <f>MONTH(ProductLine[[#This Row],[Date]])</f>
        <v>7</v>
      </c>
      <c r="F1148" t="s">
        <v>25</v>
      </c>
      <c r="G1148">
        <v>8</v>
      </c>
      <c r="H1148" s="3">
        <v>26.088167418036129</v>
      </c>
      <c r="I1148" s="3">
        <f>ProductLine[[#This Row],[Units]]*ProductLine[[#This Row],[Dollars]]</f>
        <v>208.70533934428903</v>
      </c>
    </row>
    <row r="1149" spans="1:9" x14ac:dyDescent="0.35">
      <c r="A1149">
        <v>1148</v>
      </c>
      <c r="B1149" t="s">
        <v>11</v>
      </c>
      <c r="C1149" s="2">
        <v>38727</v>
      </c>
      <c r="D1149">
        <f>YEAR(ProductLine[[#This Row],[Date]])</f>
        <v>2006</v>
      </c>
      <c r="E1149">
        <f>MONTH(ProductLine[[#This Row],[Date]])</f>
        <v>1</v>
      </c>
      <c r="F1149" t="s">
        <v>25</v>
      </c>
      <c r="G1149">
        <v>42</v>
      </c>
      <c r="H1149" s="3">
        <v>127.86858054734927</v>
      </c>
      <c r="I1149" s="3">
        <f>ProductLine[[#This Row],[Units]]*ProductLine[[#This Row],[Dollars]]</f>
        <v>5370.4803829886696</v>
      </c>
    </row>
    <row r="1150" spans="1:9" x14ac:dyDescent="0.35">
      <c r="A1150">
        <v>1149</v>
      </c>
      <c r="B1150" t="s">
        <v>9</v>
      </c>
      <c r="C1150" s="2">
        <v>38045</v>
      </c>
      <c r="D1150">
        <f>YEAR(ProductLine[[#This Row],[Date]])</f>
        <v>2004</v>
      </c>
      <c r="E1150">
        <f>MONTH(ProductLine[[#This Row],[Date]])</f>
        <v>2</v>
      </c>
      <c r="F1150" t="s">
        <v>24</v>
      </c>
      <c r="G1150">
        <v>93</v>
      </c>
      <c r="H1150" s="3">
        <v>280.72118754503384</v>
      </c>
      <c r="I1150" s="3">
        <f>ProductLine[[#This Row],[Units]]*ProductLine[[#This Row],[Dollars]]</f>
        <v>26107.070441688149</v>
      </c>
    </row>
    <row r="1151" spans="1:9" x14ac:dyDescent="0.35">
      <c r="A1151">
        <v>1150</v>
      </c>
      <c r="B1151" t="s">
        <v>12</v>
      </c>
      <c r="C1151" s="2">
        <v>38144</v>
      </c>
      <c r="D1151">
        <f>YEAR(ProductLine[[#This Row],[Date]])</f>
        <v>2004</v>
      </c>
      <c r="E1151">
        <f>MONTH(ProductLine[[#This Row],[Date]])</f>
        <v>6</v>
      </c>
      <c r="F1151" t="s">
        <v>24</v>
      </c>
      <c r="G1151">
        <v>69</v>
      </c>
      <c r="H1151" s="3">
        <v>209.153628171767</v>
      </c>
      <c r="I1151" s="3">
        <f>ProductLine[[#This Row],[Units]]*ProductLine[[#This Row],[Dollars]]</f>
        <v>14431.600343851922</v>
      </c>
    </row>
    <row r="1152" spans="1:9" x14ac:dyDescent="0.35">
      <c r="A1152">
        <v>1151</v>
      </c>
      <c r="B1152" t="s">
        <v>13</v>
      </c>
      <c r="C1152" s="2">
        <v>38903</v>
      </c>
      <c r="D1152">
        <f>YEAR(ProductLine[[#This Row],[Date]])</f>
        <v>2006</v>
      </c>
      <c r="E1152">
        <f>MONTH(ProductLine[[#This Row],[Date]])</f>
        <v>7</v>
      </c>
      <c r="F1152" t="s">
        <v>27</v>
      </c>
      <c r="G1152">
        <v>91</v>
      </c>
      <c r="H1152" s="3">
        <v>274.80447122686729</v>
      </c>
      <c r="I1152" s="3">
        <f>ProductLine[[#This Row],[Units]]*ProductLine[[#This Row],[Dollars]]</f>
        <v>25007.206881644925</v>
      </c>
    </row>
    <row r="1153" spans="1:9" x14ac:dyDescent="0.35">
      <c r="A1153">
        <v>1152</v>
      </c>
      <c r="B1153" t="s">
        <v>10</v>
      </c>
      <c r="C1153" s="2">
        <v>38386</v>
      </c>
      <c r="D1153">
        <f>YEAR(ProductLine[[#This Row],[Date]])</f>
        <v>2005</v>
      </c>
      <c r="E1153">
        <f>MONTH(ProductLine[[#This Row],[Date]])</f>
        <v>2</v>
      </c>
      <c r="F1153" t="s">
        <v>26</v>
      </c>
      <c r="G1153">
        <v>11</v>
      </c>
      <c r="H1153" s="3">
        <v>34.520998663564384</v>
      </c>
      <c r="I1153" s="3">
        <f>ProductLine[[#This Row],[Units]]*ProductLine[[#This Row],[Dollars]]</f>
        <v>379.73098529920821</v>
      </c>
    </row>
    <row r="1154" spans="1:9" x14ac:dyDescent="0.35">
      <c r="A1154">
        <v>1153</v>
      </c>
      <c r="B1154" t="s">
        <v>10</v>
      </c>
      <c r="C1154" s="2">
        <v>38353</v>
      </c>
      <c r="D1154">
        <f>YEAR(ProductLine[[#This Row],[Date]])</f>
        <v>2005</v>
      </c>
      <c r="E1154">
        <f>MONTH(ProductLine[[#This Row],[Date]])</f>
        <v>1</v>
      </c>
      <c r="F1154" t="s">
        <v>23</v>
      </c>
      <c r="G1154">
        <v>-1</v>
      </c>
      <c r="H1154" s="3">
        <v>-1.5629041843202898</v>
      </c>
      <c r="I1154" s="3">
        <f>ProductLine[[#This Row],[Units]]*ProductLine[[#This Row],[Dollars]]</f>
        <v>1.5629041843202898</v>
      </c>
    </row>
    <row r="1155" spans="1:9" x14ac:dyDescent="0.35">
      <c r="A1155">
        <v>1154</v>
      </c>
      <c r="B1155" t="s">
        <v>16</v>
      </c>
      <c r="C1155" s="2">
        <v>38342</v>
      </c>
      <c r="D1155">
        <f>YEAR(ProductLine[[#This Row],[Date]])</f>
        <v>2004</v>
      </c>
      <c r="E1155">
        <f>MONTH(ProductLine[[#This Row],[Date]])</f>
        <v>12</v>
      </c>
      <c r="F1155" t="s">
        <v>27</v>
      </c>
      <c r="G1155">
        <v>52</v>
      </c>
      <c r="H1155" s="3">
        <v>158.21071487768182</v>
      </c>
      <c r="I1155" s="3">
        <f>ProductLine[[#This Row],[Units]]*ProductLine[[#This Row],[Dollars]]</f>
        <v>8226.9571736394555</v>
      </c>
    </row>
    <row r="1156" spans="1:9" x14ac:dyDescent="0.35">
      <c r="A1156">
        <v>1155</v>
      </c>
      <c r="B1156" t="s">
        <v>9</v>
      </c>
      <c r="C1156" s="2">
        <v>38782</v>
      </c>
      <c r="D1156">
        <f>YEAR(ProductLine[[#This Row],[Date]])</f>
        <v>2006</v>
      </c>
      <c r="E1156">
        <f>MONTH(ProductLine[[#This Row],[Date]])</f>
        <v>3</v>
      </c>
      <c r="F1156" t="s">
        <v>25</v>
      </c>
      <c r="G1156">
        <v>-10</v>
      </c>
      <c r="H1156" s="3">
        <v>-28.635014383965792</v>
      </c>
      <c r="I1156" s="3">
        <f>ProductLine[[#This Row],[Units]]*ProductLine[[#This Row],[Dollars]]</f>
        <v>286.3501438396579</v>
      </c>
    </row>
    <row r="1157" spans="1:9" x14ac:dyDescent="0.35">
      <c r="A1157">
        <v>1156</v>
      </c>
      <c r="B1157" t="s">
        <v>12</v>
      </c>
      <c r="C1157" s="2">
        <v>39046</v>
      </c>
      <c r="D1157">
        <f>YEAR(ProductLine[[#This Row],[Date]])</f>
        <v>2006</v>
      </c>
      <c r="E1157">
        <f>MONTH(ProductLine[[#This Row],[Date]])</f>
        <v>11</v>
      </c>
      <c r="F1157" t="s">
        <v>27</v>
      </c>
      <c r="G1157">
        <v>33</v>
      </c>
      <c r="H1157" s="3">
        <v>100.50696775814504</v>
      </c>
      <c r="I1157" s="3">
        <f>ProductLine[[#This Row],[Units]]*ProductLine[[#This Row],[Dollars]]</f>
        <v>3316.7299360187862</v>
      </c>
    </row>
    <row r="1158" spans="1:9" x14ac:dyDescent="0.35">
      <c r="A1158">
        <v>1157</v>
      </c>
      <c r="B1158" t="s">
        <v>9</v>
      </c>
      <c r="C1158" s="2">
        <v>38265</v>
      </c>
      <c r="D1158">
        <f>YEAR(ProductLine[[#This Row],[Date]])</f>
        <v>2004</v>
      </c>
      <c r="E1158">
        <f>MONTH(ProductLine[[#This Row],[Date]])</f>
        <v>10</v>
      </c>
      <c r="F1158" t="s">
        <v>25</v>
      </c>
      <c r="G1158">
        <v>-1</v>
      </c>
      <c r="H1158" s="3">
        <v>-1.1155837084126869</v>
      </c>
      <c r="I1158" s="3">
        <f>ProductLine[[#This Row],[Units]]*ProductLine[[#This Row],[Dollars]]</f>
        <v>1.1155837084126869</v>
      </c>
    </row>
    <row r="1159" spans="1:9" x14ac:dyDescent="0.35">
      <c r="A1159">
        <v>1158</v>
      </c>
      <c r="B1159" t="s">
        <v>13</v>
      </c>
      <c r="C1159" s="2">
        <v>38958</v>
      </c>
      <c r="D1159">
        <f>YEAR(ProductLine[[#This Row],[Date]])</f>
        <v>2006</v>
      </c>
      <c r="E1159">
        <f>MONTH(ProductLine[[#This Row],[Date]])</f>
        <v>8</v>
      </c>
      <c r="F1159" t="s">
        <v>27</v>
      </c>
      <c r="G1159">
        <v>24</v>
      </c>
      <c r="H1159" s="3">
        <v>73.541516730294589</v>
      </c>
      <c r="I1159" s="3">
        <f>ProductLine[[#This Row],[Units]]*ProductLine[[#This Row],[Dollars]]</f>
        <v>1764.9964015270702</v>
      </c>
    </row>
    <row r="1160" spans="1:9" x14ac:dyDescent="0.35">
      <c r="A1160">
        <v>1159</v>
      </c>
      <c r="B1160" t="s">
        <v>16</v>
      </c>
      <c r="C1160" s="2">
        <v>38122</v>
      </c>
      <c r="D1160">
        <f>YEAR(ProductLine[[#This Row],[Date]])</f>
        <v>2004</v>
      </c>
      <c r="E1160">
        <f>MONTH(ProductLine[[#This Row],[Date]])</f>
        <v>5</v>
      </c>
      <c r="F1160" t="s">
        <v>24</v>
      </c>
      <c r="G1160">
        <v>71</v>
      </c>
      <c r="H1160" s="3">
        <v>214.70316225183416</v>
      </c>
      <c r="I1160" s="3">
        <f>ProductLine[[#This Row],[Units]]*ProductLine[[#This Row],[Dollars]]</f>
        <v>15243.924519880225</v>
      </c>
    </row>
    <row r="1161" spans="1:9" x14ac:dyDescent="0.35">
      <c r="A1161">
        <v>1160</v>
      </c>
      <c r="B1161" t="s">
        <v>10</v>
      </c>
      <c r="C1161" s="2">
        <v>38309</v>
      </c>
      <c r="D1161">
        <f>YEAR(ProductLine[[#This Row],[Date]])</f>
        <v>2004</v>
      </c>
      <c r="E1161">
        <f>MONTH(ProductLine[[#This Row],[Date]])</f>
        <v>11</v>
      </c>
      <c r="F1161" t="s">
        <v>23</v>
      </c>
      <c r="G1161">
        <v>88</v>
      </c>
      <c r="H1161" s="3">
        <v>265.86483001134803</v>
      </c>
      <c r="I1161" s="3">
        <f>ProductLine[[#This Row],[Units]]*ProductLine[[#This Row],[Dollars]]</f>
        <v>23396.105040998627</v>
      </c>
    </row>
    <row r="1162" spans="1:9" x14ac:dyDescent="0.35">
      <c r="A1162">
        <v>1161</v>
      </c>
      <c r="B1162" t="s">
        <v>9</v>
      </c>
      <c r="C1162" s="2">
        <v>38562</v>
      </c>
      <c r="D1162">
        <f>YEAR(ProductLine[[#This Row],[Date]])</f>
        <v>2005</v>
      </c>
      <c r="E1162">
        <f>MONTH(ProductLine[[#This Row],[Date]])</f>
        <v>7</v>
      </c>
      <c r="F1162" t="s">
        <v>23</v>
      </c>
      <c r="G1162">
        <v>16</v>
      </c>
      <c r="H1162" s="3">
        <v>49.990501805612737</v>
      </c>
      <c r="I1162" s="3">
        <f>ProductLine[[#This Row],[Units]]*ProductLine[[#This Row],[Dollars]]</f>
        <v>799.8480288898038</v>
      </c>
    </row>
    <row r="1163" spans="1:9" x14ac:dyDescent="0.35">
      <c r="A1163">
        <v>1162</v>
      </c>
      <c r="B1163" t="s">
        <v>17</v>
      </c>
      <c r="C1163" s="2">
        <v>38518</v>
      </c>
      <c r="D1163">
        <f>YEAR(ProductLine[[#This Row],[Date]])</f>
        <v>2005</v>
      </c>
      <c r="E1163">
        <f>MONTH(ProductLine[[#This Row],[Date]])</f>
        <v>6</v>
      </c>
      <c r="F1163" t="s">
        <v>24</v>
      </c>
      <c r="G1163">
        <v>7</v>
      </c>
      <c r="H1163" s="3">
        <v>23.192150694784473</v>
      </c>
      <c r="I1163" s="3">
        <f>ProductLine[[#This Row],[Units]]*ProductLine[[#This Row],[Dollars]]</f>
        <v>162.34505486349133</v>
      </c>
    </row>
    <row r="1164" spans="1:9" x14ac:dyDescent="0.35">
      <c r="A1164">
        <v>1163</v>
      </c>
      <c r="B1164" t="s">
        <v>15</v>
      </c>
      <c r="C1164" s="2">
        <v>38254</v>
      </c>
      <c r="D1164">
        <f>YEAR(ProductLine[[#This Row],[Date]])</f>
        <v>2004</v>
      </c>
      <c r="E1164">
        <f>MONTH(ProductLine[[#This Row],[Date]])</f>
        <v>9</v>
      </c>
      <c r="F1164" t="s">
        <v>27</v>
      </c>
      <c r="G1164">
        <v>46</v>
      </c>
      <c r="H1164" s="3">
        <v>140.4791075192903</v>
      </c>
      <c r="I1164" s="3">
        <f>ProductLine[[#This Row],[Units]]*ProductLine[[#This Row],[Dollars]]</f>
        <v>6462.0389458873533</v>
      </c>
    </row>
    <row r="1165" spans="1:9" x14ac:dyDescent="0.35">
      <c r="A1165">
        <v>1164</v>
      </c>
      <c r="B1165" t="s">
        <v>11</v>
      </c>
      <c r="C1165" s="2">
        <v>38320</v>
      </c>
      <c r="D1165">
        <f>YEAR(ProductLine[[#This Row],[Date]])</f>
        <v>2004</v>
      </c>
      <c r="E1165">
        <f>MONTH(ProductLine[[#This Row],[Date]])</f>
        <v>11</v>
      </c>
      <c r="F1165" t="s">
        <v>24</v>
      </c>
      <c r="G1165">
        <v>-10</v>
      </c>
      <c r="H1165" s="3">
        <v>-27.584277375696701</v>
      </c>
      <c r="I1165" s="3">
        <f>ProductLine[[#This Row],[Units]]*ProductLine[[#This Row],[Dollars]]</f>
        <v>275.84277375696701</v>
      </c>
    </row>
    <row r="1166" spans="1:9" x14ac:dyDescent="0.35">
      <c r="A1166">
        <v>1165</v>
      </c>
      <c r="B1166" t="s">
        <v>10</v>
      </c>
      <c r="C1166" s="2">
        <v>38892</v>
      </c>
      <c r="D1166">
        <f>YEAR(ProductLine[[#This Row],[Date]])</f>
        <v>2006</v>
      </c>
      <c r="E1166">
        <f>MONTH(ProductLine[[#This Row],[Date]])</f>
        <v>6</v>
      </c>
      <c r="F1166" t="s">
        <v>23</v>
      </c>
      <c r="G1166">
        <v>83</v>
      </c>
      <c r="H1166" s="3">
        <v>251.13323611062162</v>
      </c>
      <c r="I1166" s="3">
        <f>ProductLine[[#This Row],[Units]]*ProductLine[[#This Row],[Dollars]]</f>
        <v>20844.058597181596</v>
      </c>
    </row>
    <row r="1167" spans="1:9" x14ac:dyDescent="0.35">
      <c r="A1167">
        <v>1166</v>
      </c>
      <c r="B1167" t="s">
        <v>16</v>
      </c>
      <c r="C1167" s="2">
        <v>38793</v>
      </c>
      <c r="D1167">
        <f>YEAR(ProductLine[[#This Row],[Date]])</f>
        <v>2006</v>
      </c>
      <c r="E1167">
        <f>MONTH(ProductLine[[#This Row],[Date]])</f>
        <v>3</v>
      </c>
      <c r="F1167" t="s">
        <v>23</v>
      </c>
      <c r="G1167">
        <v>85</v>
      </c>
      <c r="H1167" s="3">
        <v>256.22552874700915</v>
      </c>
      <c r="I1167" s="3">
        <f>ProductLine[[#This Row],[Units]]*ProductLine[[#This Row],[Dollars]]</f>
        <v>21779.169943495777</v>
      </c>
    </row>
    <row r="1168" spans="1:9" x14ac:dyDescent="0.35">
      <c r="A1168">
        <v>1167</v>
      </c>
      <c r="B1168" t="s">
        <v>12</v>
      </c>
      <c r="C1168" s="2">
        <v>38606</v>
      </c>
      <c r="D1168">
        <f>YEAR(ProductLine[[#This Row],[Date]])</f>
        <v>2005</v>
      </c>
      <c r="E1168">
        <f>MONTH(ProductLine[[#This Row],[Date]])</f>
        <v>9</v>
      </c>
      <c r="F1168" t="s">
        <v>26</v>
      </c>
      <c r="G1168">
        <v>18</v>
      </c>
      <c r="H1168" s="3">
        <v>56.221796879126835</v>
      </c>
      <c r="I1168" s="3">
        <f>ProductLine[[#This Row],[Units]]*ProductLine[[#This Row],[Dollars]]</f>
        <v>1011.992343824283</v>
      </c>
    </row>
    <row r="1169" spans="1:9" x14ac:dyDescent="0.35">
      <c r="A1169">
        <v>1168</v>
      </c>
      <c r="B1169" t="s">
        <v>14</v>
      </c>
      <c r="C1169" s="2">
        <v>38254</v>
      </c>
      <c r="D1169">
        <f>YEAR(ProductLine[[#This Row],[Date]])</f>
        <v>2004</v>
      </c>
      <c r="E1169">
        <f>MONTH(ProductLine[[#This Row],[Date]])</f>
        <v>9</v>
      </c>
      <c r="F1169" t="s">
        <v>25</v>
      </c>
      <c r="G1169">
        <v>83</v>
      </c>
      <c r="H1169" s="3">
        <v>251.40375169999851</v>
      </c>
      <c r="I1169" s="3">
        <f>ProductLine[[#This Row],[Units]]*ProductLine[[#This Row],[Dollars]]</f>
        <v>20866.511391099877</v>
      </c>
    </row>
    <row r="1170" spans="1:9" x14ac:dyDescent="0.35">
      <c r="A1170">
        <v>1169</v>
      </c>
      <c r="B1170" t="s">
        <v>17</v>
      </c>
      <c r="C1170" s="2">
        <v>39046</v>
      </c>
      <c r="D1170">
        <f>YEAR(ProductLine[[#This Row],[Date]])</f>
        <v>2006</v>
      </c>
      <c r="E1170">
        <f>MONTH(ProductLine[[#This Row],[Date]])</f>
        <v>11</v>
      </c>
      <c r="F1170" t="s">
        <v>23</v>
      </c>
      <c r="G1170">
        <v>71</v>
      </c>
      <c r="H1170" s="3">
        <v>214.72037779298833</v>
      </c>
      <c r="I1170" s="3">
        <f>ProductLine[[#This Row],[Units]]*ProductLine[[#This Row],[Dollars]]</f>
        <v>15245.146823302171</v>
      </c>
    </row>
    <row r="1171" spans="1:9" x14ac:dyDescent="0.35">
      <c r="A1171">
        <v>1170</v>
      </c>
      <c r="B1171" t="s">
        <v>15</v>
      </c>
      <c r="C1171" s="2">
        <v>38232</v>
      </c>
      <c r="D1171">
        <f>YEAR(ProductLine[[#This Row],[Date]])</f>
        <v>2004</v>
      </c>
      <c r="E1171">
        <f>MONTH(ProductLine[[#This Row],[Date]])</f>
        <v>9</v>
      </c>
      <c r="F1171" t="s">
        <v>26</v>
      </c>
      <c r="G1171">
        <v>2</v>
      </c>
      <c r="H1171" s="3">
        <v>7.9324854406454115</v>
      </c>
      <c r="I1171" s="3">
        <f>ProductLine[[#This Row],[Units]]*ProductLine[[#This Row],[Dollars]]</f>
        <v>15.864970881290823</v>
      </c>
    </row>
    <row r="1172" spans="1:9" x14ac:dyDescent="0.35">
      <c r="A1172">
        <v>1171</v>
      </c>
      <c r="B1172" t="s">
        <v>9</v>
      </c>
      <c r="C1172" s="2">
        <v>39035</v>
      </c>
      <c r="D1172">
        <f>YEAR(ProductLine[[#This Row],[Date]])</f>
        <v>2006</v>
      </c>
      <c r="E1172">
        <f>MONTH(ProductLine[[#This Row],[Date]])</f>
        <v>11</v>
      </c>
      <c r="F1172" t="s">
        <v>24</v>
      </c>
      <c r="G1172">
        <v>71</v>
      </c>
      <c r="H1172" s="3">
        <v>215.03086098171244</v>
      </c>
      <c r="I1172" s="3">
        <f>ProductLine[[#This Row],[Units]]*ProductLine[[#This Row],[Dollars]]</f>
        <v>15267.191129701583</v>
      </c>
    </row>
    <row r="1173" spans="1:9" x14ac:dyDescent="0.35">
      <c r="A1173">
        <v>1172</v>
      </c>
      <c r="B1173" t="s">
        <v>12</v>
      </c>
      <c r="C1173" s="2">
        <v>38617</v>
      </c>
      <c r="D1173">
        <f>YEAR(ProductLine[[#This Row],[Date]])</f>
        <v>2005</v>
      </c>
      <c r="E1173">
        <f>MONTH(ProductLine[[#This Row],[Date]])</f>
        <v>9</v>
      </c>
      <c r="F1173" t="s">
        <v>25</v>
      </c>
      <c r="G1173">
        <v>68</v>
      </c>
      <c r="H1173" s="3">
        <v>206.20589088795145</v>
      </c>
      <c r="I1173" s="3">
        <f>ProductLine[[#This Row],[Units]]*ProductLine[[#This Row],[Dollars]]</f>
        <v>14022.0005803807</v>
      </c>
    </row>
    <row r="1174" spans="1:9" x14ac:dyDescent="0.35">
      <c r="A1174">
        <v>1173</v>
      </c>
      <c r="B1174" t="s">
        <v>15</v>
      </c>
      <c r="C1174" s="2">
        <v>38298</v>
      </c>
      <c r="D1174">
        <f>YEAR(ProductLine[[#This Row],[Date]])</f>
        <v>2004</v>
      </c>
      <c r="E1174">
        <f>MONTH(ProductLine[[#This Row],[Date]])</f>
        <v>11</v>
      </c>
      <c r="F1174" t="s">
        <v>26</v>
      </c>
      <c r="G1174">
        <v>30</v>
      </c>
      <c r="H1174" s="3">
        <v>92.33205932019861</v>
      </c>
      <c r="I1174" s="3">
        <f>ProductLine[[#This Row],[Units]]*ProductLine[[#This Row],[Dollars]]</f>
        <v>2769.9617796059583</v>
      </c>
    </row>
    <row r="1175" spans="1:9" x14ac:dyDescent="0.35">
      <c r="A1175">
        <v>1174</v>
      </c>
      <c r="B1175" t="s">
        <v>10</v>
      </c>
      <c r="C1175" s="2">
        <v>38749</v>
      </c>
      <c r="D1175">
        <f>YEAR(ProductLine[[#This Row],[Date]])</f>
        <v>2006</v>
      </c>
      <c r="E1175">
        <f>MONTH(ProductLine[[#This Row],[Date]])</f>
        <v>2</v>
      </c>
      <c r="F1175" t="s">
        <v>25</v>
      </c>
      <c r="G1175">
        <v>72</v>
      </c>
      <c r="H1175" s="3">
        <v>217.8071938981364</v>
      </c>
      <c r="I1175" s="3">
        <f>ProductLine[[#This Row],[Units]]*ProductLine[[#This Row],[Dollars]]</f>
        <v>15682.117960665821</v>
      </c>
    </row>
    <row r="1176" spans="1:9" x14ac:dyDescent="0.35">
      <c r="A1176">
        <v>1175</v>
      </c>
      <c r="B1176" t="s">
        <v>16</v>
      </c>
      <c r="C1176" s="2">
        <v>38221</v>
      </c>
      <c r="D1176">
        <f>YEAR(ProductLine[[#This Row],[Date]])</f>
        <v>2004</v>
      </c>
      <c r="E1176">
        <f>MONTH(ProductLine[[#This Row],[Date]])</f>
        <v>8</v>
      </c>
      <c r="F1176" t="s">
        <v>26</v>
      </c>
      <c r="G1176">
        <v>73</v>
      </c>
      <c r="H1176" s="3">
        <v>221.36652611293488</v>
      </c>
      <c r="I1176" s="3">
        <f>ProductLine[[#This Row],[Units]]*ProductLine[[#This Row],[Dollars]]</f>
        <v>16159.756406244245</v>
      </c>
    </row>
    <row r="1177" spans="1:9" x14ac:dyDescent="0.35">
      <c r="A1177">
        <v>1176</v>
      </c>
      <c r="B1177" t="s">
        <v>9</v>
      </c>
      <c r="C1177" s="2">
        <v>38738</v>
      </c>
      <c r="D1177">
        <f>YEAR(ProductLine[[#This Row],[Date]])</f>
        <v>2006</v>
      </c>
      <c r="E1177">
        <f>MONTH(ProductLine[[#This Row],[Date]])</f>
        <v>1</v>
      </c>
      <c r="F1177" t="s">
        <v>23</v>
      </c>
      <c r="G1177">
        <v>28</v>
      </c>
      <c r="H1177" s="3">
        <v>86.468421123864729</v>
      </c>
      <c r="I1177" s="3">
        <f>ProductLine[[#This Row],[Units]]*ProductLine[[#This Row],[Dollars]]</f>
        <v>2421.1157914682126</v>
      </c>
    </row>
    <row r="1178" spans="1:9" x14ac:dyDescent="0.35">
      <c r="A1178">
        <v>1177</v>
      </c>
      <c r="B1178" t="s">
        <v>17</v>
      </c>
      <c r="C1178" s="2">
        <v>38793</v>
      </c>
      <c r="D1178">
        <f>YEAR(ProductLine[[#This Row],[Date]])</f>
        <v>2006</v>
      </c>
      <c r="E1178">
        <f>MONTH(ProductLine[[#This Row],[Date]])</f>
        <v>3</v>
      </c>
      <c r="F1178" t="s">
        <v>27</v>
      </c>
      <c r="G1178">
        <v>40</v>
      </c>
      <c r="H1178" s="3">
        <v>122.63642805944112</v>
      </c>
      <c r="I1178" s="3">
        <f>ProductLine[[#This Row],[Units]]*ProductLine[[#This Row],[Dollars]]</f>
        <v>4905.4571223776447</v>
      </c>
    </row>
    <row r="1179" spans="1:9" x14ac:dyDescent="0.35">
      <c r="A1179">
        <v>1178</v>
      </c>
      <c r="B1179" t="s">
        <v>15</v>
      </c>
      <c r="C1179" s="2">
        <v>39057</v>
      </c>
      <c r="D1179">
        <f>YEAR(ProductLine[[#This Row],[Date]])</f>
        <v>2006</v>
      </c>
      <c r="E1179">
        <f>MONTH(ProductLine[[#This Row],[Date]])</f>
        <v>12</v>
      </c>
      <c r="F1179" t="s">
        <v>24</v>
      </c>
      <c r="G1179">
        <v>-8</v>
      </c>
      <c r="H1179" s="3">
        <v>-22.295514644563095</v>
      </c>
      <c r="I1179" s="3">
        <f>ProductLine[[#This Row],[Units]]*ProductLine[[#This Row],[Dollars]]</f>
        <v>178.36411715650476</v>
      </c>
    </row>
    <row r="1180" spans="1:9" x14ac:dyDescent="0.35">
      <c r="A1180">
        <v>1179</v>
      </c>
      <c r="B1180" t="s">
        <v>11</v>
      </c>
      <c r="C1180" s="2">
        <v>38452</v>
      </c>
      <c r="D1180">
        <f>YEAR(ProductLine[[#This Row],[Date]])</f>
        <v>2005</v>
      </c>
      <c r="E1180">
        <f>MONTH(ProductLine[[#This Row],[Date]])</f>
        <v>4</v>
      </c>
      <c r="F1180" t="s">
        <v>25</v>
      </c>
      <c r="G1180">
        <v>70</v>
      </c>
      <c r="H1180" s="3">
        <v>211.69145448851842</v>
      </c>
      <c r="I1180" s="3">
        <f>ProductLine[[#This Row],[Units]]*ProductLine[[#This Row],[Dollars]]</f>
        <v>14818.40181419629</v>
      </c>
    </row>
    <row r="1181" spans="1:9" x14ac:dyDescent="0.35">
      <c r="A1181">
        <v>1180</v>
      </c>
      <c r="B1181" t="s">
        <v>9</v>
      </c>
      <c r="C1181" s="2">
        <v>38705</v>
      </c>
      <c r="D1181">
        <f>YEAR(ProductLine[[#This Row],[Date]])</f>
        <v>2005</v>
      </c>
      <c r="E1181">
        <f>MONTH(ProductLine[[#This Row],[Date]])</f>
        <v>12</v>
      </c>
      <c r="F1181" t="s">
        <v>26</v>
      </c>
      <c r="G1181">
        <v>3</v>
      </c>
      <c r="H1181" s="3">
        <v>10.721781338210716</v>
      </c>
      <c r="I1181" s="3">
        <f>ProductLine[[#This Row],[Units]]*ProductLine[[#This Row],[Dollars]]</f>
        <v>32.165344014632147</v>
      </c>
    </row>
    <row r="1182" spans="1:9" x14ac:dyDescent="0.35">
      <c r="A1182">
        <v>1181</v>
      </c>
      <c r="B1182" t="s">
        <v>9</v>
      </c>
      <c r="C1182" s="2">
        <v>38331</v>
      </c>
      <c r="D1182">
        <f>YEAR(ProductLine[[#This Row],[Date]])</f>
        <v>2004</v>
      </c>
      <c r="E1182">
        <f>MONTH(ProductLine[[#This Row],[Date]])</f>
        <v>12</v>
      </c>
      <c r="F1182" t="s">
        <v>26</v>
      </c>
      <c r="G1182">
        <v>33</v>
      </c>
      <c r="H1182" s="3">
        <v>100.68258329871269</v>
      </c>
      <c r="I1182" s="3">
        <f>ProductLine[[#This Row],[Units]]*ProductLine[[#This Row],[Dollars]]</f>
        <v>3322.5252488575188</v>
      </c>
    </row>
    <row r="1183" spans="1:9" x14ac:dyDescent="0.35">
      <c r="A1183">
        <v>1182</v>
      </c>
      <c r="B1183" t="s">
        <v>13</v>
      </c>
      <c r="C1183" s="2">
        <v>38221</v>
      </c>
      <c r="D1183">
        <f>YEAR(ProductLine[[#This Row],[Date]])</f>
        <v>2004</v>
      </c>
      <c r="E1183">
        <f>MONTH(ProductLine[[#This Row],[Date]])</f>
        <v>8</v>
      </c>
      <c r="F1183" t="s">
        <v>23</v>
      </c>
      <c r="G1183">
        <v>88</v>
      </c>
      <c r="H1183" s="3">
        <v>265.74766319973446</v>
      </c>
      <c r="I1183" s="3">
        <f>ProductLine[[#This Row],[Units]]*ProductLine[[#This Row],[Dollars]]</f>
        <v>23385.794361576634</v>
      </c>
    </row>
    <row r="1184" spans="1:9" x14ac:dyDescent="0.35">
      <c r="A1184">
        <v>1183</v>
      </c>
      <c r="B1184" t="s">
        <v>15</v>
      </c>
      <c r="C1184" s="2">
        <v>38353</v>
      </c>
      <c r="D1184">
        <f>YEAR(ProductLine[[#This Row],[Date]])</f>
        <v>2005</v>
      </c>
      <c r="E1184">
        <f>MONTH(ProductLine[[#This Row],[Date]])</f>
        <v>1</v>
      </c>
      <c r="F1184" t="s">
        <v>27</v>
      </c>
      <c r="G1184">
        <v>39</v>
      </c>
      <c r="H1184" s="3">
        <v>119.1661098521913</v>
      </c>
      <c r="I1184" s="3">
        <f>ProductLine[[#This Row],[Units]]*ProductLine[[#This Row],[Dollars]]</f>
        <v>4647.4782842354607</v>
      </c>
    </row>
    <row r="1185" spans="1:9" x14ac:dyDescent="0.35">
      <c r="A1185">
        <v>1184</v>
      </c>
      <c r="B1185" t="s">
        <v>17</v>
      </c>
      <c r="C1185" s="2">
        <v>38529</v>
      </c>
      <c r="D1185">
        <f>YEAR(ProductLine[[#This Row],[Date]])</f>
        <v>2005</v>
      </c>
      <c r="E1185">
        <f>MONTH(ProductLine[[#This Row],[Date]])</f>
        <v>6</v>
      </c>
      <c r="F1185" t="s">
        <v>25</v>
      </c>
      <c r="G1185">
        <v>64</v>
      </c>
      <c r="H1185" s="3">
        <v>193.63735378454803</v>
      </c>
      <c r="I1185" s="3">
        <f>ProductLine[[#This Row],[Units]]*ProductLine[[#This Row],[Dollars]]</f>
        <v>12392.790642211074</v>
      </c>
    </row>
    <row r="1186" spans="1:9" x14ac:dyDescent="0.35">
      <c r="A1186">
        <v>1185</v>
      </c>
      <c r="B1186" t="s">
        <v>16</v>
      </c>
      <c r="C1186" s="2">
        <v>38892</v>
      </c>
      <c r="D1186">
        <f>YEAR(ProductLine[[#This Row],[Date]])</f>
        <v>2006</v>
      </c>
      <c r="E1186">
        <f>MONTH(ProductLine[[#This Row],[Date]])</f>
        <v>6</v>
      </c>
      <c r="F1186" t="s">
        <v>23</v>
      </c>
      <c r="G1186">
        <v>0</v>
      </c>
      <c r="H1186" s="3">
        <v>2.1318123006760317</v>
      </c>
      <c r="I1186" s="3">
        <f>ProductLine[[#This Row],[Units]]*ProductLine[[#This Row],[Dollars]]</f>
        <v>0</v>
      </c>
    </row>
    <row r="1187" spans="1:9" x14ac:dyDescent="0.35">
      <c r="A1187">
        <v>1186</v>
      </c>
      <c r="B1187" t="s">
        <v>14</v>
      </c>
      <c r="C1187" s="2">
        <v>38067</v>
      </c>
      <c r="D1187">
        <f>YEAR(ProductLine[[#This Row],[Date]])</f>
        <v>2004</v>
      </c>
      <c r="E1187">
        <f>MONTH(ProductLine[[#This Row],[Date]])</f>
        <v>3</v>
      </c>
      <c r="F1187" t="s">
        <v>25</v>
      </c>
      <c r="G1187">
        <v>26</v>
      </c>
      <c r="H1187" s="3">
        <v>80.373766797749937</v>
      </c>
      <c r="I1187" s="3">
        <f>ProductLine[[#This Row],[Units]]*ProductLine[[#This Row],[Dollars]]</f>
        <v>2089.7179367414983</v>
      </c>
    </row>
    <row r="1188" spans="1:9" x14ac:dyDescent="0.35">
      <c r="A1188">
        <v>1187</v>
      </c>
      <c r="B1188" t="s">
        <v>11</v>
      </c>
      <c r="C1188" s="2">
        <v>38056</v>
      </c>
      <c r="D1188">
        <f>YEAR(ProductLine[[#This Row],[Date]])</f>
        <v>2004</v>
      </c>
      <c r="E1188">
        <f>MONTH(ProductLine[[#This Row],[Date]])</f>
        <v>3</v>
      </c>
      <c r="F1188" t="s">
        <v>23</v>
      </c>
      <c r="G1188">
        <v>0</v>
      </c>
      <c r="H1188" s="3">
        <v>1.4880685060494558</v>
      </c>
      <c r="I1188" s="3">
        <f>ProductLine[[#This Row],[Units]]*ProductLine[[#This Row],[Dollars]]</f>
        <v>0</v>
      </c>
    </row>
    <row r="1189" spans="1:9" x14ac:dyDescent="0.35">
      <c r="A1189">
        <v>1188</v>
      </c>
      <c r="B1189" t="s">
        <v>9</v>
      </c>
      <c r="C1189" s="2">
        <v>38881</v>
      </c>
      <c r="D1189">
        <f>YEAR(ProductLine[[#This Row],[Date]])</f>
        <v>2006</v>
      </c>
      <c r="E1189">
        <f>MONTH(ProductLine[[#This Row],[Date]])</f>
        <v>6</v>
      </c>
      <c r="F1189" t="s">
        <v>24</v>
      </c>
      <c r="G1189">
        <v>76</v>
      </c>
      <c r="H1189" s="3">
        <v>229.77238860248113</v>
      </c>
      <c r="I1189" s="3">
        <f>ProductLine[[#This Row],[Units]]*ProductLine[[#This Row],[Dollars]]</f>
        <v>17462.701533788564</v>
      </c>
    </row>
    <row r="1190" spans="1:9" x14ac:dyDescent="0.35">
      <c r="A1190">
        <v>1189</v>
      </c>
      <c r="B1190" t="s">
        <v>15</v>
      </c>
      <c r="C1190" s="2">
        <v>38287</v>
      </c>
      <c r="D1190">
        <f>YEAR(ProductLine[[#This Row],[Date]])</f>
        <v>2004</v>
      </c>
      <c r="E1190">
        <f>MONTH(ProductLine[[#This Row],[Date]])</f>
        <v>10</v>
      </c>
      <c r="F1190" t="s">
        <v>26</v>
      </c>
      <c r="G1190">
        <v>75</v>
      </c>
      <c r="H1190" s="3">
        <v>227.61957571703351</v>
      </c>
      <c r="I1190" s="3">
        <f>ProductLine[[#This Row],[Units]]*ProductLine[[#This Row],[Dollars]]</f>
        <v>17071.468178777512</v>
      </c>
    </row>
    <row r="1191" spans="1:9" x14ac:dyDescent="0.35">
      <c r="A1191">
        <v>1190</v>
      </c>
      <c r="B1191" t="s">
        <v>15</v>
      </c>
      <c r="C1191" s="2">
        <v>38155</v>
      </c>
      <c r="D1191">
        <f>YEAR(ProductLine[[#This Row],[Date]])</f>
        <v>2004</v>
      </c>
      <c r="E1191">
        <f>MONTH(ProductLine[[#This Row],[Date]])</f>
        <v>6</v>
      </c>
      <c r="F1191" t="s">
        <v>23</v>
      </c>
      <c r="G1191">
        <v>61</v>
      </c>
      <c r="H1191" s="3">
        <v>184.47481128177199</v>
      </c>
      <c r="I1191" s="3">
        <f>ProductLine[[#This Row],[Units]]*ProductLine[[#This Row],[Dollars]]</f>
        <v>11252.963488188092</v>
      </c>
    </row>
    <row r="1192" spans="1:9" x14ac:dyDescent="0.35">
      <c r="A1192">
        <v>1191</v>
      </c>
      <c r="B1192" t="s">
        <v>17</v>
      </c>
      <c r="C1192" s="2">
        <v>38551</v>
      </c>
      <c r="D1192">
        <f>YEAR(ProductLine[[#This Row],[Date]])</f>
        <v>2005</v>
      </c>
      <c r="E1192">
        <f>MONTH(ProductLine[[#This Row],[Date]])</f>
        <v>7</v>
      </c>
      <c r="F1192" t="s">
        <v>26</v>
      </c>
      <c r="G1192">
        <v>-2</v>
      </c>
      <c r="H1192" s="3">
        <v>-4.2806028749734537</v>
      </c>
      <c r="I1192" s="3">
        <f>ProductLine[[#This Row],[Units]]*ProductLine[[#This Row],[Dollars]]</f>
        <v>8.5612057499469074</v>
      </c>
    </row>
    <row r="1193" spans="1:9" x14ac:dyDescent="0.35">
      <c r="A1193">
        <v>1192</v>
      </c>
      <c r="B1193" t="s">
        <v>10</v>
      </c>
      <c r="C1193" s="2">
        <v>38023</v>
      </c>
      <c r="D1193">
        <f>YEAR(ProductLine[[#This Row],[Date]])</f>
        <v>2004</v>
      </c>
      <c r="E1193">
        <f>MONTH(ProductLine[[#This Row],[Date]])</f>
        <v>2</v>
      </c>
      <c r="F1193" t="s">
        <v>25</v>
      </c>
      <c r="G1193">
        <v>40</v>
      </c>
      <c r="H1193" s="3">
        <v>122.55161793559111</v>
      </c>
      <c r="I1193" s="3">
        <f>ProductLine[[#This Row],[Units]]*ProductLine[[#This Row],[Dollars]]</f>
        <v>4902.0647174236447</v>
      </c>
    </row>
    <row r="1194" spans="1:9" x14ac:dyDescent="0.35">
      <c r="A1194">
        <v>1193</v>
      </c>
      <c r="B1194" t="s">
        <v>13</v>
      </c>
      <c r="C1194" s="2">
        <v>38397</v>
      </c>
      <c r="D1194">
        <f>YEAR(ProductLine[[#This Row],[Date]])</f>
        <v>2005</v>
      </c>
      <c r="E1194">
        <f>MONTH(ProductLine[[#This Row],[Date]])</f>
        <v>2</v>
      </c>
      <c r="F1194" t="s">
        <v>26</v>
      </c>
      <c r="G1194">
        <v>5</v>
      </c>
      <c r="H1194" s="3">
        <v>17.384002396298932</v>
      </c>
      <c r="I1194" s="3">
        <f>ProductLine[[#This Row],[Units]]*ProductLine[[#This Row],[Dollars]]</f>
        <v>86.920011981494667</v>
      </c>
    </row>
    <row r="1195" spans="1:9" x14ac:dyDescent="0.35">
      <c r="A1195">
        <v>1194</v>
      </c>
      <c r="B1195" t="s">
        <v>13</v>
      </c>
      <c r="C1195" s="2">
        <v>38980</v>
      </c>
      <c r="D1195">
        <f>YEAR(ProductLine[[#This Row],[Date]])</f>
        <v>2006</v>
      </c>
      <c r="E1195">
        <f>MONTH(ProductLine[[#This Row],[Date]])</f>
        <v>9</v>
      </c>
      <c r="F1195" t="s">
        <v>26</v>
      </c>
      <c r="G1195">
        <v>57</v>
      </c>
      <c r="H1195" s="3">
        <v>172.52313391180516</v>
      </c>
      <c r="I1195" s="3">
        <f>ProductLine[[#This Row],[Units]]*ProductLine[[#This Row],[Dollars]]</f>
        <v>9833.8186329728942</v>
      </c>
    </row>
    <row r="1196" spans="1:9" x14ac:dyDescent="0.35">
      <c r="A1196">
        <v>1195</v>
      </c>
      <c r="B1196" t="s">
        <v>16</v>
      </c>
      <c r="C1196" s="2">
        <v>38804</v>
      </c>
      <c r="D1196">
        <f>YEAR(ProductLine[[#This Row],[Date]])</f>
        <v>2006</v>
      </c>
      <c r="E1196">
        <f>MONTH(ProductLine[[#This Row],[Date]])</f>
        <v>3</v>
      </c>
      <c r="F1196" t="s">
        <v>26</v>
      </c>
      <c r="G1196">
        <v>86</v>
      </c>
      <c r="H1196" s="3">
        <v>259.81646524411644</v>
      </c>
      <c r="I1196" s="3">
        <f>ProductLine[[#This Row],[Units]]*ProductLine[[#This Row],[Dollars]]</f>
        <v>22344.216010994016</v>
      </c>
    </row>
    <row r="1197" spans="1:9" x14ac:dyDescent="0.35">
      <c r="A1197">
        <v>1196</v>
      </c>
      <c r="B1197" t="s">
        <v>9</v>
      </c>
      <c r="C1197" s="2">
        <v>38155</v>
      </c>
      <c r="D1197">
        <f>YEAR(ProductLine[[#This Row],[Date]])</f>
        <v>2004</v>
      </c>
      <c r="E1197">
        <f>MONTH(ProductLine[[#This Row],[Date]])</f>
        <v>6</v>
      </c>
      <c r="F1197" t="s">
        <v>25</v>
      </c>
      <c r="G1197">
        <v>15</v>
      </c>
      <c r="H1197" s="3">
        <v>46.529110883082438</v>
      </c>
      <c r="I1197" s="3">
        <f>ProductLine[[#This Row],[Units]]*ProductLine[[#This Row],[Dollars]]</f>
        <v>697.93666324623655</v>
      </c>
    </row>
    <row r="1198" spans="1:9" x14ac:dyDescent="0.35">
      <c r="A1198">
        <v>1197</v>
      </c>
      <c r="B1198" t="s">
        <v>17</v>
      </c>
      <c r="C1198" s="2">
        <v>38969</v>
      </c>
      <c r="D1198">
        <f>YEAR(ProductLine[[#This Row],[Date]])</f>
        <v>2006</v>
      </c>
      <c r="E1198">
        <f>MONTH(ProductLine[[#This Row],[Date]])</f>
        <v>9</v>
      </c>
      <c r="F1198" t="s">
        <v>26</v>
      </c>
      <c r="G1198">
        <v>39</v>
      </c>
      <c r="H1198" s="3">
        <v>118.84027043467471</v>
      </c>
      <c r="I1198" s="3">
        <f>ProductLine[[#This Row],[Units]]*ProductLine[[#This Row],[Dollars]]</f>
        <v>4634.7705469523135</v>
      </c>
    </row>
    <row r="1199" spans="1:9" x14ac:dyDescent="0.35">
      <c r="A1199">
        <v>1198</v>
      </c>
      <c r="B1199" t="s">
        <v>9</v>
      </c>
      <c r="C1199" s="2">
        <v>38111</v>
      </c>
      <c r="D1199">
        <f>YEAR(ProductLine[[#This Row],[Date]])</f>
        <v>2004</v>
      </c>
      <c r="E1199">
        <f>MONTH(ProductLine[[#This Row],[Date]])</f>
        <v>5</v>
      </c>
      <c r="F1199" t="s">
        <v>24</v>
      </c>
      <c r="G1199">
        <v>94</v>
      </c>
      <c r="H1199" s="3">
        <v>284.28308169489765</v>
      </c>
      <c r="I1199" s="3">
        <f>ProductLine[[#This Row],[Units]]*ProductLine[[#This Row],[Dollars]]</f>
        <v>26722.60967932038</v>
      </c>
    </row>
    <row r="1200" spans="1:9" x14ac:dyDescent="0.35">
      <c r="A1200">
        <v>1199</v>
      </c>
      <c r="B1200" t="s">
        <v>9</v>
      </c>
      <c r="C1200" s="2">
        <v>38804</v>
      </c>
      <c r="D1200">
        <f>YEAR(ProductLine[[#This Row],[Date]])</f>
        <v>2006</v>
      </c>
      <c r="E1200">
        <f>MONTH(ProductLine[[#This Row],[Date]])</f>
        <v>3</v>
      </c>
      <c r="F1200" t="s">
        <v>23</v>
      </c>
      <c r="G1200">
        <v>78</v>
      </c>
      <c r="H1200" s="3">
        <v>235.94909602444432</v>
      </c>
      <c r="I1200" s="3">
        <f>ProductLine[[#This Row],[Units]]*ProductLine[[#This Row],[Dollars]]</f>
        <v>18404.029489906658</v>
      </c>
    </row>
    <row r="1201" spans="1:9" x14ac:dyDescent="0.35">
      <c r="A1201">
        <v>1200</v>
      </c>
      <c r="B1201" t="s">
        <v>17</v>
      </c>
      <c r="C1201" s="2">
        <v>38738</v>
      </c>
      <c r="D1201">
        <f>YEAR(ProductLine[[#This Row],[Date]])</f>
        <v>2006</v>
      </c>
      <c r="E1201">
        <f>MONTH(ProductLine[[#This Row],[Date]])</f>
        <v>1</v>
      </c>
      <c r="F1201" t="s">
        <v>26</v>
      </c>
      <c r="G1201">
        <v>65</v>
      </c>
      <c r="H1201" s="3">
        <v>196.94723752480948</v>
      </c>
      <c r="I1201" s="3">
        <f>ProductLine[[#This Row],[Units]]*ProductLine[[#This Row],[Dollars]]</f>
        <v>12801.570439112616</v>
      </c>
    </row>
    <row r="1202" spans="1:9" x14ac:dyDescent="0.35">
      <c r="A1202">
        <v>1201</v>
      </c>
      <c r="B1202" t="s">
        <v>11</v>
      </c>
      <c r="C1202" s="2">
        <v>39068</v>
      </c>
      <c r="D1202">
        <f>YEAR(ProductLine[[#This Row],[Date]])</f>
        <v>2006</v>
      </c>
      <c r="E1202">
        <f>MONTH(ProductLine[[#This Row],[Date]])</f>
        <v>12</v>
      </c>
      <c r="F1202" t="s">
        <v>26</v>
      </c>
      <c r="G1202">
        <v>66</v>
      </c>
      <c r="H1202" s="3">
        <v>199.89422548511391</v>
      </c>
      <c r="I1202" s="3">
        <f>ProductLine[[#This Row],[Units]]*ProductLine[[#This Row],[Dollars]]</f>
        <v>13193.018882017517</v>
      </c>
    </row>
    <row r="1203" spans="1:9" x14ac:dyDescent="0.35">
      <c r="A1203">
        <v>1202</v>
      </c>
      <c r="B1203" t="s">
        <v>15</v>
      </c>
      <c r="C1203" s="2">
        <v>38485</v>
      </c>
      <c r="D1203">
        <f>YEAR(ProductLine[[#This Row],[Date]])</f>
        <v>2005</v>
      </c>
      <c r="E1203">
        <f>MONTH(ProductLine[[#This Row],[Date]])</f>
        <v>5</v>
      </c>
      <c r="F1203" t="s">
        <v>27</v>
      </c>
      <c r="G1203">
        <v>84</v>
      </c>
      <c r="H1203" s="3">
        <v>254.09765790734036</v>
      </c>
      <c r="I1203" s="3">
        <f>ProductLine[[#This Row],[Units]]*ProductLine[[#This Row],[Dollars]]</f>
        <v>21344.20326421659</v>
      </c>
    </row>
    <row r="1204" spans="1:9" x14ac:dyDescent="0.35">
      <c r="A1204">
        <v>1203</v>
      </c>
      <c r="B1204" t="s">
        <v>9</v>
      </c>
      <c r="C1204" s="2">
        <v>38793</v>
      </c>
      <c r="D1204">
        <f>YEAR(ProductLine[[#This Row],[Date]])</f>
        <v>2006</v>
      </c>
      <c r="E1204">
        <f>MONTH(ProductLine[[#This Row],[Date]])</f>
        <v>3</v>
      </c>
      <c r="F1204" t="s">
        <v>27</v>
      </c>
      <c r="G1204">
        <v>35</v>
      </c>
      <c r="H1204" s="3">
        <v>107.42230334811192</v>
      </c>
      <c r="I1204" s="3">
        <f>ProductLine[[#This Row],[Units]]*ProductLine[[#This Row],[Dollars]]</f>
        <v>3759.7806171839175</v>
      </c>
    </row>
    <row r="1205" spans="1:9" x14ac:dyDescent="0.35">
      <c r="A1205">
        <v>1204</v>
      </c>
      <c r="B1205" t="s">
        <v>14</v>
      </c>
      <c r="C1205" s="2">
        <v>38144</v>
      </c>
      <c r="D1205">
        <f>YEAR(ProductLine[[#This Row],[Date]])</f>
        <v>2004</v>
      </c>
      <c r="E1205">
        <f>MONTH(ProductLine[[#This Row],[Date]])</f>
        <v>6</v>
      </c>
      <c r="F1205" t="s">
        <v>27</v>
      </c>
      <c r="G1205">
        <v>94</v>
      </c>
      <c r="H1205" s="3">
        <v>284.44960047674812</v>
      </c>
      <c r="I1205" s="3">
        <f>ProductLine[[#This Row],[Units]]*ProductLine[[#This Row],[Dollars]]</f>
        <v>26738.262444814321</v>
      </c>
    </row>
    <row r="1206" spans="1:9" x14ac:dyDescent="0.35">
      <c r="A1206">
        <v>1205</v>
      </c>
      <c r="B1206" t="s">
        <v>13</v>
      </c>
      <c r="C1206" s="2">
        <v>38452</v>
      </c>
      <c r="D1206">
        <f>YEAR(ProductLine[[#This Row],[Date]])</f>
        <v>2005</v>
      </c>
      <c r="E1206">
        <f>MONTH(ProductLine[[#This Row],[Date]])</f>
        <v>4</v>
      </c>
      <c r="F1206" t="s">
        <v>23</v>
      </c>
      <c r="G1206">
        <v>26</v>
      </c>
      <c r="H1206" s="3">
        <v>80.008907895331433</v>
      </c>
      <c r="I1206" s="3">
        <f>ProductLine[[#This Row],[Units]]*ProductLine[[#This Row],[Dollars]]</f>
        <v>2080.2316052786173</v>
      </c>
    </row>
    <row r="1207" spans="1:9" x14ac:dyDescent="0.35">
      <c r="A1207">
        <v>1206</v>
      </c>
      <c r="B1207" t="s">
        <v>16</v>
      </c>
      <c r="C1207" s="2">
        <v>38925</v>
      </c>
      <c r="D1207">
        <f>YEAR(ProductLine[[#This Row],[Date]])</f>
        <v>2006</v>
      </c>
      <c r="E1207">
        <f>MONTH(ProductLine[[#This Row],[Date]])</f>
        <v>7</v>
      </c>
      <c r="F1207" t="s">
        <v>26</v>
      </c>
      <c r="G1207">
        <v>80</v>
      </c>
      <c r="H1207" s="3">
        <v>242.68960514739433</v>
      </c>
      <c r="I1207" s="3">
        <f>ProductLine[[#This Row],[Units]]*ProductLine[[#This Row],[Dollars]]</f>
        <v>19415.168411791547</v>
      </c>
    </row>
    <row r="1208" spans="1:9" x14ac:dyDescent="0.35">
      <c r="A1208">
        <v>1207</v>
      </c>
      <c r="B1208" t="s">
        <v>14</v>
      </c>
      <c r="C1208" s="2">
        <v>38133</v>
      </c>
      <c r="D1208">
        <f>YEAR(ProductLine[[#This Row],[Date]])</f>
        <v>2004</v>
      </c>
      <c r="E1208">
        <f>MONTH(ProductLine[[#This Row],[Date]])</f>
        <v>5</v>
      </c>
      <c r="F1208" t="s">
        <v>23</v>
      </c>
      <c r="G1208">
        <v>7</v>
      </c>
      <c r="H1208" s="3">
        <v>22.749084769262449</v>
      </c>
      <c r="I1208" s="3">
        <f>ProductLine[[#This Row],[Units]]*ProductLine[[#This Row],[Dollars]]</f>
        <v>159.24359338483714</v>
      </c>
    </row>
    <row r="1209" spans="1:9" x14ac:dyDescent="0.35">
      <c r="A1209">
        <v>1208</v>
      </c>
      <c r="B1209" t="s">
        <v>10</v>
      </c>
      <c r="C1209" s="2">
        <v>38925</v>
      </c>
      <c r="D1209">
        <f>YEAR(ProductLine[[#This Row],[Date]])</f>
        <v>2006</v>
      </c>
      <c r="E1209">
        <f>MONTH(ProductLine[[#This Row],[Date]])</f>
        <v>7</v>
      </c>
      <c r="F1209" t="s">
        <v>27</v>
      </c>
      <c r="G1209">
        <v>47</v>
      </c>
      <c r="H1209" s="3">
        <v>142.45293344391169</v>
      </c>
      <c r="I1209" s="3">
        <f>ProductLine[[#This Row],[Units]]*ProductLine[[#This Row],[Dollars]]</f>
        <v>6695.2878718638494</v>
      </c>
    </row>
    <row r="1210" spans="1:9" x14ac:dyDescent="0.35">
      <c r="A1210">
        <v>1209</v>
      </c>
      <c r="B1210" t="s">
        <v>13</v>
      </c>
      <c r="C1210" s="2">
        <v>38243</v>
      </c>
      <c r="D1210">
        <f>YEAR(ProductLine[[#This Row],[Date]])</f>
        <v>2004</v>
      </c>
      <c r="E1210">
        <f>MONTH(ProductLine[[#This Row],[Date]])</f>
        <v>9</v>
      </c>
      <c r="F1210" t="s">
        <v>23</v>
      </c>
      <c r="G1210">
        <v>32</v>
      </c>
      <c r="H1210" s="3">
        <v>98.66880662051085</v>
      </c>
      <c r="I1210" s="3">
        <f>ProductLine[[#This Row],[Units]]*ProductLine[[#This Row],[Dollars]]</f>
        <v>3157.4018118563472</v>
      </c>
    </row>
    <row r="1211" spans="1:9" x14ac:dyDescent="0.35">
      <c r="A1211">
        <v>1210</v>
      </c>
      <c r="B1211" t="s">
        <v>10</v>
      </c>
      <c r="C1211" s="2">
        <v>38683</v>
      </c>
      <c r="D1211">
        <f>YEAR(ProductLine[[#This Row],[Date]])</f>
        <v>2005</v>
      </c>
      <c r="E1211">
        <f>MONTH(ProductLine[[#This Row],[Date]])</f>
        <v>11</v>
      </c>
      <c r="F1211" t="s">
        <v>23</v>
      </c>
      <c r="G1211">
        <v>8</v>
      </c>
      <c r="H1211" s="3">
        <v>25.397181435002494</v>
      </c>
      <c r="I1211" s="3">
        <f>ProductLine[[#This Row],[Units]]*ProductLine[[#This Row],[Dollars]]</f>
        <v>203.17745148001995</v>
      </c>
    </row>
    <row r="1212" spans="1:9" x14ac:dyDescent="0.35">
      <c r="A1212">
        <v>1211</v>
      </c>
      <c r="B1212" t="s">
        <v>11</v>
      </c>
      <c r="C1212" s="2">
        <v>38199</v>
      </c>
      <c r="D1212">
        <f>YEAR(ProductLine[[#This Row],[Date]])</f>
        <v>2004</v>
      </c>
      <c r="E1212">
        <f>MONTH(ProductLine[[#This Row],[Date]])</f>
        <v>7</v>
      </c>
      <c r="F1212" t="s">
        <v>27</v>
      </c>
      <c r="G1212">
        <v>33</v>
      </c>
      <c r="H1212" s="3">
        <v>100.90835792644413</v>
      </c>
      <c r="I1212" s="3">
        <f>ProductLine[[#This Row],[Units]]*ProductLine[[#This Row],[Dollars]]</f>
        <v>3329.9758115726563</v>
      </c>
    </row>
    <row r="1213" spans="1:9" x14ac:dyDescent="0.35">
      <c r="A1213">
        <v>1212</v>
      </c>
      <c r="B1213" t="s">
        <v>16</v>
      </c>
      <c r="C1213" s="2">
        <v>38232</v>
      </c>
      <c r="D1213">
        <f>YEAR(ProductLine[[#This Row],[Date]])</f>
        <v>2004</v>
      </c>
      <c r="E1213">
        <f>MONTH(ProductLine[[#This Row],[Date]])</f>
        <v>9</v>
      </c>
      <c r="F1213" t="s">
        <v>26</v>
      </c>
      <c r="G1213">
        <v>22</v>
      </c>
      <c r="H1213" s="3">
        <v>68.443266596535878</v>
      </c>
      <c r="I1213" s="3">
        <f>ProductLine[[#This Row],[Units]]*ProductLine[[#This Row],[Dollars]]</f>
        <v>1505.7518651237892</v>
      </c>
    </row>
    <row r="1214" spans="1:9" x14ac:dyDescent="0.35">
      <c r="A1214">
        <v>1213</v>
      </c>
      <c r="B1214" t="s">
        <v>17</v>
      </c>
      <c r="C1214" s="2">
        <v>38650</v>
      </c>
      <c r="D1214">
        <f>YEAR(ProductLine[[#This Row],[Date]])</f>
        <v>2005</v>
      </c>
      <c r="E1214">
        <f>MONTH(ProductLine[[#This Row],[Date]])</f>
        <v>10</v>
      </c>
      <c r="F1214" t="s">
        <v>23</v>
      </c>
      <c r="G1214">
        <v>81</v>
      </c>
      <c r="H1214" s="3">
        <v>244.7024907032648</v>
      </c>
      <c r="I1214" s="3">
        <f>ProductLine[[#This Row],[Units]]*ProductLine[[#This Row],[Dollars]]</f>
        <v>19820.90174696445</v>
      </c>
    </row>
    <row r="1215" spans="1:9" x14ac:dyDescent="0.35">
      <c r="A1215">
        <v>1214</v>
      </c>
      <c r="B1215" t="s">
        <v>17</v>
      </c>
      <c r="C1215" s="2">
        <v>38881</v>
      </c>
      <c r="D1215">
        <f>YEAR(ProductLine[[#This Row],[Date]])</f>
        <v>2006</v>
      </c>
      <c r="E1215">
        <f>MONTH(ProductLine[[#This Row],[Date]])</f>
        <v>6</v>
      </c>
      <c r="F1215" t="s">
        <v>25</v>
      </c>
      <c r="G1215">
        <v>81</v>
      </c>
      <c r="H1215" s="3">
        <v>244.87385074051761</v>
      </c>
      <c r="I1215" s="3">
        <f>ProductLine[[#This Row],[Units]]*ProductLine[[#This Row],[Dollars]]</f>
        <v>19834.781909981928</v>
      </c>
    </row>
    <row r="1216" spans="1:9" x14ac:dyDescent="0.35">
      <c r="A1216">
        <v>1215</v>
      </c>
      <c r="B1216" t="s">
        <v>11</v>
      </c>
      <c r="C1216" s="2">
        <v>38199</v>
      </c>
      <c r="D1216">
        <f>YEAR(ProductLine[[#This Row],[Date]])</f>
        <v>2004</v>
      </c>
      <c r="E1216">
        <f>MONTH(ProductLine[[#This Row],[Date]])</f>
        <v>7</v>
      </c>
      <c r="F1216" t="s">
        <v>24</v>
      </c>
      <c r="G1216">
        <v>30</v>
      </c>
      <c r="H1216" s="3">
        <v>91.738843901415805</v>
      </c>
      <c r="I1216" s="3">
        <f>ProductLine[[#This Row],[Units]]*ProductLine[[#This Row],[Dollars]]</f>
        <v>2752.1653170424743</v>
      </c>
    </row>
    <row r="1217" spans="1:9" x14ac:dyDescent="0.35">
      <c r="A1217">
        <v>1216</v>
      </c>
      <c r="B1217" t="s">
        <v>12</v>
      </c>
      <c r="C1217" s="2">
        <v>38243</v>
      </c>
      <c r="D1217">
        <f>YEAR(ProductLine[[#This Row],[Date]])</f>
        <v>2004</v>
      </c>
      <c r="E1217">
        <f>MONTH(ProductLine[[#This Row],[Date]])</f>
        <v>9</v>
      </c>
      <c r="F1217" t="s">
        <v>23</v>
      </c>
      <c r="G1217">
        <v>-1</v>
      </c>
      <c r="H1217" s="3">
        <v>-1.145171893891844</v>
      </c>
      <c r="I1217" s="3">
        <f>ProductLine[[#This Row],[Units]]*ProductLine[[#This Row],[Dollars]]</f>
        <v>1.145171893891844</v>
      </c>
    </row>
    <row r="1218" spans="1:9" x14ac:dyDescent="0.35">
      <c r="A1218">
        <v>1217</v>
      </c>
      <c r="B1218" t="s">
        <v>10</v>
      </c>
      <c r="C1218" s="2">
        <v>38859</v>
      </c>
      <c r="D1218">
        <f>YEAR(ProductLine[[#This Row],[Date]])</f>
        <v>2006</v>
      </c>
      <c r="E1218">
        <f>MONTH(ProductLine[[#This Row],[Date]])</f>
        <v>5</v>
      </c>
      <c r="F1218" t="s">
        <v>27</v>
      </c>
      <c r="G1218">
        <v>35</v>
      </c>
      <c r="H1218" s="3">
        <v>106.85440305953027</v>
      </c>
      <c r="I1218" s="3">
        <f>ProductLine[[#This Row],[Units]]*ProductLine[[#This Row],[Dollars]]</f>
        <v>3739.9041070835597</v>
      </c>
    </row>
    <row r="1219" spans="1:9" x14ac:dyDescent="0.35">
      <c r="A1219">
        <v>1218</v>
      </c>
      <c r="B1219" t="s">
        <v>17</v>
      </c>
      <c r="C1219" s="2">
        <v>38793</v>
      </c>
      <c r="D1219">
        <f>YEAR(ProductLine[[#This Row],[Date]])</f>
        <v>2006</v>
      </c>
      <c r="E1219">
        <f>MONTH(ProductLine[[#This Row],[Date]])</f>
        <v>3</v>
      </c>
      <c r="F1219" t="s">
        <v>27</v>
      </c>
      <c r="G1219">
        <v>78</v>
      </c>
      <c r="H1219" s="3">
        <v>235.96052865922752</v>
      </c>
      <c r="I1219" s="3">
        <f>ProductLine[[#This Row],[Units]]*ProductLine[[#This Row],[Dollars]]</f>
        <v>18404.921235419748</v>
      </c>
    </row>
    <row r="1220" spans="1:9" x14ac:dyDescent="0.35">
      <c r="A1220">
        <v>1219</v>
      </c>
      <c r="B1220" t="s">
        <v>9</v>
      </c>
      <c r="C1220" s="2">
        <v>38936</v>
      </c>
      <c r="D1220">
        <f>YEAR(ProductLine[[#This Row],[Date]])</f>
        <v>2006</v>
      </c>
      <c r="E1220">
        <f>MONTH(ProductLine[[#This Row],[Date]])</f>
        <v>8</v>
      </c>
      <c r="F1220" t="s">
        <v>23</v>
      </c>
      <c r="G1220">
        <v>15</v>
      </c>
      <c r="H1220" s="3">
        <v>47.22639965086119</v>
      </c>
      <c r="I1220" s="3">
        <f>ProductLine[[#This Row],[Units]]*ProductLine[[#This Row],[Dollars]]</f>
        <v>708.39599476291789</v>
      </c>
    </row>
    <row r="1221" spans="1:9" x14ac:dyDescent="0.35">
      <c r="A1221">
        <v>1220</v>
      </c>
      <c r="B1221" t="s">
        <v>16</v>
      </c>
      <c r="C1221" s="2">
        <v>38375</v>
      </c>
      <c r="D1221">
        <f>YEAR(ProductLine[[#This Row],[Date]])</f>
        <v>2005</v>
      </c>
      <c r="E1221">
        <f>MONTH(ProductLine[[#This Row],[Date]])</f>
        <v>1</v>
      </c>
      <c r="F1221" t="s">
        <v>27</v>
      </c>
      <c r="G1221">
        <v>75</v>
      </c>
      <c r="H1221" s="3">
        <v>226.87742764461669</v>
      </c>
      <c r="I1221" s="3">
        <f>ProductLine[[#This Row],[Units]]*ProductLine[[#This Row],[Dollars]]</f>
        <v>17015.807073346252</v>
      </c>
    </row>
    <row r="1222" spans="1:9" x14ac:dyDescent="0.35">
      <c r="A1222">
        <v>1221</v>
      </c>
      <c r="B1222" t="s">
        <v>15</v>
      </c>
      <c r="C1222" s="2">
        <v>39002</v>
      </c>
      <c r="D1222">
        <f>YEAR(ProductLine[[#This Row],[Date]])</f>
        <v>2006</v>
      </c>
      <c r="E1222">
        <f>MONTH(ProductLine[[#This Row],[Date]])</f>
        <v>10</v>
      </c>
      <c r="F1222" t="s">
        <v>26</v>
      </c>
      <c r="G1222">
        <v>12</v>
      </c>
      <c r="H1222" s="3">
        <v>38.143038750044731</v>
      </c>
      <c r="I1222" s="3">
        <f>ProductLine[[#This Row],[Units]]*ProductLine[[#This Row],[Dollars]]</f>
        <v>457.7164650005368</v>
      </c>
    </row>
    <row r="1223" spans="1:9" x14ac:dyDescent="0.35">
      <c r="A1223">
        <v>1222</v>
      </c>
      <c r="B1223" t="s">
        <v>14</v>
      </c>
      <c r="C1223" s="2">
        <v>38672</v>
      </c>
      <c r="D1223">
        <f>YEAR(ProductLine[[#This Row],[Date]])</f>
        <v>2005</v>
      </c>
      <c r="E1223">
        <f>MONTH(ProductLine[[#This Row],[Date]])</f>
        <v>11</v>
      </c>
      <c r="F1223" t="s">
        <v>27</v>
      </c>
      <c r="G1223">
        <v>30</v>
      </c>
      <c r="H1223" s="3">
        <v>91.983337200833716</v>
      </c>
      <c r="I1223" s="3">
        <f>ProductLine[[#This Row],[Units]]*ProductLine[[#This Row],[Dollars]]</f>
        <v>2759.5001160250113</v>
      </c>
    </row>
    <row r="1224" spans="1:9" x14ac:dyDescent="0.35">
      <c r="A1224">
        <v>1223</v>
      </c>
      <c r="B1224" t="s">
        <v>14</v>
      </c>
      <c r="C1224" s="2">
        <v>38485</v>
      </c>
      <c r="D1224">
        <f>YEAR(ProductLine[[#This Row],[Date]])</f>
        <v>2005</v>
      </c>
      <c r="E1224">
        <f>MONTH(ProductLine[[#This Row],[Date]])</f>
        <v>5</v>
      </c>
      <c r="F1224" t="s">
        <v>26</v>
      </c>
      <c r="G1224">
        <v>42</v>
      </c>
      <c r="H1224" s="3">
        <v>128.0454928316145</v>
      </c>
      <c r="I1224" s="3">
        <f>ProductLine[[#This Row],[Units]]*ProductLine[[#This Row],[Dollars]]</f>
        <v>5377.9106989278089</v>
      </c>
    </row>
    <row r="1225" spans="1:9" x14ac:dyDescent="0.35">
      <c r="A1225">
        <v>1224</v>
      </c>
      <c r="B1225" t="s">
        <v>15</v>
      </c>
      <c r="C1225" s="2">
        <v>37990</v>
      </c>
      <c r="D1225">
        <f>YEAR(ProductLine[[#This Row],[Date]])</f>
        <v>2004</v>
      </c>
      <c r="E1225">
        <f>MONTH(ProductLine[[#This Row],[Date]])</f>
        <v>1</v>
      </c>
      <c r="F1225" t="s">
        <v>26</v>
      </c>
      <c r="G1225">
        <v>-8</v>
      </c>
      <c r="H1225" s="3">
        <v>-22.146929145267091</v>
      </c>
      <c r="I1225" s="3">
        <f>ProductLine[[#This Row],[Units]]*ProductLine[[#This Row],[Dollars]]</f>
        <v>177.17543316213673</v>
      </c>
    </row>
    <row r="1226" spans="1:9" x14ac:dyDescent="0.35">
      <c r="A1226">
        <v>1225</v>
      </c>
      <c r="B1226" t="s">
        <v>16</v>
      </c>
      <c r="C1226" s="2">
        <v>38089</v>
      </c>
      <c r="D1226">
        <f>YEAR(ProductLine[[#This Row],[Date]])</f>
        <v>2004</v>
      </c>
      <c r="E1226">
        <f>MONTH(ProductLine[[#This Row],[Date]])</f>
        <v>4</v>
      </c>
      <c r="F1226" t="s">
        <v>25</v>
      </c>
      <c r="G1226">
        <v>93</v>
      </c>
      <c r="H1226" s="3">
        <v>280.73714428830147</v>
      </c>
      <c r="I1226" s="3">
        <f>ProductLine[[#This Row],[Units]]*ProductLine[[#This Row],[Dollars]]</f>
        <v>26108.554418812037</v>
      </c>
    </row>
    <row r="1227" spans="1:9" x14ac:dyDescent="0.35">
      <c r="A1227">
        <v>1226</v>
      </c>
      <c r="B1227" t="s">
        <v>10</v>
      </c>
      <c r="C1227" s="2">
        <v>38958</v>
      </c>
      <c r="D1227">
        <f>YEAR(ProductLine[[#This Row],[Date]])</f>
        <v>2006</v>
      </c>
      <c r="E1227">
        <f>MONTH(ProductLine[[#This Row],[Date]])</f>
        <v>8</v>
      </c>
      <c r="F1227" t="s">
        <v>26</v>
      </c>
      <c r="G1227">
        <v>55</v>
      </c>
      <c r="H1227" s="3">
        <v>167.57524533229733</v>
      </c>
      <c r="I1227" s="3">
        <f>ProductLine[[#This Row],[Units]]*ProductLine[[#This Row],[Dollars]]</f>
        <v>9216.6384932763522</v>
      </c>
    </row>
    <row r="1228" spans="1:9" x14ac:dyDescent="0.35">
      <c r="A1228">
        <v>1227</v>
      </c>
      <c r="B1228" t="s">
        <v>11</v>
      </c>
      <c r="C1228" s="2">
        <v>38408</v>
      </c>
      <c r="D1228">
        <f>YEAR(ProductLine[[#This Row],[Date]])</f>
        <v>2005</v>
      </c>
      <c r="E1228">
        <f>MONTH(ProductLine[[#This Row],[Date]])</f>
        <v>2</v>
      </c>
      <c r="F1228" t="s">
        <v>23</v>
      </c>
      <c r="G1228">
        <v>53</v>
      </c>
      <c r="H1228" s="3">
        <v>161.16756896250922</v>
      </c>
      <c r="I1228" s="3">
        <f>ProductLine[[#This Row],[Units]]*ProductLine[[#This Row],[Dollars]]</f>
        <v>8541.8811550129885</v>
      </c>
    </row>
    <row r="1229" spans="1:9" x14ac:dyDescent="0.35">
      <c r="A1229">
        <v>1228</v>
      </c>
      <c r="B1229" t="s">
        <v>15</v>
      </c>
      <c r="C1229" s="2">
        <v>38903</v>
      </c>
      <c r="D1229">
        <f>YEAR(ProductLine[[#This Row],[Date]])</f>
        <v>2006</v>
      </c>
      <c r="E1229">
        <f>MONTH(ProductLine[[#This Row],[Date]])</f>
        <v>7</v>
      </c>
      <c r="F1229" t="s">
        <v>26</v>
      </c>
      <c r="G1229">
        <v>20</v>
      </c>
      <c r="H1229" s="3">
        <v>61.771223708788817</v>
      </c>
      <c r="I1229" s="3">
        <f>ProductLine[[#This Row],[Units]]*ProductLine[[#This Row],[Dollars]]</f>
        <v>1235.4244741757764</v>
      </c>
    </row>
    <row r="1230" spans="1:9" x14ac:dyDescent="0.35">
      <c r="A1230">
        <v>1229</v>
      </c>
      <c r="B1230" t="s">
        <v>12</v>
      </c>
      <c r="C1230" s="2">
        <v>38463</v>
      </c>
      <c r="D1230">
        <f>YEAR(ProductLine[[#This Row],[Date]])</f>
        <v>2005</v>
      </c>
      <c r="E1230">
        <f>MONTH(ProductLine[[#This Row],[Date]])</f>
        <v>4</v>
      </c>
      <c r="F1230" t="s">
        <v>25</v>
      </c>
      <c r="G1230">
        <v>19</v>
      </c>
      <c r="H1230" s="3">
        <v>58.720890783599678</v>
      </c>
      <c r="I1230" s="3">
        <f>ProductLine[[#This Row],[Units]]*ProductLine[[#This Row],[Dollars]]</f>
        <v>1115.6969248883938</v>
      </c>
    </row>
    <row r="1231" spans="1:9" x14ac:dyDescent="0.35">
      <c r="A1231">
        <v>1230</v>
      </c>
      <c r="B1231" t="s">
        <v>17</v>
      </c>
      <c r="C1231" s="2">
        <v>38375</v>
      </c>
      <c r="D1231">
        <f>YEAR(ProductLine[[#This Row],[Date]])</f>
        <v>2005</v>
      </c>
      <c r="E1231">
        <f>MONTH(ProductLine[[#This Row],[Date]])</f>
        <v>1</v>
      </c>
      <c r="F1231" t="s">
        <v>27</v>
      </c>
      <c r="G1231">
        <v>23</v>
      </c>
      <c r="H1231" s="3">
        <v>70.867520556192943</v>
      </c>
      <c r="I1231" s="3">
        <f>ProductLine[[#This Row],[Units]]*ProductLine[[#This Row],[Dollars]]</f>
        <v>1629.9529727924378</v>
      </c>
    </row>
    <row r="1232" spans="1:9" x14ac:dyDescent="0.35">
      <c r="A1232">
        <v>1231</v>
      </c>
      <c r="B1232" t="s">
        <v>9</v>
      </c>
      <c r="C1232" s="2">
        <v>38782</v>
      </c>
      <c r="D1232">
        <f>YEAR(ProductLine[[#This Row],[Date]])</f>
        <v>2006</v>
      </c>
      <c r="E1232">
        <f>MONTH(ProductLine[[#This Row],[Date]])</f>
        <v>3</v>
      </c>
      <c r="F1232" t="s">
        <v>24</v>
      </c>
      <c r="G1232">
        <v>68</v>
      </c>
      <c r="H1232" s="3">
        <v>205.90903893366013</v>
      </c>
      <c r="I1232" s="3">
        <f>ProductLine[[#This Row],[Units]]*ProductLine[[#This Row],[Dollars]]</f>
        <v>14001.814647488889</v>
      </c>
    </row>
    <row r="1233" spans="1:9" x14ac:dyDescent="0.35">
      <c r="A1233">
        <v>1232</v>
      </c>
      <c r="B1233" t="s">
        <v>13</v>
      </c>
      <c r="C1233" s="2">
        <v>38738</v>
      </c>
      <c r="D1233">
        <f>YEAR(ProductLine[[#This Row],[Date]])</f>
        <v>2006</v>
      </c>
      <c r="E1233">
        <f>MONTH(ProductLine[[#This Row],[Date]])</f>
        <v>1</v>
      </c>
      <c r="F1233" t="s">
        <v>25</v>
      </c>
      <c r="G1233">
        <v>52</v>
      </c>
      <c r="H1233" s="3">
        <v>157.86201256059277</v>
      </c>
      <c r="I1233" s="3">
        <f>ProductLine[[#This Row],[Units]]*ProductLine[[#This Row],[Dollars]]</f>
        <v>8208.8246531508248</v>
      </c>
    </row>
    <row r="1234" spans="1:9" x14ac:dyDescent="0.35">
      <c r="A1234">
        <v>1233</v>
      </c>
      <c r="B1234" t="s">
        <v>11</v>
      </c>
      <c r="C1234" s="2">
        <v>38551</v>
      </c>
      <c r="D1234">
        <f>YEAR(ProductLine[[#This Row],[Date]])</f>
        <v>2005</v>
      </c>
      <c r="E1234">
        <f>MONTH(ProductLine[[#This Row],[Date]])</f>
        <v>7</v>
      </c>
      <c r="F1234" t="s">
        <v>26</v>
      </c>
      <c r="G1234">
        <v>40</v>
      </c>
      <c r="H1234" s="3">
        <v>121.95606531866419</v>
      </c>
      <c r="I1234" s="3">
        <f>ProductLine[[#This Row],[Units]]*ProductLine[[#This Row],[Dollars]]</f>
        <v>4878.2426127465678</v>
      </c>
    </row>
    <row r="1235" spans="1:9" x14ac:dyDescent="0.35">
      <c r="A1235">
        <v>1234</v>
      </c>
      <c r="B1235" t="s">
        <v>13</v>
      </c>
      <c r="C1235" s="2">
        <v>38771</v>
      </c>
      <c r="D1235">
        <f>YEAR(ProductLine[[#This Row],[Date]])</f>
        <v>2006</v>
      </c>
      <c r="E1235">
        <f>MONTH(ProductLine[[#This Row],[Date]])</f>
        <v>2</v>
      </c>
      <c r="F1235" t="s">
        <v>27</v>
      </c>
      <c r="G1235">
        <v>22</v>
      </c>
      <c r="H1235" s="3">
        <v>67.708397118863431</v>
      </c>
      <c r="I1235" s="3">
        <f>ProductLine[[#This Row],[Units]]*ProductLine[[#This Row],[Dollars]]</f>
        <v>1489.5847366149956</v>
      </c>
    </row>
    <row r="1236" spans="1:9" x14ac:dyDescent="0.35">
      <c r="A1236">
        <v>1235</v>
      </c>
      <c r="B1236" t="s">
        <v>13</v>
      </c>
      <c r="C1236" s="2">
        <v>38452</v>
      </c>
      <c r="D1236">
        <f>YEAR(ProductLine[[#This Row],[Date]])</f>
        <v>2005</v>
      </c>
      <c r="E1236">
        <f>MONTH(ProductLine[[#This Row],[Date]])</f>
        <v>4</v>
      </c>
      <c r="F1236" t="s">
        <v>25</v>
      </c>
      <c r="G1236">
        <v>5</v>
      </c>
      <c r="H1236" s="3">
        <v>16.990101124103898</v>
      </c>
      <c r="I1236" s="3">
        <f>ProductLine[[#This Row],[Units]]*ProductLine[[#This Row],[Dollars]]</f>
        <v>84.950505620519493</v>
      </c>
    </row>
    <row r="1237" spans="1:9" x14ac:dyDescent="0.35">
      <c r="A1237">
        <v>1236</v>
      </c>
      <c r="B1237" t="s">
        <v>13</v>
      </c>
      <c r="C1237" s="2">
        <v>38815</v>
      </c>
      <c r="D1237">
        <f>YEAR(ProductLine[[#This Row],[Date]])</f>
        <v>2006</v>
      </c>
      <c r="E1237">
        <f>MONTH(ProductLine[[#This Row],[Date]])</f>
        <v>4</v>
      </c>
      <c r="F1237" t="s">
        <v>27</v>
      </c>
      <c r="G1237">
        <v>30</v>
      </c>
      <c r="H1237" s="3">
        <v>92.283774629578076</v>
      </c>
      <c r="I1237" s="3">
        <f>ProductLine[[#This Row],[Units]]*ProductLine[[#This Row],[Dollars]]</f>
        <v>2768.5132388873421</v>
      </c>
    </row>
    <row r="1238" spans="1:9" x14ac:dyDescent="0.35">
      <c r="A1238">
        <v>1237</v>
      </c>
      <c r="B1238" t="s">
        <v>13</v>
      </c>
      <c r="C1238" s="2">
        <v>38078</v>
      </c>
      <c r="D1238">
        <f>YEAR(ProductLine[[#This Row],[Date]])</f>
        <v>2004</v>
      </c>
      <c r="E1238">
        <f>MONTH(ProductLine[[#This Row],[Date]])</f>
        <v>4</v>
      </c>
      <c r="F1238" t="s">
        <v>26</v>
      </c>
      <c r="G1238">
        <v>6</v>
      </c>
      <c r="H1238" s="3">
        <v>20.244957158318631</v>
      </c>
      <c r="I1238" s="3">
        <f>ProductLine[[#This Row],[Units]]*ProductLine[[#This Row],[Dollars]]</f>
        <v>121.46974294991179</v>
      </c>
    </row>
    <row r="1239" spans="1:9" x14ac:dyDescent="0.35">
      <c r="A1239">
        <v>1238</v>
      </c>
      <c r="B1239" t="s">
        <v>16</v>
      </c>
      <c r="C1239" s="2">
        <v>38254</v>
      </c>
      <c r="D1239">
        <f>YEAR(ProductLine[[#This Row],[Date]])</f>
        <v>2004</v>
      </c>
      <c r="E1239">
        <f>MONTH(ProductLine[[#This Row],[Date]])</f>
        <v>9</v>
      </c>
      <c r="F1239" t="s">
        <v>25</v>
      </c>
      <c r="G1239">
        <v>92</v>
      </c>
      <c r="H1239" s="3">
        <v>277.63010190908926</v>
      </c>
      <c r="I1239" s="3">
        <f>ProductLine[[#This Row],[Units]]*ProductLine[[#This Row],[Dollars]]</f>
        <v>25541.96937563621</v>
      </c>
    </row>
    <row r="1240" spans="1:9" x14ac:dyDescent="0.35">
      <c r="A1240">
        <v>1239</v>
      </c>
      <c r="B1240" t="s">
        <v>12</v>
      </c>
      <c r="C1240" s="2">
        <v>38859</v>
      </c>
      <c r="D1240">
        <f>YEAR(ProductLine[[#This Row],[Date]])</f>
        <v>2006</v>
      </c>
      <c r="E1240">
        <f>MONTH(ProductLine[[#This Row],[Date]])</f>
        <v>5</v>
      </c>
      <c r="F1240" t="s">
        <v>27</v>
      </c>
      <c r="G1240">
        <v>-5</v>
      </c>
      <c r="H1240" s="3">
        <v>-12.432490366118355</v>
      </c>
      <c r="I1240" s="3">
        <f>ProductLine[[#This Row],[Units]]*ProductLine[[#This Row],[Dollars]]</f>
        <v>62.162451830591777</v>
      </c>
    </row>
    <row r="1241" spans="1:9" x14ac:dyDescent="0.35">
      <c r="A1241">
        <v>1240</v>
      </c>
      <c r="B1241" t="s">
        <v>14</v>
      </c>
      <c r="C1241" s="2">
        <v>38848</v>
      </c>
      <c r="D1241">
        <f>YEAR(ProductLine[[#This Row],[Date]])</f>
        <v>2006</v>
      </c>
      <c r="E1241">
        <f>MONTH(ProductLine[[#This Row],[Date]])</f>
        <v>5</v>
      </c>
      <c r="F1241" t="s">
        <v>23</v>
      </c>
      <c r="G1241">
        <v>20</v>
      </c>
      <c r="H1241" s="3">
        <v>61.840740307042338</v>
      </c>
      <c r="I1241" s="3">
        <f>ProductLine[[#This Row],[Units]]*ProductLine[[#This Row],[Dollars]]</f>
        <v>1236.8148061408467</v>
      </c>
    </row>
    <row r="1242" spans="1:9" x14ac:dyDescent="0.35">
      <c r="A1242">
        <v>1241</v>
      </c>
      <c r="B1242" t="s">
        <v>15</v>
      </c>
      <c r="C1242" s="2">
        <v>39079</v>
      </c>
      <c r="D1242">
        <f>YEAR(ProductLine[[#This Row],[Date]])</f>
        <v>2006</v>
      </c>
      <c r="E1242">
        <f>MONTH(ProductLine[[#This Row],[Date]])</f>
        <v>12</v>
      </c>
      <c r="F1242" t="s">
        <v>27</v>
      </c>
      <c r="G1242">
        <v>54</v>
      </c>
      <c r="H1242" s="3">
        <v>163.08588736802977</v>
      </c>
      <c r="I1242" s="3">
        <f>ProductLine[[#This Row],[Units]]*ProductLine[[#This Row],[Dollars]]</f>
        <v>8806.6379178736079</v>
      </c>
    </row>
    <row r="1243" spans="1:9" x14ac:dyDescent="0.35">
      <c r="A1243">
        <v>1242</v>
      </c>
      <c r="B1243" t="s">
        <v>13</v>
      </c>
      <c r="C1243" s="2">
        <v>38452</v>
      </c>
      <c r="D1243">
        <f>YEAR(ProductLine[[#This Row],[Date]])</f>
        <v>2005</v>
      </c>
      <c r="E1243">
        <f>MONTH(ProductLine[[#This Row],[Date]])</f>
        <v>4</v>
      </c>
      <c r="F1243" t="s">
        <v>26</v>
      </c>
      <c r="G1243">
        <v>9</v>
      </c>
      <c r="H1243" s="3">
        <v>29.206434361888643</v>
      </c>
      <c r="I1243" s="3">
        <f>ProductLine[[#This Row],[Units]]*ProductLine[[#This Row],[Dollars]]</f>
        <v>262.8579092569978</v>
      </c>
    </row>
    <row r="1244" spans="1:9" x14ac:dyDescent="0.35">
      <c r="A1244">
        <v>1243</v>
      </c>
      <c r="B1244" t="s">
        <v>12</v>
      </c>
      <c r="C1244" s="2">
        <v>38485</v>
      </c>
      <c r="D1244">
        <f>YEAR(ProductLine[[#This Row],[Date]])</f>
        <v>2005</v>
      </c>
      <c r="E1244">
        <f>MONTH(ProductLine[[#This Row],[Date]])</f>
        <v>5</v>
      </c>
      <c r="F1244" t="s">
        <v>26</v>
      </c>
      <c r="G1244">
        <v>6</v>
      </c>
      <c r="H1244" s="3">
        <v>19.957821441994636</v>
      </c>
      <c r="I1244" s="3">
        <f>ProductLine[[#This Row],[Units]]*ProductLine[[#This Row],[Dollars]]</f>
        <v>119.74692865196781</v>
      </c>
    </row>
    <row r="1245" spans="1:9" x14ac:dyDescent="0.35">
      <c r="A1245">
        <v>1244</v>
      </c>
      <c r="B1245" t="s">
        <v>15</v>
      </c>
      <c r="C1245" s="2">
        <v>38111</v>
      </c>
      <c r="D1245">
        <f>YEAR(ProductLine[[#This Row],[Date]])</f>
        <v>2004</v>
      </c>
      <c r="E1245">
        <f>MONTH(ProductLine[[#This Row],[Date]])</f>
        <v>5</v>
      </c>
      <c r="F1245" t="s">
        <v>23</v>
      </c>
      <c r="G1245">
        <v>47</v>
      </c>
      <c r="H1245" s="3">
        <v>142.82940012407209</v>
      </c>
      <c r="I1245" s="3">
        <f>ProductLine[[#This Row],[Units]]*ProductLine[[#This Row],[Dollars]]</f>
        <v>6712.9818058313886</v>
      </c>
    </row>
    <row r="1246" spans="1:9" x14ac:dyDescent="0.35">
      <c r="A1246">
        <v>1245</v>
      </c>
      <c r="B1246" t="s">
        <v>11</v>
      </c>
      <c r="C1246" s="2">
        <v>38672</v>
      </c>
      <c r="D1246">
        <f>YEAR(ProductLine[[#This Row],[Date]])</f>
        <v>2005</v>
      </c>
      <c r="E1246">
        <f>MONTH(ProductLine[[#This Row],[Date]])</f>
        <v>11</v>
      </c>
      <c r="F1246" t="s">
        <v>27</v>
      </c>
      <c r="G1246">
        <v>-10</v>
      </c>
      <c r="H1246" s="3">
        <v>-27.091257616513943</v>
      </c>
      <c r="I1246" s="3">
        <f>ProductLine[[#This Row],[Units]]*ProductLine[[#This Row],[Dollars]]</f>
        <v>270.9125761651394</v>
      </c>
    </row>
    <row r="1247" spans="1:9" x14ac:dyDescent="0.35">
      <c r="A1247">
        <v>1246</v>
      </c>
      <c r="B1247" t="s">
        <v>17</v>
      </c>
      <c r="C1247" s="2">
        <v>38122</v>
      </c>
      <c r="D1247">
        <f>YEAR(ProductLine[[#This Row],[Date]])</f>
        <v>2004</v>
      </c>
      <c r="E1247">
        <f>MONTH(ProductLine[[#This Row],[Date]])</f>
        <v>5</v>
      </c>
      <c r="F1247" t="s">
        <v>27</v>
      </c>
      <c r="G1247">
        <v>90</v>
      </c>
      <c r="H1247" s="3">
        <v>272.34042411677569</v>
      </c>
      <c r="I1247" s="3">
        <f>ProductLine[[#This Row],[Units]]*ProductLine[[#This Row],[Dollars]]</f>
        <v>24510.638170509814</v>
      </c>
    </row>
    <row r="1248" spans="1:9" x14ac:dyDescent="0.35">
      <c r="A1248">
        <v>1247</v>
      </c>
      <c r="B1248" t="s">
        <v>9</v>
      </c>
      <c r="C1248" s="2">
        <v>38023</v>
      </c>
      <c r="D1248">
        <f>YEAR(ProductLine[[#This Row],[Date]])</f>
        <v>2004</v>
      </c>
      <c r="E1248">
        <f>MONTH(ProductLine[[#This Row],[Date]])</f>
        <v>2</v>
      </c>
      <c r="F1248" t="s">
        <v>24</v>
      </c>
      <c r="G1248">
        <v>48</v>
      </c>
      <c r="H1248" s="3">
        <v>146.4346102431829</v>
      </c>
      <c r="I1248" s="3">
        <f>ProductLine[[#This Row],[Units]]*ProductLine[[#This Row],[Dollars]]</f>
        <v>7028.8612916727798</v>
      </c>
    </row>
    <row r="1249" spans="1:9" x14ac:dyDescent="0.35">
      <c r="A1249">
        <v>1248</v>
      </c>
      <c r="B1249" t="s">
        <v>15</v>
      </c>
      <c r="C1249" s="2">
        <v>38452</v>
      </c>
      <c r="D1249">
        <f>YEAR(ProductLine[[#This Row],[Date]])</f>
        <v>2005</v>
      </c>
      <c r="E1249">
        <f>MONTH(ProductLine[[#This Row],[Date]])</f>
        <v>4</v>
      </c>
      <c r="F1249" t="s">
        <v>24</v>
      </c>
      <c r="G1249">
        <v>55</v>
      </c>
      <c r="H1249" s="3">
        <v>167.32527262577906</v>
      </c>
      <c r="I1249" s="3">
        <f>ProductLine[[#This Row],[Units]]*ProductLine[[#This Row],[Dollars]]</f>
        <v>9202.8899944178484</v>
      </c>
    </row>
    <row r="1250" spans="1:9" x14ac:dyDescent="0.35">
      <c r="A1250">
        <v>1249</v>
      </c>
      <c r="B1250" t="s">
        <v>9</v>
      </c>
      <c r="C1250" s="2">
        <v>38892</v>
      </c>
      <c r="D1250">
        <f>YEAR(ProductLine[[#This Row],[Date]])</f>
        <v>2006</v>
      </c>
      <c r="E1250">
        <f>MONTH(ProductLine[[#This Row],[Date]])</f>
        <v>6</v>
      </c>
      <c r="F1250" t="s">
        <v>27</v>
      </c>
      <c r="G1250">
        <v>42</v>
      </c>
      <c r="H1250" s="3">
        <v>128.47869059837046</v>
      </c>
      <c r="I1250" s="3">
        <f>ProductLine[[#This Row],[Units]]*ProductLine[[#This Row],[Dollars]]</f>
        <v>5396.1050051315597</v>
      </c>
    </row>
    <row r="1251" spans="1:9" x14ac:dyDescent="0.35">
      <c r="A1251">
        <v>1250</v>
      </c>
      <c r="B1251" t="s">
        <v>17</v>
      </c>
      <c r="C1251" s="2">
        <v>38749</v>
      </c>
      <c r="D1251">
        <f>YEAR(ProductLine[[#This Row],[Date]])</f>
        <v>2006</v>
      </c>
      <c r="E1251">
        <f>MONTH(ProductLine[[#This Row],[Date]])</f>
        <v>2</v>
      </c>
      <c r="F1251" t="s">
        <v>26</v>
      </c>
      <c r="G1251">
        <v>39</v>
      </c>
      <c r="H1251" s="3">
        <v>119.42558225930649</v>
      </c>
      <c r="I1251" s="3">
        <f>ProductLine[[#This Row],[Units]]*ProductLine[[#This Row],[Dollars]]</f>
        <v>4657.5977081129531</v>
      </c>
    </row>
    <row r="1252" spans="1:9" x14ac:dyDescent="0.35">
      <c r="A1252">
        <v>1251</v>
      </c>
      <c r="B1252" t="s">
        <v>13</v>
      </c>
      <c r="C1252" s="2">
        <v>38672</v>
      </c>
      <c r="D1252">
        <f>YEAR(ProductLine[[#This Row],[Date]])</f>
        <v>2005</v>
      </c>
      <c r="E1252">
        <f>MONTH(ProductLine[[#This Row],[Date]])</f>
        <v>11</v>
      </c>
      <c r="F1252" t="s">
        <v>27</v>
      </c>
      <c r="G1252">
        <v>26</v>
      </c>
      <c r="H1252" s="3">
        <v>79.641106811056247</v>
      </c>
      <c r="I1252" s="3">
        <f>ProductLine[[#This Row],[Units]]*ProductLine[[#This Row],[Dollars]]</f>
        <v>2070.6687770874623</v>
      </c>
    </row>
    <row r="1253" spans="1:9" x14ac:dyDescent="0.35">
      <c r="A1253">
        <v>1252</v>
      </c>
      <c r="B1253" t="s">
        <v>9</v>
      </c>
      <c r="C1253" s="2">
        <v>38760</v>
      </c>
      <c r="D1253">
        <f>YEAR(ProductLine[[#This Row],[Date]])</f>
        <v>2006</v>
      </c>
      <c r="E1253">
        <f>MONTH(ProductLine[[#This Row],[Date]])</f>
        <v>2</v>
      </c>
      <c r="F1253" t="s">
        <v>27</v>
      </c>
      <c r="G1253">
        <v>26</v>
      </c>
      <c r="H1253" s="3">
        <v>79.499321772308136</v>
      </c>
      <c r="I1253" s="3">
        <f>ProductLine[[#This Row],[Units]]*ProductLine[[#This Row],[Dollars]]</f>
        <v>2066.9823660800116</v>
      </c>
    </row>
    <row r="1254" spans="1:9" x14ac:dyDescent="0.35">
      <c r="A1254">
        <v>1253</v>
      </c>
      <c r="B1254" t="s">
        <v>9</v>
      </c>
      <c r="C1254" s="2">
        <v>38705</v>
      </c>
      <c r="D1254">
        <f>YEAR(ProductLine[[#This Row],[Date]])</f>
        <v>2005</v>
      </c>
      <c r="E1254">
        <f>MONTH(ProductLine[[#This Row],[Date]])</f>
        <v>12</v>
      </c>
      <c r="F1254" t="s">
        <v>26</v>
      </c>
      <c r="G1254">
        <v>52</v>
      </c>
      <c r="H1254" s="3">
        <v>158.28266649648856</v>
      </c>
      <c r="I1254" s="3">
        <f>ProductLine[[#This Row],[Units]]*ProductLine[[#This Row],[Dollars]]</f>
        <v>8230.6986578174055</v>
      </c>
    </row>
    <row r="1255" spans="1:9" x14ac:dyDescent="0.35">
      <c r="A1255">
        <v>1254</v>
      </c>
      <c r="B1255" t="s">
        <v>13</v>
      </c>
      <c r="C1255" s="2">
        <v>38309</v>
      </c>
      <c r="D1255">
        <f>YEAR(ProductLine[[#This Row],[Date]])</f>
        <v>2004</v>
      </c>
      <c r="E1255">
        <f>MONTH(ProductLine[[#This Row],[Date]])</f>
        <v>11</v>
      </c>
      <c r="F1255" t="s">
        <v>24</v>
      </c>
      <c r="G1255">
        <v>19</v>
      </c>
      <c r="H1255" s="3">
        <v>58.769535018680784</v>
      </c>
      <c r="I1255" s="3">
        <f>ProductLine[[#This Row],[Units]]*ProductLine[[#This Row],[Dollars]]</f>
        <v>1116.6211653549349</v>
      </c>
    </row>
    <row r="1256" spans="1:9" x14ac:dyDescent="0.35">
      <c r="A1256">
        <v>1255</v>
      </c>
      <c r="B1256" t="s">
        <v>11</v>
      </c>
      <c r="C1256" s="2">
        <v>38210</v>
      </c>
      <c r="D1256">
        <f>YEAR(ProductLine[[#This Row],[Date]])</f>
        <v>2004</v>
      </c>
      <c r="E1256">
        <f>MONTH(ProductLine[[#This Row],[Date]])</f>
        <v>8</v>
      </c>
      <c r="F1256" t="s">
        <v>27</v>
      </c>
      <c r="G1256">
        <v>18</v>
      </c>
      <c r="H1256" s="3">
        <v>55.683739721262491</v>
      </c>
      <c r="I1256" s="3">
        <f>ProductLine[[#This Row],[Units]]*ProductLine[[#This Row],[Dollars]]</f>
        <v>1002.3073149827248</v>
      </c>
    </row>
    <row r="1257" spans="1:9" x14ac:dyDescent="0.35">
      <c r="A1257">
        <v>1256</v>
      </c>
      <c r="B1257" t="s">
        <v>10</v>
      </c>
      <c r="C1257" s="2">
        <v>39046</v>
      </c>
      <c r="D1257">
        <f>YEAR(ProductLine[[#This Row],[Date]])</f>
        <v>2006</v>
      </c>
      <c r="E1257">
        <f>MONTH(ProductLine[[#This Row],[Date]])</f>
        <v>11</v>
      </c>
      <c r="F1257" t="s">
        <v>27</v>
      </c>
      <c r="G1257">
        <v>87</v>
      </c>
      <c r="H1257" s="3">
        <v>263.04139351081579</v>
      </c>
      <c r="I1257" s="3">
        <f>ProductLine[[#This Row],[Units]]*ProductLine[[#This Row],[Dollars]]</f>
        <v>22884.601235440976</v>
      </c>
    </row>
    <row r="1258" spans="1:9" x14ac:dyDescent="0.35">
      <c r="A1258">
        <v>1257</v>
      </c>
      <c r="B1258" t="s">
        <v>13</v>
      </c>
      <c r="C1258" s="2">
        <v>38276</v>
      </c>
      <c r="D1258">
        <f>YEAR(ProductLine[[#This Row],[Date]])</f>
        <v>2004</v>
      </c>
      <c r="E1258">
        <f>MONTH(ProductLine[[#This Row],[Date]])</f>
        <v>10</v>
      </c>
      <c r="F1258" t="s">
        <v>26</v>
      </c>
      <c r="G1258">
        <v>46</v>
      </c>
      <c r="H1258" s="3">
        <v>139.93969189998913</v>
      </c>
      <c r="I1258" s="3">
        <f>ProductLine[[#This Row],[Units]]*ProductLine[[#This Row],[Dollars]]</f>
        <v>6437.2258273995003</v>
      </c>
    </row>
    <row r="1259" spans="1:9" x14ac:dyDescent="0.35">
      <c r="A1259">
        <v>1258</v>
      </c>
      <c r="B1259" t="s">
        <v>9</v>
      </c>
      <c r="C1259" s="2">
        <v>38914</v>
      </c>
      <c r="D1259">
        <f>YEAR(ProductLine[[#This Row],[Date]])</f>
        <v>2006</v>
      </c>
      <c r="E1259">
        <f>MONTH(ProductLine[[#This Row],[Date]])</f>
        <v>7</v>
      </c>
      <c r="F1259" t="s">
        <v>27</v>
      </c>
      <c r="G1259">
        <v>54</v>
      </c>
      <c r="H1259" s="3">
        <v>163.69364721145854</v>
      </c>
      <c r="I1259" s="3">
        <f>ProductLine[[#This Row],[Units]]*ProductLine[[#This Row],[Dollars]]</f>
        <v>8839.4569494187617</v>
      </c>
    </row>
    <row r="1260" spans="1:9" x14ac:dyDescent="0.35">
      <c r="A1260">
        <v>1259</v>
      </c>
      <c r="B1260" t="s">
        <v>12</v>
      </c>
      <c r="C1260" s="2">
        <v>38045</v>
      </c>
      <c r="D1260">
        <f>YEAR(ProductLine[[#This Row],[Date]])</f>
        <v>2004</v>
      </c>
      <c r="E1260">
        <f>MONTH(ProductLine[[#This Row],[Date]])</f>
        <v>2</v>
      </c>
      <c r="F1260" t="s">
        <v>27</v>
      </c>
      <c r="G1260">
        <v>21</v>
      </c>
      <c r="H1260" s="3">
        <v>64.701803739735197</v>
      </c>
      <c r="I1260" s="3">
        <f>ProductLine[[#This Row],[Units]]*ProductLine[[#This Row],[Dollars]]</f>
        <v>1358.7378785344392</v>
      </c>
    </row>
    <row r="1261" spans="1:9" x14ac:dyDescent="0.35">
      <c r="A1261">
        <v>1260</v>
      </c>
      <c r="B1261" t="s">
        <v>13</v>
      </c>
      <c r="C1261" s="2">
        <v>38023</v>
      </c>
      <c r="D1261">
        <f>YEAR(ProductLine[[#This Row],[Date]])</f>
        <v>2004</v>
      </c>
      <c r="E1261">
        <f>MONTH(ProductLine[[#This Row],[Date]])</f>
        <v>2</v>
      </c>
      <c r="F1261" t="s">
        <v>24</v>
      </c>
      <c r="G1261">
        <v>-6</v>
      </c>
      <c r="H1261" s="3">
        <v>-16.23714349589131</v>
      </c>
      <c r="I1261" s="3">
        <f>ProductLine[[#This Row],[Units]]*ProductLine[[#This Row],[Dollars]]</f>
        <v>97.422860975347859</v>
      </c>
    </row>
    <row r="1262" spans="1:9" x14ac:dyDescent="0.35">
      <c r="A1262">
        <v>1261</v>
      </c>
      <c r="B1262" t="s">
        <v>14</v>
      </c>
      <c r="C1262" s="2">
        <v>38309</v>
      </c>
      <c r="D1262">
        <f>YEAR(ProductLine[[#This Row],[Date]])</f>
        <v>2004</v>
      </c>
      <c r="E1262">
        <f>MONTH(ProductLine[[#This Row],[Date]])</f>
        <v>11</v>
      </c>
      <c r="F1262" t="s">
        <v>24</v>
      </c>
      <c r="G1262">
        <v>47</v>
      </c>
      <c r="H1262" s="3">
        <v>142.41301237194139</v>
      </c>
      <c r="I1262" s="3">
        <f>ProductLine[[#This Row],[Units]]*ProductLine[[#This Row],[Dollars]]</f>
        <v>6693.4115814812458</v>
      </c>
    </row>
    <row r="1263" spans="1:9" x14ac:dyDescent="0.35">
      <c r="A1263">
        <v>1262</v>
      </c>
      <c r="B1263" t="s">
        <v>16</v>
      </c>
      <c r="C1263" s="2">
        <v>38100</v>
      </c>
      <c r="D1263">
        <f>YEAR(ProductLine[[#This Row],[Date]])</f>
        <v>2004</v>
      </c>
      <c r="E1263">
        <f>MONTH(ProductLine[[#This Row],[Date]])</f>
        <v>4</v>
      </c>
      <c r="F1263" t="s">
        <v>24</v>
      </c>
      <c r="G1263">
        <v>14</v>
      </c>
      <c r="H1263" s="3">
        <v>44.23662693928393</v>
      </c>
      <c r="I1263" s="3">
        <f>ProductLine[[#This Row],[Units]]*ProductLine[[#This Row],[Dollars]]</f>
        <v>619.31277714997498</v>
      </c>
    </row>
    <row r="1264" spans="1:9" x14ac:dyDescent="0.35">
      <c r="A1264">
        <v>1263</v>
      </c>
      <c r="B1264" t="s">
        <v>16</v>
      </c>
      <c r="C1264" s="2">
        <v>38991</v>
      </c>
      <c r="D1264">
        <f>YEAR(ProductLine[[#This Row],[Date]])</f>
        <v>2006</v>
      </c>
      <c r="E1264">
        <f>MONTH(ProductLine[[#This Row],[Date]])</f>
        <v>10</v>
      </c>
      <c r="F1264" t="s">
        <v>24</v>
      </c>
      <c r="G1264">
        <v>73</v>
      </c>
      <c r="H1264" s="3">
        <v>220.5000128058029</v>
      </c>
      <c r="I1264" s="3">
        <f>ProductLine[[#This Row],[Units]]*ProductLine[[#This Row],[Dollars]]</f>
        <v>16096.500934823611</v>
      </c>
    </row>
    <row r="1265" spans="1:9" x14ac:dyDescent="0.35">
      <c r="A1265">
        <v>1264</v>
      </c>
      <c r="B1265" t="s">
        <v>16</v>
      </c>
      <c r="C1265" s="2">
        <v>39068</v>
      </c>
      <c r="D1265">
        <f>YEAR(ProductLine[[#This Row],[Date]])</f>
        <v>2006</v>
      </c>
      <c r="E1265">
        <f>MONTH(ProductLine[[#This Row],[Date]])</f>
        <v>12</v>
      </c>
      <c r="F1265" t="s">
        <v>23</v>
      </c>
      <c r="G1265">
        <v>14</v>
      </c>
      <c r="H1265" s="3">
        <v>44.424699895790788</v>
      </c>
      <c r="I1265" s="3">
        <f>ProductLine[[#This Row],[Units]]*ProductLine[[#This Row],[Dollars]]</f>
        <v>621.94579854107099</v>
      </c>
    </row>
    <row r="1266" spans="1:9" x14ac:dyDescent="0.35">
      <c r="A1266">
        <v>1265</v>
      </c>
      <c r="B1266" t="s">
        <v>10</v>
      </c>
      <c r="C1266" s="2">
        <v>38815</v>
      </c>
      <c r="D1266">
        <f>YEAR(ProductLine[[#This Row],[Date]])</f>
        <v>2006</v>
      </c>
      <c r="E1266">
        <f>MONTH(ProductLine[[#This Row],[Date]])</f>
        <v>4</v>
      </c>
      <c r="F1266" t="s">
        <v>23</v>
      </c>
      <c r="G1266">
        <v>95</v>
      </c>
      <c r="H1266" s="3">
        <v>286.75698716058628</v>
      </c>
      <c r="I1266" s="3">
        <f>ProductLine[[#This Row],[Units]]*ProductLine[[#This Row],[Dollars]]</f>
        <v>27241.913780255698</v>
      </c>
    </row>
    <row r="1267" spans="1:9" x14ac:dyDescent="0.35">
      <c r="A1267">
        <v>1266</v>
      </c>
      <c r="B1267" t="s">
        <v>14</v>
      </c>
      <c r="C1267" s="2">
        <v>38034</v>
      </c>
      <c r="D1267">
        <f>YEAR(ProductLine[[#This Row],[Date]])</f>
        <v>2004</v>
      </c>
      <c r="E1267">
        <f>MONTH(ProductLine[[#This Row],[Date]])</f>
        <v>2</v>
      </c>
      <c r="F1267" t="s">
        <v>26</v>
      </c>
      <c r="G1267">
        <v>64</v>
      </c>
      <c r="H1267" s="3">
        <v>193.36768203630285</v>
      </c>
      <c r="I1267" s="3">
        <f>ProductLine[[#This Row],[Units]]*ProductLine[[#This Row],[Dollars]]</f>
        <v>12375.531650323383</v>
      </c>
    </row>
    <row r="1268" spans="1:9" x14ac:dyDescent="0.35">
      <c r="A1268">
        <v>1267</v>
      </c>
      <c r="B1268" t="s">
        <v>17</v>
      </c>
      <c r="C1268" s="2">
        <v>38265</v>
      </c>
      <c r="D1268">
        <f>YEAR(ProductLine[[#This Row],[Date]])</f>
        <v>2004</v>
      </c>
      <c r="E1268">
        <f>MONTH(ProductLine[[#This Row],[Date]])</f>
        <v>10</v>
      </c>
      <c r="F1268" t="s">
        <v>26</v>
      </c>
      <c r="G1268">
        <v>47</v>
      </c>
      <c r="H1268" s="3">
        <v>143.14314267064674</v>
      </c>
      <c r="I1268" s="3">
        <f>ProductLine[[#This Row],[Units]]*ProductLine[[#This Row],[Dollars]]</f>
        <v>6727.7277055203967</v>
      </c>
    </row>
    <row r="1269" spans="1:9" x14ac:dyDescent="0.35">
      <c r="A1269">
        <v>1268</v>
      </c>
      <c r="B1269" t="s">
        <v>14</v>
      </c>
      <c r="C1269" s="2">
        <v>38320</v>
      </c>
      <c r="D1269">
        <f>YEAR(ProductLine[[#This Row],[Date]])</f>
        <v>2004</v>
      </c>
      <c r="E1269">
        <f>MONTH(ProductLine[[#This Row],[Date]])</f>
        <v>11</v>
      </c>
      <c r="F1269" t="s">
        <v>24</v>
      </c>
      <c r="G1269">
        <v>20</v>
      </c>
      <c r="H1269" s="3">
        <v>61.937788372758583</v>
      </c>
      <c r="I1269" s="3">
        <f>ProductLine[[#This Row],[Units]]*ProductLine[[#This Row],[Dollars]]</f>
        <v>1238.7557674551717</v>
      </c>
    </row>
    <row r="1270" spans="1:9" x14ac:dyDescent="0.35">
      <c r="A1270">
        <v>1269</v>
      </c>
      <c r="B1270" t="s">
        <v>12</v>
      </c>
      <c r="C1270" s="2">
        <v>38342</v>
      </c>
      <c r="D1270">
        <f>YEAR(ProductLine[[#This Row],[Date]])</f>
        <v>2004</v>
      </c>
      <c r="E1270">
        <f>MONTH(ProductLine[[#This Row],[Date]])</f>
        <v>12</v>
      </c>
      <c r="F1270" t="s">
        <v>23</v>
      </c>
      <c r="G1270">
        <v>71</v>
      </c>
      <c r="H1270" s="3">
        <v>215.32844026172367</v>
      </c>
      <c r="I1270" s="3">
        <f>ProductLine[[#This Row],[Units]]*ProductLine[[#This Row],[Dollars]]</f>
        <v>15288.31925858238</v>
      </c>
    </row>
    <row r="1271" spans="1:9" x14ac:dyDescent="0.35">
      <c r="A1271">
        <v>1270</v>
      </c>
      <c r="B1271" t="s">
        <v>14</v>
      </c>
      <c r="C1271" s="2">
        <v>38639</v>
      </c>
      <c r="D1271">
        <f>YEAR(ProductLine[[#This Row],[Date]])</f>
        <v>2005</v>
      </c>
      <c r="E1271">
        <f>MONTH(ProductLine[[#This Row],[Date]])</f>
        <v>10</v>
      </c>
      <c r="F1271" t="s">
        <v>26</v>
      </c>
      <c r="G1271">
        <v>66</v>
      </c>
      <c r="H1271" s="3">
        <v>199.49732716580834</v>
      </c>
      <c r="I1271" s="3">
        <f>ProductLine[[#This Row],[Units]]*ProductLine[[#This Row],[Dollars]]</f>
        <v>13166.82359294335</v>
      </c>
    </row>
    <row r="1272" spans="1:9" x14ac:dyDescent="0.35">
      <c r="A1272">
        <v>1271</v>
      </c>
      <c r="B1272" t="s">
        <v>10</v>
      </c>
      <c r="C1272" s="2">
        <v>38265</v>
      </c>
      <c r="D1272">
        <f>YEAR(ProductLine[[#This Row],[Date]])</f>
        <v>2004</v>
      </c>
      <c r="E1272">
        <f>MONTH(ProductLine[[#This Row],[Date]])</f>
        <v>10</v>
      </c>
      <c r="F1272" t="s">
        <v>24</v>
      </c>
      <c r="G1272">
        <v>79</v>
      </c>
      <c r="H1272" s="3">
        <v>239.43592811272299</v>
      </c>
      <c r="I1272" s="3">
        <f>ProductLine[[#This Row],[Units]]*ProductLine[[#This Row],[Dollars]]</f>
        <v>18915.438320905116</v>
      </c>
    </row>
    <row r="1273" spans="1:9" x14ac:dyDescent="0.35">
      <c r="A1273">
        <v>1272</v>
      </c>
      <c r="B1273" t="s">
        <v>10</v>
      </c>
      <c r="C1273" s="2">
        <v>38650</v>
      </c>
      <c r="D1273">
        <f>YEAR(ProductLine[[#This Row],[Date]])</f>
        <v>2005</v>
      </c>
      <c r="E1273">
        <f>MONTH(ProductLine[[#This Row],[Date]])</f>
        <v>10</v>
      </c>
      <c r="F1273" t="s">
        <v>27</v>
      </c>
      <c r="G1273">
        <v>-7</v>
      </c>
      <c r="H1273" s="3">
        <v>-18.401268878071164</v>
      </c>
      <c r="I1273" s="3">
        <f>ProductLine[[#This Row],[Units]]*ProductLine[[#This Row],[Dollars]]</f>
        <v>128.80888214649815</v>
      </c>
    </row>
    <row r="1274" spans="1:9" x14ac:dyDescent="0.35">
      <c r="A1274">
        <v>1273</v>
      </c>
      <c r="B1274" t="s">
        <v>9</v>
      </c>
      <c r="C1274" s="2">
        <v>38628</v>
      </c>
      <c r="D1274">
        <f>YEAR(ProductLine[[#This Row],[Date]])</f>
        <v>2005</v>
      </c>
      <c r="E1274">
        <f>MONTH(ProductLine[[#This Row],[Date]])</f>
        <v>10</v>
      </c>
      <c r="F1274" t="s">
        <v>24</v>
      </c>
      <c r="G1274">
        <v>72</v>
      </c>
      <c r="H1274" s="3">
        <v>217.35308480664631</v>
      </c>
      <c r="I1274" s="3">
        <f>ProductLine[[#This Row],[Units]]*ProductLine[[#This Row],[Dollars]]</f>
        <v>15649.422106078535</v>
      </c>
    </row>
    <row r="1275" spans="1:9" x14ac:dyDescent="0.35">
      <c r="A1275">
        <v>1274</v>
      </c>
      <c r="B1275" t="s">
        <v>10</v>
      </c>
      <c r="C1275" s="2">
        <v>38265</v>
      </c>
      <c r="D1275">
        <f>YEAR(ProductLine[[#This Row],[Date]])</f>
        <v>2004</v>
      </c>
      <c r="E1275">
        <f>MONTH(ProductLine[[#This Row],[Date]])</f>
        <v>10</v>
      </c>
      <c r="F1275" t="s">
        <v>25</v>
      </c>
      <c r="G1275">
        <v>91</v>
      </c>
      <c r="H1275" s="3">
        <v>275.36823907836589</v>
      </c>
      <c r="I1275" s="3">
        <f>ProductLine[[#This Row],[Units]]*ProductLine[[#This Row],[Dollars]]</f>
        <v>25058.509756131294</v>
      </c>
    </row>
    <row r="1276" spans="1:9" x14ac:dyDescent="0.35">
      <c r="A1276">
        <v>1275</v>
      </c>
      <c r="B1276" t="s">
        <v>13</v>
      </c>
      <c r="C1276" s="2">
        <v>38056</v>
      </c>
      <c r="D1276">
        <f>YEAR(ProductLine[[#This Row],[Date]])</f>
        <v>2004</v>
      </c>
      <c r="E1276">
        <f>MONTH(ProductLine[[#This Row],[Date]])</f>
        <v>3</v>
      </c>
      <c r="F1276" t="s">
        <v>27</v>
      </c>
      <c r="G1276">
        <v>57</v>
      </c>
      <c r="H1276" s="3">
        <v>173.47781647307619</v>
      </c>
      <c r="I1276" s="3">
        <f>ProductLine[[#This Row],[Units]]*ProductLine[[#This Row],[Dollars]]</f>
        <v>9888.2355389653421</v>
      </c>
    </row>
    <row r="1277" spans="1:9" x14ac:dyDescent="0.35">
      <c r="A1277">
        <v>1276</v>
      </c>
      <c r="B1277" t="s">
        <v>17</v>
      </c>
      <c r="C1277" s="2">
        <v>38254</v>
      </c>
      <c r="D1277">
        <f>YEAR(ProductLine[[#This Row],[Date]])</f>
        <v>2004</v>
      </c>
      <c r="E1277">
        <f>MONTH(ProductLine[[#This Row],[Date]])</f>
        <v>9</v>
      </c>
      <c r="F1277" t="s">
        <v>24</v>
      </c>
      <c r="G1277">
        <v>-8</v>
      </c>
      <c r="H1277" s="3">
        <v>-21.82749489869385</v>
      </c>
      <c r="I1277" s="3">
        <f>ProductLine[[#This Row],[Units]]*ProductLine[[#This Row],[Dollars]]</f>
        <v>174.6199591895508</v>
      </c>
    </row>
    <row r="1278" spans="1:9" x14ac:dyDescent="0.35">
      <c r="A1278">
        <v>1277</v>
      </c>
      <c r="B1278" t="s">
        <v>14</v>
      </c>
      <c r="C1278" s="2">
        <v>38606</v>
      </c>
      <c r="D1278">
        <f>YEAR(ProductLine[[#This Row],[Date]])</f>
        <v>2005</v>
      </c>
      <c r="E1278">
        <f>MONTH(ProductLine[[#This Row],[Date]])</f>
        <v>9</v>
      </c>
      <c r="F1278" t="s">
        <v>24</v>
      </c>
      <c r="G1278">
        <v>45</v>
      </c>
      <c r="H1278" s="3">
        <v>136.95599465560394</v>
      </c>
      <c r="I1278" s="3">
        <f>ProductLine[[#This Row],[Units]]*ProductLine[[#This Row],[Dollars]]</f>
        <v>6163.0197595021773</v>
      </c>
    </row>
    <row r="1279" spans="1:9" x14ac:dyDescent="0.35">
      <c r="A1279">
        <v>1278</v>
      </c>
      <c r="B1279" t="s">
        <v>12</v>
      </c>
      <c r="C1279" s="2">
        <v>38287</v>
      </c>
      <c r="D1279">
        <f>YEAR(ProductLine[[#This Row],[Date]])</f>
        <v>2004</v>
      </c>
      <c r="E1279">
        <f>MONTH(ProductLine[[#This Row],[Date]])</f>
        <v>10</v>
      </c>
      <c r="F1279" t="s">
        <v>26</v>
      </c>
      <c r="G1279">
        <v>92</v>
      </c>
      <c r="H1279" s="3">
        <v>278.04523769732305</v>
      </c>
      <c r="I1279" s="3">
        <f>ProductLine[[#This Row],[Units]]*ProductLine[[#This Row],[Dollars]]</f>
        <v>25580.161868153722</v>
      </c>
    </row>
    <row r="1280" spans="1:9" x14ac:dyDescent="0.35">
      <c r="A1280">
        <v>1279</v>
      </c>
      <c r="B1280" t="s">
        <v>13</v>
      </c>
      <c r="C1280" s="2">
        <v>38232</v>
      </c>
      <c r="D1280">
        <f>YEAR(ProductLine[[#This Row],[Date]])</f>
        <v>2004</v>
      </c>
      <c r="E1280">
        <f>MONTH(ProductLine[[#This Row],[Date]])</f>
        <v>9</v>
      </c>
      <c r="F1280" t="s">
        <v>27</v>
      </c>
      <c r="G1280">
        <v>28</v>
      </c>
      <c r="H1280" s="3">
        <v>86.457557586126669</v>
      </c>
      <c r="I1280" s="3">
        <f>ProductLine[[#This Row],[Units]]*ProductLine[[#This Row],[Dollars]]</f>
        <v>2420.8116124115468</v>
      </c>
    </row>
    <row r="1281" spans="1:9" x14ac:dyDescent="0.35">
      <c r="A1281">
        <v>1280</v>
      </c>
      <c r="B1281" t="s">
        <v>9</v>
      </c>
      <c r="C1281" s="2">
        <v>38375</v>
      </c>
      <c r="D1281">
        <f>YEAR(ProductLine[[#This Row],[Date]])</f>
        <v>2005</v>
      </c>
      <c r="E1281">
        <f>MONTH(ProductLine[[#This Row],[Date]])</f>
        <v>1</v>
      </c>
      <c r="F1281" t="s">
        <v>25</v>
      </c>
      <c r="G1281">
        <v>79</v>
      </c>
      <c r="H1281" s="3">
        <v>238.98646128992934</v>
      </c>
      <c r="I1281" s="3">
        <f>ProductLine[[#This Row],[Units]]*ProductLine[[#This Row],[Dollars]]</f>
        <v>18879.930441904417</v>
      </c>
    </row>
    <row r="1282" spans="1:9" x14ac:dyDescent="0.35">
      <c r="A1282">
        <v>1281</v>
      </c>
      <c r="B1282" t="s">
        <v>16</v>
      </c>
      <c r="C1282" s="2">
        <v>38375</v>
      </c>
      <c r="D1282">
        <f>YEAR(ProductLine[[#This Row],[Date]])</f>
        <v>2005</v>
      </c>
      <c r="E1282">
        <f>MONTH(ProductLine[[#This Row],[Date]])</f>
        <v>1</v>
      </c>
      <c r="F1282" t="s">
        <v>24</v>
      </c>
      <c r="G1282">
        <v>92</v>
      </c>
      <c r="H1282" s="3">
        <v>277.53792590877345</v>
      </c>
      <c r="I1282" s="3">
        <f>ProductLine[[#This Row],[Units]]*ProductLine[[#This Row],[Dollars]]</f>
        <v>25533.489183607158</v>
      </c>
    </row>
    <row r="1283" spans="1:9" x14ac:dyDescent="0.35">
      <c r="A1283">
        <v>1282</v>
      </c>
      <c r="B1283" t="s">
        <v>14</v>
      </c>
      <c r="C1283" s="2">
        <v>38100</v>
      </c>
      <c r="D1283">
        <f>YEAR(ProductLine[[#This Row],[Date]])</f>
        <v>2004</v>
      </c>
      <c r="E1283">
        <f>MONTH(ProductLine[[#This Row],[Date]])</f>
        <v>4</v>
      </c>
      <c r="F1283" t="s">
        <v>27</v>
      </c>
      <c r="G1283">
        <v>11</v>
      </c>
      <c r="H1283" s="3">
        <v>34.457391966440007</v>
      </c>
      <c r="I1283" s="3">
        <f>ProductLine[[#This Row],[Units]]*ProductLine[[#This Row],[Dollars]]</f>
        <v>379.03131163084009</v>
      </c>
    </row>
    <row r="1284" spans="1:9" x14ac:dyDescent="0.35">
      <c r="A1284">
        <v>1283</v>
      </c>
      <c r="B1284" t="s">
        <v>13</v>
      </c>
      <c r="C1284" s="2">
        <v>38375</v>
      </c>
      <c r="D1284">
        <f>YEAR(ProductLine[[#This Row],[Date]])</f>
        <v>2005</v>
      </c>
      <c r="E1284">
        <f>MONTH(ProductLine[[#This Row],[Date]])</f>
        <v>1</v>
      </c>
      <c r="F1284" t="s">
        <v>26</v>
      </c>
      <c r="G1284">
        <v>23</v>
      </c>
      <c r="H1284" s="3">
        <v>70.69661605650883</v>
      </c>
      <c r="I1284" s="3">
        <f>ProductLine[[#This Row],[Units]]*ProductLine[[#This Row],[Dollars]]</f>
        <v>1626.0221692997031</v>
      </c>
    </row>
    <row r="1285" spans="1:9" x14ac:dyDescent="0.35">
      <c r="A1285">
        <v>1284</v>
      </c>
      <c r="B1285" t="s">
        <v>9</v>
      </c>
      <c r="C1285" s="2">
        <v>38826</v>
      </c>
      <c r="D1285">
        <f>YEAR(ProductLine[[#This Row],[Date]])</f>
        <v>2006</v>
      </c>
      <c r="E1285">
        <f>MONTH(ProductLine[[#This Row],[Date]])</f>
        <v>4</v>
      </c>
      <c r="F1285" t="s">
        <v>26</v>
      </c>
      <c r="G1285">
        <v>2</v>
      </c>
      <c r="H1285" s="3">
        <v>8.8023773142157893</v>
      </c>
      <c r="I1285" s="3">
        <f>ProductLine[[#This Row],[Units]]*ProductLine[[#This Row],[Dollars]]</f>
        <v>17.604754628431579</v>
      </c>
    </row>
    <row r="1286" spans="1:9" x14ac:dyDescent="0.35">
      <c r="A1286">
        <v>1285</v>
      </c>
      <c r="B1286" t="s">
        <v>15</v>
      </c>
      <c r="C1286" s="2">
        <v>38353</v>
      </c>
      <c r="D1286">
        <f>YEAR(ProductLine[[#This Row],[Date]])</f>
        <v>2005</v>
      </c>
      <c r="E1286">
        <f>MONTH(ProductLine[[#This Row],[Date]])</f>
        <v>1</v>
      </c>
      <c r="F1286" t="s">
        <v>26</v>
      </c>
      <c r="G1286">
        <v>-2</v>
      </c>
      <c r="H1286" s="3">
        <v>-3.4493356628035219</v>
      </c>
      <c r="I1286" s="3">
        <f>ProductLine[[#This Row],[Units]]*ProductLine[[#This Row],[Dollars]]</f>
        <v>6.8986713256070438</v>
      </c>
    </row>
    <row r="1287" spans="1:9" x14ac:dyDescent="0.35">
      <c r="A1287">
        <v>1286</v>
      </c>
      <c r="B1287" t="s">
        <v>10</v>
      </c>
      <c r="C1287" s="2">
        <v>38507</v>
      </c>
      <c r="D1287">
        <f>YEAR(ProductLine[[#This Row],[Date]])</f>
        <v>2005</v>
      </c>
      <c r="E1287">
        <f>MONTH(ProductLine[[#This Row],[Date]])</f>
        <v>6</v>
      </c>
      <c r="F1287" t="s">
        <v>23</v>
      </c>
      <c r="G1287">
        <v>33</v>
      </c>
      <c r="H1287" s="3">
        <v>100.68617590777907</v>
      </c>
      <c r="I1287" s="3">
        <f>ProductLine[[#This Row],[Units]]*ProductLine[[#This Row],[Dollars]]</f>
        <v>3322.6438049567096</v>
      </c>
    </row>
    <row r="1288" spans="1:9" x14ac:dyDescent="0.35">
      <c r="A1288">
        <v>1287</v>
      </c>
      <c r="B1288" t="s">
        <v>15</v>
      </c>
      <c r="C1288" s="2">
        <v>38892</v>
      </c>
      <c r="D1288">
        <f>YEAR(ProductLine[[#This Row],[Date]])</f>
        <v>2006</v>
      </c>
      <c r="E1288">
        <f>MONTH(ProductLine[[#This Row],[Date]])</f>
        <v>6</v>
      </c>
      <c r="F1288" t="s">
        <v>27</v>
      </c>
      <c r="G1288">
        <v>10</v>
      </c>
      <c r="H1288" s="3">
        <v>31.300935347132732</v>
      </c>
      <c r="I1288" s="3">
        <f>ProductLine[[#This Row],[Units]]*ProductLine[[#This Row],[Dollars]]</f>
        <v>313.0093534713273</v>
      </c>
    </row>
    <row r="1289" spans="1:9" x14ac:dyDescent="0.35">
      <c r="A1289">
        <v>1288</v>
      </c>
      <c r="B1289" t="s">
        <v>11</v>
      </c>
      <c r="C1289" s="2">
        <v>38320</v>
      </c>
      <c r="D1289">
        <f>YEAR(ProductLine[[#This Row],[Date]])</f>
        <v>2004</v>
      </c>
      <c r="E1289">
        <f>MONTH(ProductLine[[#This Row],[Date]])</f>
        <v>11</v>
      </c>
      <c r="F1289" t="s">
        <v>25</v>
      </c>
      <c r="G1289">
        <v>84</v>
      </c>
      <c r="H1289" s="3">
        <v>254.11937205363179</v>
      </c>
      <c r="I1289" s="3">
        <f>ProductLine[[#This Row],[Units]]*ProductLine[[#This Row],[Dollars]]</f>
        <v>21346.027252505071</v>
      </c>
    </row>
    <row r="1290" spans="1:9" x14ac:dyDescent="0.35">
      <c r="A1290">
        <v>1289</v>
      </c>
      <c r="B1290" t="s">
        <v>10</v>
      </c>
      <c r="C1290" s="2">
        <v>38342</v>
      </c>
      <c r="D1290">
        <f>YEAR(ProductLine[[#This Row],[Date]])</f>
        <v>2004</v>
      </c>
      <c r="E1290">
        <f>MONTH(ProductLine[[#This Row],[Date]])</f>
        <v>12</v>
      </c>
      <c r="F1290" t="s">
        <v>27</v>
      </c>
      <c r="G1290">
        <v>88</v>
      </c>
      <c r="H1290" s="3">
        <v>266.39334034313327</v>
      </c>
      <c r="I1290" s="3">
        <f>ProductLine[[#This Row],[Units]]*ProductLine[[#This Row],[Dollars]]</f>
        <v>23442.61395019573</v>
      </c>
    </row>
    <row r="1291" spans="1:9" x14ac:dyDescent="0.35">
      <c r="A1291">
        <v>1290</v>
      </c>
      <c r="B1291" t="s">
        <v>9</v>
      </c>
      <c r="C1291" s="2">
        <v>38540</v>
      </c>
      <c r="D1291">
        <f>YEAR(ProductLine[[#This Row],[Date]])</f>
        <v>2005</v>
      </c>
      <c r="E1291">
        <f>MONTH(ProductLine[[#This Row],[Date]])</f>
        <v>7</v>
      </c>
      <c r="F1291" t="s">
        <v>26</v>
      </c>
      <c r="G1291">
        <v>95</v>
      </c>
      <c r="H1291" s="3">
        <v>286.60843219410157</v>
      </c>
      <c r="I1291" s="3">
        <f>ProductLine[[#This Row],[Units]]*ProductLine[[#This Row],[Dollars]]</f>
        <v>27227.801058439651</v>
      </c>
    </row>
    <row r="1292" spans="1:9" x14ac:dyDescent="0.35">
      <c r="A1292">
        <v>1291</v>
      </c>
      <c r="B1292" t="s">
        <v>12</v>
      </c>
      <c r="C1292" s="2">
        <v>38397</v>
      </c>
      <c r="D1292">
        <f>YEAR(ProductLine[[#This Row],[Date]])</f>
        <v>2005</v>
      </c>
      <c r="E1292">
        <f>MONTH(ProductLine[[#This Row],[Date]])</f>
        <v>2</v>
      </c>
      <c r="F1292" t="s">
        <v>27</v>
      </c>
      <c r="G1292">
        <v>3</v>
      </c>
      <c r="H1292" s="3">
        <v>11.903882144888168</v>
      </c>
      <c r="I1292" s="3">
        <f>ProductLine[[#This Row],[Units]]*ProductLine[[#This Row],[Dollars]]</f>
        <v>35.711646434664502</v>
      </c>
    </row>
    <row r="1293" spans="1:9" x14ac:dyDescent="0.35">
      <c r="A1293">
        <v>1292</v>
      </c>
      <c r="B1293" t="s">
        <v>9</v>
      </c>
      <c r="C1293" s="2">
        <v>38837</v>
      </c>
      <c r="D1293">
        <f>YEAR(ProductLine[[#This Row],[Date]])</f>
        <v>2006</v>
      </c>
      <c r="E1293">
        <f>MONTH(ProductLine[[#This Row],[Date]])</f>
        <v>4</v>
      </c>
      <c r="F1293" t="s">
        <v>23</v>
      </c>
      <c r="G1293">
        <v>72</v>
      </c>
      <c r="H1293" s="3">
        <v>217.58131494729014</v>
      </c>
      <c r="I1293" s="3">
        <f>ProductLine[[#This Row],[Units]]*ProductLine[[#This Row],[Dollars]]</f>
        <v>15665.85467620489</v>
      </c>
    </row>
    <row r="1294" spans="1:9" x14ac:dyDescent="0.35">
      <c r="A1294">
        <v>1293</v>
      </c>
      <c r="B1294" t="s">
        <v>17</v>
      </c>
      <c r="C1294" s="2">
        <v>38419</v>
      </c>
      <c r="D1294">
        <f>YEAR(ProductLine[[#This Row],[Date]])</f>
        <v>2005</v>
      </c>
      <c r="E1294">
        <f>MONTH(ProductLine[[#This Row],[Date]])</f>
        <v>3</v>
      </c>
      <c r="F1294" t="s">
        <v>26</v>
      </c>
      <c r="G1294">
        <v>58</v>
      </c>
      <c r="H1294" s="3">
        <v>176.65394036929425</v>
      </c>
      <c r="I1294" s="3">
        <f>ProductLine[[#This Row],[Units]]*ProductLine[[#This Row],[Dollars]]</f>
        <v>10245.928541419067</v>
      </c>
    </row>
    <row r="1295" spans="1:9" x14ac:dyDescent="0.35">
      <c r="A1295">
        <v>1294</v>
      </c>
      <c r="B1295" t="s">
        <v>11</v>
      </c>
      <c r="C1295" s="2">
        <v>38144</v>
      </c>
      <c r="D1295">
        <f>YEAR(ProductLine[[#This Row],[Date]])</f>
        <v>2004</v>
      </c>
      <c r="E1295">
        <f>MONTH(ProductLine[[#This Row],[Date]])</f>
        <v>6</v>
      </c>
      <c r="F1295" t="s">
        <v>26</v>
      </c>
      <c r="G1295">
        <v>19</v>
      </c>
      <c r="H1295" s="3">
        <v>59.643357077362239</v>
      </c>
      <c r="I1295" s="3">
        <f>ProductLine[[#This Row],[Units]]*ProductLine[[#This Row],[Dollars]]</f>
        <v>1133.2237844698825</v>
      </c>
    </row>
    <row r="1296" spans="1:9" x14ac:dyDescent="0.35">
      <c r="A1296">
        <v>1295</v>
      </c>
      <c r="B1296" t="s">
        <v>9</v>
      </c>
      <c r="C1296" s="2">
        <v>38463</v>
      </c>
      <c r="D1296">
        <f>YEAR(ProductLine[[#This Row],[Date]])</f>
        <v>2005</v>
      </c>
      <c r="E1296">
        <f>MONTH(ProductLine[[#This Row],[Date]])</f>
        <v>4</v>
      </c>
      <c r="F1296" t="s">
        <v>27</v>
      </c>
      <c r="G1296">
        <v>35</v>
      </c>
      <c r="H1296" s="3">
        <v>106.5070892872302</v>
      </c>
      <c r="I1296" s="3">
        <f>ProductLine[[#This Row],[Units]]*ProductLine[[#This Row],[Dollars]]</f>
        <v>3727.7481250530573</v>
      </c>
    </row>
    <row r="1297" spans="1:9" x14ac:dyDescent="0.35">
      <c r="A1297">
        <v>1296</v>
      </c>
      <c r="B1297" t="s">
        <v>10</v>
      </c>
      <c r="C1297" s="2">
        <v>38320</v>
      </c>
      <c r="D1297">
        <f>YEAR(ProductLine[[#This Row],[Date]])</f>
        <v>2004</v>
      </c>
      <c r="E1297">
        <f>MONTH(ProductLine[[#This Row],[Date]])</f>
        <v>11</v>
      </c>
      <c r="F1297" t="s">
        <v>24</v>
      </c>
      <c r="G1297">
        <v>80</v>
      </c>
      <c r="H1297" s="3">
        <v>242.63330478636408</v>
      </c>
      <c r="I1297" s="3">
        <f>ProductLine[[#This Row],[Units]]*ProductLine[[#This Row],[Dollars]]</f>
        <v>19410.664382909126</v>
      </c>
    </row>
    <row r="1298" spans="1:9" x14ac:dyDescent="0.35">
      <c r="A1298">
        <v>1297</v>
      </c>
      <c r="B1298" t="s">
        <v>14</v>
      </c>
      <c r="C1298" s="2">
        <v>38012</v>
      </c>
      <c r="D1298">
        <f>YEAR(ProductLine[[#This Row],[Date]])</f>
        <v>2004</v>
      </c>
      <c r="E1298">
        <f>MONTH(ProductLine[[#This Row],[Date]])</f>
        <v>1</v>
      </c>
      <c r="F1298" t="s">
        <v>26</v>
      </c>
      <c r="G1298">
        <v>26</v>
      </c>
      <c r="H1298" s="3">
        <v>80.048584690277565</v>
      </c>
      <c r="I1298" s="3">
        <f>ProductLine[[#This Row],[Units]]*ProductLine[[#This Row],[Dollars]]</f>
        <v>2081.2632019472167</v>
      </c>
    </row>
    <row r="1299" spans="1:9" x14ac:dyDescent="0.35">
      <c r="A1299">
        <v>1298</v>
      </c>
      <c r="B1299" t="s">
        <v>12</v>
      </c>
      <c r="C1299" s="2">
        <v>38540</v>
      </c>
      <c r="D1299">
        <f>YEAR(ProductLine[[#This Row],[Date]])</f>
        <v>2005</v>
      </c>
      <c r="E1299">
        <f>MONTH(ProductLine[[#This Row],[Date]])</f>
        <v>7</v>
      </c>
      <c r="F1299" t="s">
        <v>23</v>
      </c>
      <c r="G1299">
        <v>93</v>
      </c>
      <c r="H1299" s="3">
        <v>280.93222292224493</v>
      </c>
      <c r="I1299" s="3">
        <f>ProductLine[[#This Row],[Units]]*ProductLine[[#This Row],[Dollars]]</f>
        <v>26126.696731768778</v>
      </c>
    </row>
    <row r="1300" spans="1:9" x14ac:dyDescent="0.35">
      <c r="A1300">
        <v>1299</v>
      </c>
      <c r="B1300" t="s">
        <v>13</v>
      </c>
      <c r="C1300" s="2">
        <v>38661</v>
      </c>
      <c r="D1300">
        <f>YEAR(ProductLine[[#This Row],[Date]])</f>
        <v>2005</v>
      </c>
      <c r="E1300">
        <f>MONTH(ProductLine[[#This Row],[Date]])</f>
        <v>11</v>
      </c>
      <c r="F1300" t="s">
        <v>26</v>
      </c>
      <c r="G1300">
        <v>29</v>
      </c>
      <c r="H1300" s="3">
        <v>90.05707639133125</v>
      </c>
      <c r="I1300" s="3">
        <f>ProductLine[[#This Row],[Units]]*ProductLine[[#This Row],[Dollars]]</f>
        <v>2611.6552153486064</v>
      </c>
    </row>
    <row r="1301" spans="1:9" x14ac:dyDescent="0.35">
      <c r="A1301">
        <v>1300</v>
      </c>
      <c r="B1301" t="s">
        <v>13</v>
      </c>
      <c r="C1301" s="2">
        <v>38100</v>
      </c>
      <c r="D1301">
        <f>YEAR(ProductLine[[#This Row],[Date]])</f>
        <v>2004</v>
      </c>
      <c r="E1301">
        <f>MONTH(ProductLine[[#This Row],[Date]])</f>
        <v>4</v>
      </c>
      <c r="F1301" t="s">
        <v>24</v>
      </c>
      <c r="G1301">
        <v>88</v>
      </c>
      <c r="H1301" s="3">
        <v>266.36925289616937</v>
      </c>
      <c r="I1301" s="3">
        <f>ProductLine[[#This Row],[Units]]*ProductLine[[#This Row],[Dollars]]</f>
        <v>23440.494254862904</v>
      </c>
    </row>
    <row r="1302" spans="1:9" x14ac:dyDescent="0.35">
      <c r="A1302">
        <v>1301</v>
      </c>
      <c r="B1302" t="s">
        <v>16</v>
      </c>
      <c r="C1302" s="2">
        <v>38947</v>
      </c>
      <c r="D1302">
        <f>YEAR(ProductLine[[#This Row],[Date]])</f>
        <v>2006</v>
      </c>
      <c r="E1302">
        <f>MONTH(ProductLine[[#This Row],[Date]])</f>
        <v>8</v>
      </c>
      <c r="F1302" t="s">
        <v>26</v>
      </c>
      <c r="G1302">
        <v>5</v>
      </c>
      <c r="H1302" s="3">
        <v>16.874201572948834</v>
      </c>
      <c r="I1302" s="3">
        <f>ProductLine[[#This Row],[Units]]*ProductLine[[#This Row],[Dollars]]</f>
        <v>84.371007864744172</v>
      </c>
    </row>
    <row r="1303" spans="1:9" x14ac:dyDescent="0.35">
      <c r="A1303">
        <v>1302</v>
      </c>
      <c r="B1303" t="s">
        <v>13</v>
      </c>
      <c r="C1303" s="2">
        <v>38573</v>
      </c>
      <c r="D1303">
        <f>YEAR(ProductLine[[#This Row],[Date]])</f>
        <v>2005</v>
      </c>
      <c r="E1303">
        <f>MONTH(ProductLine[[#This Row],[Date]])</f>
        <v>8</v>
      </c>
      <c r="F1303" t="s">
        <v>27</v>
      </c>
      <c r="G1303">
        <v>64</v>
      </c>
      <c r="H1303" s="3">
        <v>194.02715866543952</v>
      </c>
      <c r="I1303" s="3">
        <f>ProductLine[[#This Row],[Units]]*ProductLine[[#This Row],[Dollars]]</f>
        <v>12417.738154588129</v>
      </c>
    </row>
    <row r="1304" spans="1:9" x14ac:dyDescent="0.35">
      <c r="A1304">
        <v>1303</v>
      </c>
      <c r="B1304" t="s">
        <v>15</v>
      </c>
      <c r="C1304" s="2">
        <v>38716</v>
      </c>
      <c r="D1304">
        <f>YEAR(ProductLine[[#This Row],[Date]])</f>
        <v>2005</v>
      </c>
      <c r="E1304">
        <f>MONTH(ProductLine[[#This Row],[Date]])</f>
        <v>12</v>
      </c>
      <c r="F1304" t="s">
        <v>23</v>
      </c>
      <c r="G1304">
        <v>38</v>
      </c>
      <c r="H1304" s="3">
        <v>116.02781429818391</v>
      </c>
      <c r="I1304" s="3">
        <f>ProductLine[[#This Row],[Units]]*ProductLine[[#This Row],[Dollars]]</f>
        <v>4409.0569433309884</v>
      </c>
    </row>
    <row r="1305" spans="1:9" x14ac:dyDescent="0.35">
      <c r="A1305">
        <v>1304</v>
      </c>
      <c r="B1305" t="s">
        <v>16</v>
      </c>
      <c r="C1305" s="2">
        <v>38276</v>
      </c>
      <c r="D1305">
        <f>YEAR(ProductLine[[#This Row],[Date]])</f>
        <v>2004</v>
      </c>
      <c r="E1305">
        <f>MONTH(ProductLine[[#This Row],[Date]])</f>
        <v>10</v>
      </c>
      <c r="F1305" t="s">
        <v>24</v>
      </c>
      <c r="G1305">
        <v>21</v>
      </c>
      <c r="H1305" s="3">
        <v>65.60411466769294</v>
      </c>
      <c r="I1305" s="3">
        <f>ProductLine[[#This Row],[Units]]*ProductLine[[#This Row],[Dollars]]</f>
        <v>1377.6864080215516</v>
      </c>
    </row>
    <row r="1306" spans="1:9" x14ac:dyDescent="0.35">
      <c r="A1306">
        <v>1305</v>
      </c>
      <c r="B1306" t="s">
        <v>10</v>
      </c>
      <c r="C1306" s="2">
        <v>38551</v>
      </c>
      <c r="D1306">
        <f>YEAR(ProductLine[[#This Row],[Date]])</f>
        <v>2005</v>
      </c>
      <c r="E1306">
        <f>MONTH(ProductLine[[#This Row],[Date]])</f>
        <v>7</v>
      </c>
      <c r="F1306" t="s">
        <v>26</v>
      </c>
      <c r="G1306">
        <v>61</v>
      </c>
      <c r="H1306" s="3">
        <v>184.44189289759726</v>
      </c>
      <c r="I1306" s="3">
        <f>ProductLine[[#This Row],[Units]]*ProductLine[[#This Row],[Dollars]]</f>
        <v>11250.955466753432</v>
      </c>
    </row>
    <row r="1307" spans="1:9" x14ac:dyDescent="0.35">
      <c r="A1307">
        <v>1306</v>
      </c>
      <c r="B1307" t="s">
        <v>12</v>
      </c>
      <c r="C1307" s="2">
        <v>38111</v>
      </c>
      <c r="D1307">
        <f>YEAR(ProductLine[[#This Row],[Date]])</f>
        <v>2004</v>
      </c>
      <c r="E1307">
        <f>MONTH(ProductLine[[#This Row],[Date]])</f>
        <v>5</v>
      </c>
      <c r="F1307" t="s">
        <v>26</v>
      </c>
      <c r="G1307">
        <v>53</v>
      </c>
      <c r="H1307" s="3">
        <v>160.79564195236946</v>
      </c>
      <c r="I1307" s="3">
        <f>ProductLine[[#This Row],[Units]]*ProductLine[[#This Row],[Dollars]]</f>
        <v>8522.1690234755824</v>
      </c>
    </row>
    <row r="1308" spans="1:9" x14ac:dyDescent="0.35">
      <c r="A1308">
        <v>1307</v>
      </c>
      <c r="B1308" t="s">
        <v>9</v>
      </c>
      <c r="C1308" s="2">
        <v>38749</v>
      </c>
      <c r="D1308">
        <f>YEAR(ProductLine[[#This Row],[Date]])</f>
        <v>2006</v>
      </c>
      <c r="E1308">
        <f>MONTH(ProductLine[[#This Row],[Date]])</f>
        <v>2</v>
      </c>
      <c r="F1308" t="s">
        <v>27</v>
      </c>
      <c r="G1308">
        <v>28</v>
      </c>
      <c r="H1308" s="3">
        <v>86.322863736189788</v>
      </c>
      <c r="I1308" s="3">
        <f>ProductLine[[#This Row],[Units]]*ProductLine[[#This Row],[Dollars]]</f>
        <v>2417.0401846133141</v>
      </c>
    </row>
    <row r="1309" spans="1:9" x14ac:dyDescent="0.35">
      <c r="A1309">
        <v>1308</v>
      </c>
      <c r="B1309" t="s">
        <v>12</v>
      </c>
      <c r="C1309" s="2">
        <v>38958</v>
      </c>
      <c r="D1309">
        <f>YEAR(ProductLine[[#This Row],[Date]])</f>
        <v>2006</v>
      </c>
      <c r="E1309">
        <f>MONTH(ProductLine[[#This Row],[Date]])</f>
        <v>8</v>
      </c>
      <c r="F1309" t="s">
        <v>27</v>
      </c>
      <c r="G1309">
        <v>39</v>
      </c>
      <c r="H1309" s="3">
        <v>119.49155300741148</v>
      </c>
      <c r="I1309" s="3">
        <f>ProductLine[[#This Row],[Units]]*ProductLine[[#This Row],[Dollars]]</f>
        <v>4660.1705672890475</v>
      </c>
    </row>
    <row r="1310" spans="1:9" x14ac:dyDescent="0.35">
      <c r="A1310">
        <v>1309</v>
      </c>
      <c r="B1310" t="s">
        <v>12</v>
      </c>
      <c r="C1310" s="2">
        <v>39024</v>
      </c>
      <c r="D1310">
        <f>YEAR(ProductLine[[#This Row],[Date]])</f>
        <v>2006</v>
      </c>
      <c r="E1310">
        <f>MONTH(ProductLine[[#This Row],[Date]])</f>
        <v>11</v>
      </c>
      <c r="F1310" t="s">
        <v>23</v>
      </c>
      <c r="G1310">
        <v>89</v>
      </c>
      <c r="H1310" s="3">
        <v>268.72040652792879</v>
      </c>
      <c r="I1310" s="3">
        <f>ProductLine[[#This Row],[Units]]*ProductLine[[#This Row],[Dollars]]</f>
        <v>23916.11618098566</v>
      </c>
    </row>
    <row r="1311" spans="1:9" x14ac:dyDescent="0.35">
      <c r="A1311">
        <v>1310</v>
      </c>
      <c r="B1311" t="s">
        <v>9</v>
      </c>
      <c r="C1311" s="2">
        <v>38100</v>
      </c>
      <c r="D1311">
        <f>YEAR(ProductLine[[#This Row],[Date]])</f>
        <v>2004</v>
      </c>
      <c r="E1311">
        <f>MONTH(ProductLine[[#This Row],[Date]])</f>
        <v>4</v>
      </c>
      <c r="F1311" t="s">
        <v>24</v>
      </c>
      <c r="G1311">
        <v>72</v>
      </c>
      <c r="H1311" s="3">
        <v>218.15784251474992</v>
      </c>
      <c r="I1311" s="3">
        <f>ProductLine[[#This Row],[Units]]*ProductLine[[#This Row],[Dollars]]</f>
        <v>15707.364661061994</v>
      </c>
    </row>
    <row r="1312" spans="1:9" x14ac:dyDescent="0.35">
      <c r="A1312">
        <v>1311</v>
      </c>
      <c r="B1312" t="s">
        <v>13</v>
      </c>
      <c r="C1312" s="2">
        <v>38221</v>
      </c>
      <c r="D1312">
        <f>YEAR(ProductLine[[#This Row],[Date]])</f>
        <v>2004</v>
      </c>
      <c r="E1312">
        <f>MONTH(ProductLine[[#This Row],[Date]])</f>
        <v>8</v>
      </c>
      <c r="F1312" t="s">
        <v>23</v>
      </c>
      <c r="G1312">
        <v>63</v>
      </c>
      <c r="H1312" s="3">
        <v>191.07967670509865</v>
      </c>
      <c r="I1312" s="3">
        <f>ProductLine[[#This Row],[Units]]*ProductLine[[#This Row],[Dollars]]</f>
        <v>12038.019632421216</v>
      </c>
    </row>
    <row r="1313" spans="1:9" x14ac:dyDescent="0.35">
      <c r="A1313">
        <v>1312</v>
      </c>
      <c r="B1313" t="s">
        <v>14</v>
      </c>
      <c r="C1313" s="2">
        <v>39079</v>
      </c>
      <c r="D1313">
        <f>YEAR(ProductLine[[#This Row],[Date]])</f>
        <v>2006</v>
      </c>
      <c r="E1313">
        <f>MONTH(ProductLine[[#This Row],[Date]])</f>
        <v>12</v>
      </c>
      <c r="F1313" t="s">
        <v>24</v>
      </c>
      <c r="G1313">
        <v>47</v>
      </c>
      <c r="H1313" s="3">
        <v>142.1470812441363</v>
      </c>
      <c r="I1313" s="3">
        <f>ProductLine[[#This Row],[Units]]*ProductLine[[#This Row],[Dollars]]</f>
        <v>6680.9128184744059</v>
      </c>
    </row>
    <row r="1314" spans="1:9" x14ac:dyDescent="0.35">
      <c r="A1314">
        <v>1313</v>
      </c>
      <c r="B1314" t="s">
        <v>11</v>
      </c>
      <c r="C1314" s="2">
        <v>38540</v>
      </c>
      <c r="D1314">
        <f>YEAR(ProductLine[[#This Row],[Date]])</f>
        <v>2005</v>
      </c>
      <c r="E1314">
        <f>MONTH(ProductLine[[#This Row],[Date]])</f>
        <v>7</v>
      </c>
      <c r="F1314" t="s">
        <v>27</v>
      </c>
      <c r="G1314">
        <v>8</v>
      </c>
      <c r="H1314" s="3">
        <v>25.619997788473359</v>
      </c>
      <c r="I1314" s="3">
        <f>ProductLine[[#This Row],[Units]]*ProductLine[[#This Row],[Dollars]]</f>
        <v>204.95998230778687</v>
      </c>
    </row>
    <row r="1315" spans="1:9" x14ac:dyDescent="0.35">
      <c r="A1315">
        <v>1314</v>
      </c>
      <c r="B1315" t="s">
        <v>9</v>
      </c>
      <c r="C1315" s="2">
        <v>38298</v>
      </c>
      <c r="D1315">
        <f>YEAR(ProductLine[[#This Row],[Date]])</f>
        <v>2004</v>
      </c>
      <c r="E1315">
        <f>MONTH(ProductLine[[#This Row],[Date]])</f>
        <v>11</v>
      </c>
      <c r="F1315" t="s">
        <v>23</v>
      </c>
      <c r="G1315">
        <v>88</v>
      </c>
      <c r="H1315" s="3">
        <v>265.56717139256853</v>
      </c>
      <c r="I1315" s="3">
        <f>ProductLine[[#This Row],[Units]]*ProductLine[[#This Row],[Dollars]]</f>
        <v>23369.91108254603</v>
      </c>
    </row>
    <row r="1316" spans="1:9" x14ac:dyDescent="0.35">
      <c r="A1316">
        <v>1315</v>
      </c>
      <c r="B1316" t="s">
        <v>11</v>
      </c>
      <c r="C1316" s="2">
        <v>38221</v>
      </c>
      <c r="D1316">
        <f>YEAR(ProductLine[[#This Row],[Date]])</f>
        <v>2004</v>
      </c>
      <c r="E1316">
        <f>MONTH(ProductLine[[#This Row],[Date]])</f>
        <v>8</v>
      </c>
      <c r="F1316" t="s">
        <v>23</v>
      </c>
      <c r="G1316">
        <v>12</v>
      </c>
      <c r="H1316" s="3">
        <v>37.818679875987904</v>
      </c>
      <c r="I1316" s="3">
        <f>ProductLine[[#This Row],[Units]]*ProductLine[[#This Row],[Dollars]]</f>
        <v>453.82415851185488</v>
      </c>
    </row>
    <row r="1317" spans="1:9" x14ac:dyDescent="0.35">
      <c r="A1317">
        <v>1316</v>
      </c>
      <c r="B1317" t="s">
        <v>16</v>
      </c>
      <c r="C1317" s="2">
        <v>38683</v>
      </c>
      <c r="D1317">
        <f>YEAR(ProductLine[[#This Row],[Date]])</f>
        <v>2005</v>
      </c>
      <c r="E1317">
        <f>MONTH(ProductLine[[#This Row],[Date]])</f>
        <v>11</v>
      </c>
      <c r="F1317" t="s">
        <v>27</v>
      </c>
      <c r="G1317">
        <v>79</v>
      </c>
      <c r="H1317" s="3">
        <v>239.17519679611866</v>
      </c>
      <c r="I1317" s="3">
        <f>ProductLine[[#This Row],[Units]]*ProductLine[[#This Row],[Dollars]]</f>
        <v>18894.840546893374</v>
      </c>
    </row>
    <row r="1318" spans="1:9" x14ac:dyDescent="0.35">
      <c r="A1318">
        <v>1317</v>
      </c>
      <c r="B1318" t="s">
        <v>13</v>
      </c>
      <c r="C1318" s="2">
        <v>38155</v>
      </c>
      <c r="D1318">
        <f>YEAR(ProductLine[[#This Row],[Date]])</f>
        <v>2004</v>
      </c>
      <c r="E1318">
        <f>MONTH(ProductLine[[#This Row],[Date]])</f>
        <v>6</v>
      </c>
      <c r="F1318" t="s">
        <v>25</v>
      </c>
      <c r="G1318">
        <v>39</v>
      </c>
      <c r="H1318" s="3">
        <v>118.94488443291594</v>
      </c>
      <c r="I1318" s="3">
        <f>ProductLine[[#This Row],[Units]]*ProductLine[[#This Row],[Dollars]]</f>
        <v>4638.8504928837219</v>
      </c>
    </row>
    <row r="1319" spans="1:9" x14ac:dyDescent="0.35">
      <c r="A1319">
        <v>1318</v>
      </c>
      <c r="B1319" t="s">
        <v>16</v>
      </c>
      <c r="C1319" s="2">
        <v>38760</v>
      </c>
      <c r="D1319">
        <f>YEAR(ProductLine[[#This Row],[Date]])</f>
        <v>2006</v>
      </c>
      <c r="E1319">
        <f>MONTH(ProductLine[[#This Row],[Date]])</f>
        <v>2</v>
      </c>
      <c r="F1319" t="s">
        <v>27</v>
      </c>
      <c r="G1319">
        <v>61</v>
      </c>
      <c r="H1319" s="3">
        <v>185.05613481266943</v>
      </c>
      <c r="I1319" s="3">
        <f>ProductLine[[#This Row],[Units]]*ProductLine[[#This Row],[Dollars]]</f>
        <v>11288.424223572834</v>
      </c>
    </row>
    <row r="1320" spans="1:9" x14ac:dyDescent="0.35">
      <c r="A1320">
        <v>1319</v>
      </c>
      <c r="B1320" t="s">
        <v>16</v>
      </c>
      <c r="C1320" s="2">
        <v>38980</v>
      </c>
      <c r="D1320">
        <f>YEAR(ProductLine[[#This Row],[Date]])</f>
        <v>2006</v>
      </c>
      <c r="E1320">
        <f>MONTH(ProductLine[[#This Row],[Date]])</f>
        <v>9</v>
      </c>
      <c r="F1320" t="s">
        <v>23</v>
      </c>
      <c r="G1320">
        <v>12</v>
      </c>
      <c r="H1320" s="3">
        <v>38.275233428944262</v>
      </c>
      <c r="I1320" s="3">
        <f>ProductLine[[#This Row],[Units]]*ProductLine[[#This Row],[Dollars]]</f>
        <v>459.30280114733114</v>
      </c>
    </row>
    <row r="1321" spans="1:9" x14ac:dyDescent="0.35">
      <c r="A1321">
        <v>1320</v>
      </c>
      <c r="B1321" t="s">
        <v>12</v>
      </c>
      <c r="C1321" s="2">
        <v>38298</v>
      </c>
      <c r="D1321">
        <f>YEAR(ProductLine[[#This Row],[Date]])</f>
        <v>2004</v>
      </c>
      <c r="E1321">
        <f>MONTH(ProductLine[[#This Row],[Date]])</f>
        <v>11</v>
      </c>
      <c r="F1321" t="s">
        <v>27</v>
      </c>
      <c r="G1321">
        <v>25</v>
      </c>
      <c r="H1321" s="3">
        <v>76.651168243814681</v>
      </c>
      <c r="I1321" s="3">
        <f>ProductLine[[#This Row],[Units]]*ProductLine[[#This Row],[Dollars]]</f>
        <v>1916.279206095367</v>
      </c>
    </row>
    <row r="1322" spans="1:9" x14ac:dyDescent="0.35">
      <c r="A1322">
        <v>1321</v>
      </c>
      <c r="B1322" t="s">
        <v>17</v>
      </c>
      <c r="C1322" s="2">
        <v>38683</v>
      </c>
      <c r="D1322">
        <f>YEAR(ProductLine[[#This Row],[Date]])</f>
        <v>2005</v>
      </c>
      <c r="E1322">
        <f>MONTH(ProductLine[[#This Row],[Date]])</f>
        <v>11</v>
      </c>
      <c r="F1322" t="s">
        <v>24</v>
      </c>
      <c r="G1322">
        <v>82</v>
      </c>
      <c r="H1322" s="3">
        <v>248.26100726872076</v>
      </c>
      <c r="I1322" s="3">
        <f>ProductLine[[#This Row],[Units]]*ProductLine[[#This Row],[Dollars]]</f>
        <v>20357.402596035103</v>
      </c>
    </row>
    <row r="1323" spans="1:9" x14ac:dyDescent="0.35">
      <c r="A1323">
        <v>1322</v>
      </c>
      <c r="B1323" t="s">
        <v>11</v>
      </c>
      <c r="C1323" s="2">
        <v>38342</v>
      </c>
      <c r="D1323">
        <f>YEAR(ProductLine[[#This Row],[Date]])</f>
        <v>2004</v>
      </c>
      <c r="E1323">
        <f>MONTH(ProductLine[[#This Row],[Date]])</f>
        <v>12</v>
      </c>
      <c r="F1323" t="s">
        <v>27</v>
      </c>
      <c r="G1323">
        <v>4</v>
      </c>
      <c r="H1323" s="3">
        <v>14.48265398333678</v>
      </c>
      <c r="I1323" s="3">
        <f>ProductLine[[#This Row],[Units]]*ProductLine[[#This Row],[Dollars]]</f>
        <v>57.93061593334712</v>
      </c>
    </row>
    <row r="1324" spans="1:9" x14ac:dyDescent="0.35">
      <c r="A1324">
        <v>1323</v>
      </c>
      <c r="B1324" t="s">
        <v>11</v>
      </c>
      <c r="C1324" s="2">
        <v>39068</v>
      </c>
      <c r="D1324">
        <f>YEAR(ProductLine[[#This Row],[Date]])</f>
        <v>2006</v>
      </c>
      <c r="E1324">
        <f>MONTH(ProductLine[[#This Row],[Date]])</f>
        <v>12</v>
      </c>
      <c r="F1324" t="s">
        <v>25</v>
      </c>
      <c r="G1324">
        <v>22</v>
      </c>
      <c r="H1324" s="3">
        <v>68.226854446694333</v>
      </c>
      <c r="I1324" s="3">
        <f>ProductLine[[#This Row],[Units]]*ProductLine[[#This Row],[Dollars]]</f>
        <v>1500.9907978272754</v>
      </c>
    </row>
    <row r="1325" spans="1:9" x14ac:dyDescent="0.35">
      <c r="A1325">
        <v>1324</v>
      </c>
      <c r="B1325" t="s">
        <v>11</v>
      </c>
      <c r="C1325" s="2">
        <v>38991</v>
      </c>
      <c r="D1325">
        <f>YEAR(ProductLine[[#This Row],[Date]])</f>
        <v>2006</v>
      </c>
      <c r="E1325">
        <f>MONTH(ProductLine[[#This Row],[Date]])</f>
        <v>10</v>
      </c>
      <c r="F1325" t="s">
        <v>27</v>
      </c>
      <c r="G1325">
        <v>81</v>
      </c>
      <c r="H1325" s="3">
        <v>244.6243385117169</v>
      </c>
      <c r="I1325" s="3">
        <f>ProductLine[[#This Row],[Units]]*ProductLine[[#This Row],[Dollars]]</f>
        <v>19814.571419449068</v>
      </c>
    </row>
    <row r="1326" spans="1:9" x14ac:dyDescent="0.35">
      <c r="A1326">
        <v>1325</v>
      </c>
      <c r="B1326" t="s">
        <v>12</v>
      </c>
      <c r="C1326" s="2">
        <v>38408</v>
      </c>
      <c r="D1326">
        <f>YEAR(ProductLine[[#This Row],[Date]])</f>
        <v>2005</v>
      </c>
      <c r="E1326">
        <f>MONTH(ProductLine[[#This Row],[Date]])</f>
        <v>2</v>
      </c>
      <c r="F1326" t="s">
        <v>26</v>
      </c>
      <c r="G1326">
        <v>34</v>
      </c>
      <c r="H1326" s="3">
        <v>103.85172808433745</v>
      </c>
      <c r="I1326" s="3">
        <f>ProductLine[[#This Row],[Units]]*ProductLine[[#This Row],[Dollars]]</f>
        <v>3530.9587548674735</v>
      </c>
    </row>
    <row r="1327" spans="1:9" x14ac:dyDescent="0.35">
      <c r="A1327">
        <v>1326</v>
      </c>
      <c r="B1327" t="s">
        <v>11</v>
      </c>
      <c r="C1327" s="2">
        <v>38309</v>
      </c>
      <c r="D1327">
        <f>YEAR(ProductLine[[#This Row],[Date]])</f>
        <v>2004</v>
      </c>
      <c r="E1327">
        <f>MONTH(ProductLine[[#This Row],[Date]])</f>
        <v>11</v>
      </c>
      <c r="F1327" t="s">
        <v>27</v>
      </c>
      <c r="G1327">
        <v>89</v>
      </c>
      <c r="H1327" s="3">
        <v>269.74478909487721</v>
      </c>
      <c r="I1327" s="3">
        <f>ProductLine[[#This Row],[Units]]*ProductLine[[#This Row],[Dollars]]</f>
        <v>24007.286229444071</v>
      </c>
    </row>
    <row r="1328" spans="1:9" x14ac:dyDescent="0.35">
      <c r="A1328">
        <v>1327</v>
      </c>
      <c r="B1328" t="s">
        <v>12</v>
      </c>
      <c r="C1328" s="2">
        <v>38386</v>
      </c>
      <c r="D1328">
        <f>YEAR(ProductLine[[#This Row],[Date]])</f>
        <v>2005</v>
      </c>
      <c r="E1328">
        <f>MONTH(ProductLine[[#This Row],[Date]])</f>
        <v>2</v>
      </c>
      <c r="F1328" t="s">
        <v>27</v>
      </c>
      <c r="G1328">
        <v>6</v>
      </c>
      <c r="H1328" s="3">
        <v>20.30969002976488</v>
      </c>
      <c r="I1328" s="3">
        <f>ProductLine[[#This Row],[Units]]*ProductLine[[#This Row],[Dollars]]</f>
        <v>121.85814017858928</v>
      </c>
    </row>
    <row r="1329" spans="1:9" x14ac:dyDescent="0.35">
      <c r="A1329">
        <v>1328</v>
      </c>
      <c r="B1329" t="s">
        <v>16</v>
      </c>
      <c r="C1329" s="2">
        <v>38529</v>
      </c>
      <c r="D1329">
        <f>YEAR(ProductLine[[#This Row],[Date]])</f>
        <v>2005</v>
      </c>
      <c r="E1329">
        <f>MONTH(ProductLine[[#This Row],[Date]])</f>
        <v>6</v>
      </c>
      <c r="F1329" t="s">
        <v>26</v>
      </c>
      <c r="G1329">
        <v>78</v>
      </c>
      <c r="H1329" s="3">
        <v>235.99588000674026</v>
      </c>
      <c r="I1329" s="3">
        <f>ProductLine[[#This Row],[Units]]*ProductLine[[#This Row],[Dollars]]</f>
        <v>18407.678640525741</v>
      </c>
    </row>
    <row r="1330" spans="1:9" x14ac:dyDescent="0.35">
      <c r="A1330">
        <v>1329</v>
      </c>
      <c r="B1330" t="s">
        <v>17</v>
      </c>
      <c r="C1330" s="2">
        <v>38485</v>
      </c>
      <c r="D1330">
        <f>YEAR(ProductLine[[#This Row],[Date]])</f>
        <v>2005</v>
      </c>
      <c r="E1330">
        <f>MONTH(ProductLine[[#This Row],[Date]])</f>
        <v>5</v>
      </c>
      <c r="F1330" t="s">
        <v>23</v>
      </c>
      <c r="G1330">
        <v>9</v>
      </c>
      <c r="H1330" s="3">
        <v>28.852711267429889</v>
      </c>
      <c r="I1330" s="3">
        <f>ProductLine[[#This Row],[Units]]*ProductLine[[#This Row],[Dollars]]</f>
        <v>259.67440140686898</v>
      </c>
    </row>
    <row r="1331" spans="1:9" x14ac:dyDescent="0.35">
      <c r="A1331">
        <v>1330</v>
      </c>
      <c r="B1331" t="s">
        <v>14</v>
      </c>
      <c r="C1331" s="2">
        <v>39079</v>
      </c>
      <c r="D1331">
        <f>YEAR(ProductLine[[#This Row],[Date]])</f>
        <v>2006</v>
      </c>
      <c r="E1331">
        <f>MONTH(ProductLine[[#This Row],[Date]])</f>
        <v>12</v>
      </c>
      <c r="F1331" t="s">
        <v>27</v>
      </c>
      <c r="G1331">
        <v>9</v>
      </c>
      <c r="H1331" s="3">
        <v>29.718118103947955</v>
      </c>
      <c r="I1331" s="3">
        <f>ProductLine[[#This Row],[Units]]*ProductLine[[#This Row],[Dollars]]</f>
        <v>267.46306293553158</v>
      </c>
    </row>
    <row r="1332" spans="1:9" x14ac:dyDescent="0.35">
      <c r="A1332">
        <v>1331</v>
      </c>
      <c r="B1332" t="s">
        <v>14</v>
      </c>
      <c r="C1332" s="2">
        <v>38826</v>
      </c>
      <c r="D1332">
        <f>YEAR(ProductLine[[#This Row],[Date]])</f>
        <v>2006</v>
      </c>
      <c r="E1332">
        <f>MONTH(ProductLine[[#This Row],[Date]])</f>
        <v>4</v>
      </c>
      <c r="F1332" t="s">
        <v>24</v>
      </c>
      <c r="G1332">
        <v>73</v>
      </c>
      <c r="H1332" s="3">
        <v>221.1834991910803</v>
      </c>
      <c r="I1332" s="3">
        <f>ProductLine[[#This Row],[Units]]*ProductLine[[#This Row],[Dollars]]</f>
        <v>16146.395440948862</v>
      </c>
    </row>
    <row r="1333" spans="1:9" x14ac:dyDescent="0.35">
      <c r="A1333">
        <v>1332</v>
      </c>
      <c r="B1333" t="s">
        <v>9</v>
      </c>
      <c r="C1333" s="2">
        <v>38001</v>
      </c>
      <c r="D1333">
        <f>YEAR(ProductLine[[#This Row],[Date]])</f>
        <v>2004</v>
      </c>
      <c r="E1333">
        <f>MONTH(ProductLine[[#This Row],[Date]])</f>
        <v>1</v>
      </c>
      <c r="F1333" t="s">
        <v>23</v>
      </c>
      <c r="G1333">
        <v>13</v>
      </c>
      <c r="H1333" s="3">
        <v>41.92379193182763</v>
      </c>
      <c r="I1333" s="3">
        <f>ProductLine[[#This Row],[Units]]*ProductLine[[#This Row],[Dollars]]</f>
        <v>545.00929511375921</v>
      </c>
    </row>
    <row r="1334" spans="1:9" x14ac:dyDescent="0.35">
      <c r="A1334">
        <v>1333</v>
      </c>
      <c r="B1334" t="s">
        <v>13</v>
      </c>
      <c r="C1334" s="2">
        <v>38419</v>
      </c>
      <c r="D1334">
        <f>YEAR(ProductLine[[#This Row],[Date]])</f>
        <v>2005</v>
      </c>
      <c r="E1334">
        <f>MONTH(ProductLine[[#This Row],[Date]])</f>
        <v>3</v>
      </c>
      <c r="F1334" t="s">
        <v>26</v>
      </c>
      <c r="G1334">
        <v>14</v>
      </c>
      <c r="H1334" s="3">
        <v>43.998808725631548</v>
      </c>
      <c r="I1334" s="3">
        <f>ProductLine[[#This Row],[Units]]*ProductLine[[#This Row],[Dollars]]</f>
        <v>615.9833221588417</v>
      </c>
    </row>
    <row r="1335" spans="1:9" x14ac:dyDescent="0.35">
      <c r="A1335">
        <v>1334</v>
      </c>
      <c r="B1335" t="s">
        <v>9</v>
      </c>
      <c r="C1335" s="2">
        <v>38496</v>
      </c>
      <c r="D1335">
        <f>YEAR(ProductLine[[#This Row],[Date]])</f>
        <v>2005</v>
      </c>
      <c r="E1335">
        <f>MONTH(ProductLine[[#This Row],[Date]])</f>
        <v>5</v>
      </c>
      <c r="F1335" t="s">
        <v>25</v>
      </c>
      <c r="G1335">
        <v>33</v>
      </c>
      <c r="H1335" s="3">
        <v>100.31195245129152</v>
      </c>
      <c r="I1335" s="3">
        <f>ProductLine[[#This Row],[Units]]*ProductLine[[#This Row],[Dollars]]</f>
        <v>3310.2944308926199</v>
      </c>
    </row>
    <row r="1336" spans="1:9" x14ac:dyDescent="0.35">
      <c r="A1336">
        <v>1335</v>
      </c>
      <c r="B1336" t="s">
        <v>9</v>
      </c>
      <c r="C1336" s="2">
        <v>38078</v>
      </c>
      <c r="D1336">
        <f>YEAR(ProductLine[[#This Row],[Date]])</f>
        <v>2004</v>
      </c>
      <c r="E1336">
        <f>MONTH(ProductLine[[#This Row],[Date]])</f>
        <v>4</v>
      </c>
      <c r="F1336" t="s">
        <v>24</v>
      </c>
      <c r="G1336">
        <v>17</v>
      </c>
      <c r="H1336" s="3">
        <v>53.123119444085049</v>
      </c>
      <c r="I1336" s="3">
        <f>ProductLine[[#This Row],[Units]]*ProductLine[[#This Row],[Dollars]]</f>
        <v>903.09303054944587</v>
      </c>
    </row>
    <row r="1337" spans="1:9" x14ac:dyDescent="0.35">
      <c r="A1337">
        <v>1336</v>
      </c>
      <c r="B1337" t="s">
        <v>10</v>
      </c>
      <c r="C1337" s="2">
        <v>38903</v>
      </c>
      <c r="D1337">
        <f>YEAR(ProductLine[[#This Row],[Date]])</f>
        <v>2006</v>
      </c>
      <c r="E1337">
        <f>MONTH(ProductLine[[#This Row],[Date]])</f>
        <v>7</v>
      </c>
      <c r="F1337" t="s">
        <v>23</v>
      </c>
      <c r="G1337">
        <v>9</v>
      </c>
      <c r="H1337" s="3">
        <v>29.501152192037068</v>
      </c>
      <c r="I1337" s="3">
        <f>ProductLine[[#This Row],[Units]]*ProductLine[[#This Row],[Dollars]]</f>
        <v>265.51036972833361</v>
      </c>
    </row>
    <row r="1338" spans="1:9" x14ac:dyDescent="0.35">
      <c r="A1338">
        <v>1337</v>
      </c>
      <c r="B1338" t="s">
        <v>16</v>
      </c>
      <c r="C1338" s="2">
        <v>38771</v>
      </c>
      <c r="D1338">
        <f>YEAR(ProductLine[[#This Row],[Date]])</f>
        <v>2006</v>
      </c>
      <c r="E1338">
        <f>MONTH(ProductLine[[#This Row],[Date]])</f>
        <v>2</v>
      </c>
      <c r="F1338" t="s">
        <v>27</v>
      </c>
      <c r="G1338">
        <v>15</v>
      </c>
      <c r="H1338" s="3">
        <v>47.311523584864588</v>
      </c>
      <c r="I1338" s="3">
        <f>ProductLine[[#This Row],[Units]]*ProductLine[[#This Row],[Dollars]]</f>
        <v>709.67285377296878</v>
      </c>
    </row>
    <row r="1339" spans="1:9" x14ac:dyDescent="0.35">
      <c r="A1339">
        <v>1338</v>
      </c>
      <c r="B1339" t="s">
        <v>11</v>
      </c>
      <c r="C1339" s="2">
        <v>38969</v>
      </c>
      <c r="D1339">
        <f>YEAR(ProductLine[[#This Row],[Date]])</f>
        <v>2006</v>
      </c>
      <c r="E1339">
        <f>MONTH(ProductLine[[#This Row],[Date]])</f>
        <v>9</v>
      </c>
      <c r="F1339" t="s">
        <v>25</v>
      </c>
      <c r="G1339">
        <v>50</v>
      </c>
      <c r="H1339" s="3">
        <v>152.31019163589909</v>
      </c>
      <c r="I1339" s="3">
        <f>ProductLine[[#This Row],[Units]]*ProductLine[[#This Row],[Dollars]]</f>
        <v>7615.5095817949541</v>
      </c>
    </row>
    <row r="1340" spans="1:9" x14ac:dyDescent="0.35">
      <c r="A1340">
        <v>1339</v>
      </c>
      <c r="B1340" t="s">
        <v>16</v>
      </c>
      <c r="C1340" s="2">
        <v>38298</v>
      </c>
      <c r="D1340">
        <f>YEAR(ProductLine[[#This Row],[Date]])</f>
        <v>2004</v>
      </c>
      <c r="E1340">
        <f>MONTH(ProductLine[[#This Row],[Date]])</f>
        <v>11</v>
      </c>
      <c r="F1340" t="s">
        <v>25</v>
      </c>
      <c r="G1340">
        <v>13</v>
      </c>
      <c r="H1340" s="3">
        <v>40.558759872429341</v>
      </c>
      <c r="I1340" s="3">
        <f>ProductLine[[#This Row],[Units]]*ProductLine[[#This Row],[Dollars]]</f>
        <v>527.2638783415814</v>
      </c>
    </row>
    <row r="1341" spans="1:9" x14ac:dyDescent="0.35">
      <c r="A1341">
        <v>1340</v>
      </c>
      <c r="B1341" t="s">
        <v>10</v>
      </c>
      <c r="C1341" s="2">
        <v>38243</v>
      </c>
      <c r="D1341">
        <f>YEAR(ProductLine[[#This Row],[Date]])</f>
        <v>2004</v>
      </c>
      <c r="E1341">
        <f>MONTH(ProductLine[[#This Row],[Date]])</f>
        <v>9</v>
      </c>
      <c r="F1341" t="s">
        <v>23</v>
      </c>
      <c r="G1341">
        <v>24</v>
      </c>
      <c r="H1341" s="3">
        <v>74.731137309505712</v>
      </c>
      <c r="I1341" s="3">
        <f>ProductLine[[#This Row],[Units]]*ProductLine[[#This Row],[Dollars]]</f>
        <v>1793.5472954281372</v>
      </c>
    </row>
    <row r="1342" spans="1:9" x14ac:dyDescent="0.35">
      <c r="A1342">
        <v>1341</v>
      </c>
      <c r="B1342" t="s">
        <v>9</v>
      </c>
      <c r="C1342" s="2">
        <v>38716</v>
      </c>
      <c r="D1342">
        <f>YEAR(ProductLine[[#This Row],[Date]])</f>
        <v>2005</v>
      </c>
      <c r="E1342">
        <f>MONTH(ProductLine[[#This Row],[Date]])</f>
        <v>12</v>
      </c>
      <c r="F1342" t="s">
        <v>23</v>
      </c>
      <c r="G1342">
        <v>77</v>
      </c>
      <c r="H1342" s="3">
        <v>232.89275600525073</v>
      </c>
      <c r="I1342" s="3">
        <f>ProductLine[[#This Row],[Units]]*ProductLine[[#This Row],[Dollars]]</f>
        <v>17932.742212404308</v>
      </c>
    </row>
    <row r="1343" spans="1:9" x14ac:dyDescent="0.35">
      <c r="A1343">
        <v>1342</v>
      </c>
      <c r="B1343" t="s">
        <v>10</v>
      </c>
      <c r="C1343" s="2">
        <v>38848</v>
      </c>
      <c r="D1343">
        <f>YEAR(ProductLine[[#This Row],[Date]])</f>
        <v>2006</v>
      </c>
      <c r="E1343">
        <f>MONTH(ProductLine[[#This Row],[Date]])</f>
        <v>5</v>
      </c>
      <c r="F1343" t="s">
        <v>27</v>
      </c>
      <c r="G1343">
        <v>21</v>
      </c>
      <c r="H1343" s="3">
        <v>65.214588826582613</v>
      </c>
      <c r="I1343" s="3">
        <f>ProductLine[[#This Row],[Units]]*ProductLine[[#This Row],[Dollars]]</f>
        <v>1369.5063653582349</v>
      </c>
    </row>
    <row r="1344" spans="1:9" x14ac:dyDescent="0.35">
      <c r="A1344">
        <v>1343</v>
      </c>
      <c r="B1344" t="s">
        <v>17</v>
      </c>
      <c r="C1344" s="2">
        <v>38540</v>
      </c>
      <c r="D1344">
        <f>YEAR(ProductLine[[#This Row],[Date]])</f>
        <v>2005</v>
      </c>
      <c r="E1344">
        <f>MONTH(ProductLine[[#This Row],[Date]])</f>
        <v>7</v>
      </c>
      <c r="F1344" t="s">
        <v>27</v>
      </c>
      <c r="G1344">
        <v>80</v>
      </c>
      <c r="H1344" s="3">
        <v>240.76226876969253</v>
      </c>
      <c r="I1344" s="3">
        <f>ProductLine[[#This Row],[Units]]*ProductLine[[#This Row],[Dollars]]</f>
        <v>19260.981501575403</v>
      </c>
    </row>
    <row r="1345" spans="1:9" x14ac:dyDescent="0.35">
      <c r="A1345">
        <v>1344</v>
      </c>
      <c r="B1345" t="s">
        <v>10</v>
      </c>
      <c r="C1345" s="2">
        <v>38298</v>
      </c>
      <c r="D1345">
        <f>YEAR(ProductLine[[#This Row],[Date]])</f>
        <v>2004</v>
      </c>
      <c r="E1345">
        <f>MONTH(ProductLine[[#This Row],[Date]])</f>
        <v>11</v>
      </c>
      <c r="F1345" t="s">
        <v>27</v>
      </c>
      <c r="G1345">
        <v>56</v>
      </c>
      <c r="H1345" s="3">
        <v>170.50901918623575</v>
      </c>
      <c r="I1345" s="3">
        <f>ProductLine[[#This Row],[Units]]*ProductLine[[#This Row],[Dollars]]</f>
        <v>9548.5050744292021</v>
      </c>
    </row>
    <row r="1346" spans="1:9" x14ac:dyDescent="0.35">
      <c r="A1346">
        <v>1345</v>
      </c>
      <c r="B1346" t="s">
        <v>14</v>
      </c>
      <c r="C1346" s="2">
        <v>38452</v>
      </c>
      <c r="D1346">
        <f>YEAR(ProductLine[[#This Row],[Date]])</f>
        <v>2005</v>
      </c>
      <c r="E1346">
        <f>MONTH(ProductLine[[#This Row],[Date]])</f>
        <v>4</v>
      </c>
      <c r="F1346" t="s">
        <v>24</v>
      </c>
      <c r="G1346">
        <v>28</v>
      </c>
      <c r="H1346" s="3">
        <v>86.002698245868487</v>
      </c>
      <c r="I1346" s="3">
        <f>ProductLine[[#This Row],[Units]]*ProductLine[[#This Row],[Dollars]]</f>
        <v>2408.0755508843176</v>
      </c>
    </row>
    <row r="1347" spans="1:9" x14ac:dyDescent="0.35">
      <c r="A1347">
        <v>1346</v>
      </c>
      <c r="B1347" t="s">
        <v>16</v>
      </c>
      <c r="C1347" s="2">
        <v>38683</v>
      </c>
      <c r="D1347">
        <f>YEAR(ProductLine[[#This Row],[Date]])</f>
        <v>2005</v>
      </c>
      <c r="E1347">
        <f>MONTH(ProductLine[[#This Row],[Date]])</f>
        <v>11</v>
      </c>
      <c r="F1347" t="s">
        <v>25</v>
      </c>
      <c r="G1347">
        <v>50</v>
      </c>
      <c r="H1347" s="3">
        <v>151.56909496566121</v>
      </c>
      <c r="I1347" s="3">
        <f>ProductLine[[#This Row],[Units]]*ProductLine[[#This Row],[Dollars]]</f>
        <v>7578.4547482830603</v>
      </c>
    </row>
    <row r="1348" spans="1:9" x14ac:dyDescent="0.35">
      <c r="A1348">
        <v>1347</v>
      </c>
      <c r="B1348" t="s">
        <v>14</v>
      </c>
      <c r="C1348" s="2">
        <v>38452</v>
      </c>
      <c r="D1348">
        <f>YEAR(ProductLine[[#This Row],[Date]])</f>
        <v>2005</v>
      </c>
      <c r="E1348">
        <f>MONTH(ProductLine[[#This Row],[Date]])</f>
        <v>4</v>
      </c>
      <c r="F1348" t="s">
        <v>26</v>
      </c>
      <c r="G1348">
        <v>23</v>
      </c>
      <c r="H1348" s="3">
        <v>71.405303018372905</v>
      </c>
      <c r="I1348" s="3">
        <f>ProductLine[[#This Row],[Units]]*ProductLine[[#This Row],[Dollars]]</f>
        <v>1642.3219694225768</v>
      </c>
    </row>
    <row r="1349" spans="1:9" x14ac:dyDescent="0.35">
      <c r="A1349">
        <v>1348</v>
      </c>
      <c r="B1349" t="s">
        <v>16</v>
      </c>
      <c r="C1349" s="2">
        <v>38144</v>
      </c>
      <c r="D1349">
        <f>YEAR(ProductLine[[#This Row],[Date]])</f>
        <v>2004</v>
      </c>
      <c r="E1349">
        <f>MONTH(ProductLine[[#This Row],[Date]])</f>
        <v>6</v>
      </c>
      <c r="F1349" t="s">
        <v>23</v>
      </c>
      <c r="G1349">
        <v>77</v>
      </c>
      <c r="H1349" s="3">
        <v>232.85049996581651</v>
      </c>
      <c r="I1349" s="3">
        <f>ProductLine[[#This Row],[Units]]*ProductLine[[#This Row],[Dollars]]</f>
        <v>17929.488497367871</v>
      </c>
    </row>
    <row r="1350" spans="1:9" x14ac:dyDescent="0.35">
      <c r="A1350">
        <v>1349</v>
      </c>
      <c r="B1350" t="s">
        <v>9</v>
      </c>
      <c r="C1350" s="2">
        <v>38034</v>
      </c>
      <c r="D1350">
        <f>YEAR(ProductLine[[#This Row],[Date]])</f>
        <v>2004</v>
      </c>
      <c r="E1350">
        <f>MONTH(ProductLine[[#This Row],[Date]])</f>
        <v>2</v>
      </c>
      <c r="F1350" t="s">
        <v>27</v>
      </c>
      <c r="G1350">
        <v>56</v>
      </c>
      <c r="H1350" s="3">
        <v>170.26270071526079</v>
      </c>
      <c r="I1350" s="3">
        <f>ProductLine[[#This Row],[Units]]*ProductLine[[#This Row],[Dollars]]</f>
        <v>9534.7112400546048</v>
      </c>
    </row>
    <row r="1351" spans="1:9" x14ac:dyDescent="0.35">
      <c r="A1351">
        <v>1350</v>
      </c>
      <c r="B1351" t="s">
        <v>17</v>
      </c>
      <c r="C1351" s="2">
        <v>38826</v>
      </c>
      <c r="D1351">
        <f>YEAR(ProductLine[[#This Row],[Date]])</f>
        <v>2006</v>
      </c>
      <c r="E1351">
        <f>MONTH(ProductLine[[#This Row],[Date]])</f>
        <v>4</v>
      </c>
      <c r="F1351" t="s">
        <v>23</v>
      </c>
      <c r="G1351">
        <v>26</v>
      </c>
      <c r="H1351" s="3">
        <v>79.7600955182413</v>
      </c>
      <c r="I1351" s="3">
        <f>ProductLine[[#This Row],[Units]]*ProductLine[[#This Row],[Dollars]]</f>
        <v>2073.7624834742737</v>
      </c>
    </row>
    <row r="1352" spans="1:9" x14ac:dyDescent="0.35">
      <c r="A1352">
        <v>1351</v>
      </c>
      <c r="B1352" t="s">
        <v>11</v>
      </c>
      <c r="C1352" s="2">
        <v>38034</v>
      </c>
      <c r="D1352">
        <f>YEAR(ProductLine[[#This Row],[Date]])</f>
        <v>2004</v>
      </c>
      <c r="E1352">
        <f>MONTH(ProductLine[[#This Row],[Date]])</f>
        <v>2</v>
      </c>
      <c r="F1352" t="s">
        <v>24</v>
      </c>
      <c r="G1352">
        <v>18</v>
      </c>
      <c r="H1352" s="3">
        <v>55.931706737093798</v>
      </c>
      <c r="I1352" s="3">
        <f>ProductLine[[#This Row],[Units]]*ProductLine[[#This Row],[Dollars]]</f>
        <v>1006.7707212676884</v>
      </c>
    </row>
    <row r="1353" spans="1:9" x14ac:dyDescent="0.35">
      <c r="A1353">
        <v>1352</v>
      </c>
      <c r="B1353" t="s">
        <v>14</v>
      </c>
      <c r="C1353" s="2">
        <v>38034</v>
      </c>
      <c r="D1353">
        <f>YEAR(ProductLine[[#This Row],[Date]])</f>
        <v>2004</v>
      </c>
      <c r="E1353">
        <f>MONTH(ProductLine[[#This Row],[Date]])</f>
        <v>2</v>
      </c>
      <c r="F1353" t="s">
        <v>23</v>
      </c>
      <c r="G1353">
        <v>40</v>
      </c>
      <c r="H1353" s="3">
        <v>121.10292526674064</v>
      </c>
      <c r="I1353" s="3">
        <f>ProductLine[[#This Row],[Units]]*ProductLine[[#This Row],[Dollars]]</f>
        <v>4844.1170106696254</v>
      </c>
    </row>
    <row r="1354" spans="1:9" x14ac:dyDescent="0.35">
      <c r="A1354">
        <v>1353</v>
      </c>
      <c r="B1354" t="s">
        <v>10</v>
      </c>
      <c r="C1354" s="2">
        <v>38034</v>
      </c>
      <c r="D1354">
        <f>YEAR(ProductLine[[#This Row],[Date]])</f>
        <v>2004</v>
      </c>
      <c r="E1354">
        <f>MONTH(ProductLine[[#This Row],[Date]])</f>
        <v>2</v>
      </c>
      <c r="F1354" t="s">
        <v>27</v>
      </c>
      <c r="G1354">
        <v>75</v>
      </c>
      <c r="H1354" s="3">
        <v>227.06641475515934</v>
      </c>
      <c r="I1354" s="3">
        <f>ProductLine[[#This Row],[Units]]*ProductLine[[#This Row],[Dollars]]</f>
        <v>17029.981106636951</v>
      </c>
    </row>
    <row r="1355" spans="1:9" x14ac:dyDescent="0.35">
      <c r="A1355">
        <v>1354</v>
      </c>
      <c r="B1355" t="s">
        <v>13</v>
      </c>
      <c r="C1355" s="2">
        <v>38408</v>
      </c>
      <c r="D1355">
        <f>YEAR(ProductLine[[#This Row],[Date]])</f>
        <v>2005</v>
      </c>
      <c r="E1355">
        <f>MONTH(ProductLine[[#This Row],[Date]])</f>
        <v>2</v>
      </c>
      <c r="F1355" t="s">
        <v>25</v>
      </c>
      <c r="G1355">
        <v>61</v>
      </c>
      <c r="H1355" s="3">
        <v>184.75393471553485</v>
      </c>
      <c r="I1355" s="3">
        <f>ProductLine[[#This Row],[Units]]*ProductLine[[#This Row],[Dollars]]</f>
        <v>11269.990017647626</v>
      </c>
    </row>
    <row r="1356" spans="1:9" x14ac:dyDescent="0.35">
      <c r="A1356">
        <v>1355</v>
      </c>
      <c r="B1356" t="s">
        <v>11</v>
      </c>
      <c r="C1356" s="2">
        <v>38342</v>
      </c>
      <c r="D1356">
        <f>YEAR(ProductLine[[#This Row],[Date]])</f>
        <v>2004</v>
      </c>
      <c r="E1356">
        <f>MONTH(ProductLine[[#This Row],[Date]])</f>
        <v>12</v>
      </c>
      <c r="F1356" t="s">
        <v>25</v>
      </c>
      <c r="G1356">
        <v>35</v>
      </c>
      <c r="H1356" s="3">
        <v>106.73579162164692</v>
      </c>
      <c r="I1356" s="3">
        <f>ProductLine[[#This Row],[Units]]*ProductLine[[#This Row],[Dollars]]</f>
        <v>3735.7527067576425</v>
      </c>
    </row>
    <row r="1357" spans="1:9" x14ac:dyDescent="0.35">
      <c r="A1357">
        <v>1356</v>
      </c>
      <c r="B1357" t="s">
        <v>17</v>
      </c>
      <c r="C1357" s="2">
        <v>38562</v>
      </c>
      <c r="D1357">
        <f>YEAR(ProductLine[[#This Row],[Date]])</f>
        <v>2005</v>
      </c>
      <c r="E1357">
        <f>MONTH(ProductLine[[#This Row],[Date]])</f>
        <v>7</v>
      </c>
      <c r="F1357" t="s">
        <v>24</v>
      </c>
      <c r="G1357">
        <v>42</v>
      </c>
      <c r="H1357" s="3">
        <v>127.74297314827389</v>
      </c>
      <c r="I1357" s="3">
        <f>ProductLine[[#This Row],[Units]]*ProductLine[[#This Row],[Dollars]]</f>
        <v>5365.2048722275031</v>
      </c>
    </row>
    <row r="1358" spans="1:9" x14ac:dyDescent="0.35">
      <c r="A1358">
        <v>1357</v>
      </c>
      <c r="B1358" t="s">
        <v>10</v>
      </c>
      <c r="C1358" s="2">
        <v>38309</v>
      </c>
      <c r="D1358">
        <f>YEAR(ProductLine[[#This Row],[Date]])</f>
        <v>2004</v>
      </c>
      <c r="E1358">
        <f>MONTH(ProductLine[[#This Row],[Date]])</f>
        <v>11</v>
      </c>
      <c r="F1358" t="s">
        <v>26</v>
      </c>
      <c r="G1358">
        <v>47</v>
      </c>
      <c r="H1358" s="3">
        <v>142.58640939942609</v>
      </c>
      <c r="I1358" s="3">
        <f>ProductLine[[#This Row],[Units]]*ProductLine[[#This Row],[Dollars]]</f>
        <v>6701.5612417730263</v>
      </c>
    </row>
    <row r="1359" spans="1:9" x14ac:dyDescent="0.35">
      <c r="A1359">
        <v>1358</v>
      </c>
      <c r="B1359" t="s">
        <v>11</v>
      </c>
      <c r="C1359" s="2">
        <v>38276</v>
      </c>
      <c r="D1359">
        <f>YEAR(ProductLine[[#This Row],[Date]])</f>
        <v>2004</v>
      </c>
      <c r="E1359">
        <f>MONTH(ProductLine[[#This Row],[Date]])</f>
        <v>10</v>
      </c>
      <c r="F1359" t="s">
        <v>27</v>
      </c>
      <c r="G1359">
        <v>74</v>
      </c>
      <c r="H1359" s="3">
        <v>225.01925553650543</v>
      </c>
      <c r="I1359" s="3">
        <f>ProductLine[[#This Row],[Units]]*ProductLine[[#This Row],[Dollars]]</f>
        <v>16651.4249097014</v>
      </c>
    </row>
    <row r="1360" spans="1:9" x14ac:dyDescent="0.35">
      <c r="A1360">
        <v>1359</v>
      </c>
      <c r="B1360" t="s">
        <v>11</v>
      </c>
      <c r="C1360" s="2">
        <v>38496</v>
      </c>
      <c r="D1360">
        <f>YEAR(ProductLine[[#This Row],[Date]])</f>
        <v>2005</v>
      </c>
      <c r="E1360">
        <f>MONTH(ProductLine[[#This Row],[Date]])</f>
        <v>5</v>
      </c>
      <c r="F1360" t="s">
        <v>27</v>
      </c>
      <c r="G1360">
        <v>55</v>
      </c>
      <c r="H1360" s="3">
        <v>166.25169597348713</v>
      </c>
      <c r="I1360" s="3">
        <f>ProductLine[[#This Row],[Units]]*ProductLine[[#This Row],[Dollars]]</f>
        <v>9143.8432785417917</v>
      </c>
    </row>
    <row r="1361" spans="1:9" x14ac:dyDescent="0.35">
      <c r="A1361">
        <v>1360</v>
      </c>
      <c r="B1361" t="s">
        <v>12</v>
      </c>
      <c r="C1361" s="2">
        <v>38617</v>
      </c>
      <c r="D1361">
        <f>YEAR(ProductLine[[#This Row],[Date]])</f>
        <v>2005</v>
      </c>
      <c r="E1361">
        <f>MONTH(ProductLine[[#This Row],[Date]])</f>
        <v>9</v>
      </c>
      <c r="F1361" t="s">
        <v>23</v>
      </c>
      <c r="G1361">
        <v>87</v>
      </c>
      <c r="H1361" s="3">
        <v>263.11074857106775</v>
      </c>
      <c r="I1361" s="3">
        <f>ProductLine[[#This Row],[Units]]*ProductLine[[#This Row],[Dollars]]</f>
        <v>22890.635125682893</v>
      </c>
    </row>
    <row r="1362" spans="1:9" x14ac:dyDescent="0.35">
      <c r="A1362">
        <v>1361</v>
      </c>
      <c r="B1362" t="s">
        <v>11</v>
      </c>
      <c r="C1362" s="2">
        <v>38166</v>
      </c>
      <c r="D1362">
        <f>YEAR(ProductLine[[#This Row],[Date]])</f>
        <v>2004</v>
      </c>
      <c r="E1362">
        <f>MONTH(ProductLine[[#This Row],[Date]])</f>
        <v>6</v>
      </c>
      <c r="F1362" t="s">
        <v>24</v>
      </c>
      <c r="G1362">
        <v>75</v>
      </c>
      <c r="H1362" s="3">
        <v>227.32916430473495</v>
      </c>
      <c r="I1362" s="3">
        <f>ProductLine[[#This Row],[Units]]*ProductLine[[#This Row],[Dollars]]</f>
        <v>17049.687322855119</v>
      </c>
    </row>
    <row r="1363" spans="1:9" x14ac:dyDescent="0.35">
      <c r="A1363">
        <v>1362</v>
      </c>
      <c r="B1363" t="s">
        <v>15</v>
      </c>
      <c r="C1363" s="2">
        <v>38881</v>
      </c>
      <c r="D1363">
        <f>YEAR(ProductLine[[#This Row],[Date]])</f>
        <v>2006</v>
      </c>
      <c r="E1363">
        <f>MONTH(ProductLine[[#This Row],[Date]])</f>
        <v>6</v>
      </c>
      <c r="F1363" t="s">
        <v>24</v>
      </c>
      <c r="G1363">
        <v>91</v>
      </c>
      <c r="H1363" s="3">
        <v>274.60744776638205</v>
      </c>
      <c r="I1363" s="3">
        <f>ProductLine[[#This Row],[Units]]*ProductLine[[#This Row],[Dollars]]</f>
        <v>24989.277746740765</v>
      </c>
    </row>
    <row r="1364" spans="1:9" x14ac:dyDescent="0.35">
      <c r="A1364">
        <v>1363</v>
      </c>
      <c r="B1364" t="s">
        <v>11</v>
      </c>
      <c r="C1364" s="2">
        <v>38705</v>
      </c>
      <c r="D1364">
        <f>YEAR(ProductLine[[#This Row],[Date]])</f>
        <v>2005</v>
      </c>
      <c r="E1364">
        <f>MONTH(ProductLine[[#This Row],[Date]])</f>
        <v>12</v>
      </c>
      <c r="F1364" t="s">
        <v>23</v>
      </c>
      <c r="G1364">
        <v>79</v>
      </c>
      <c r="H1364" s="3">
        <v>238.20578213903983</v>
      </c>
      <c r="I1364" s="3">
        <f>ProductLine[[#This Row],[Units]]*ProductLine[[#This Row],[Dollars]]</f>
        <v>18818.256788984145</v>
      </c>
    </row>
    <row r="1365" spans="1:9" x14ac:dyDescent="0.35">
      <c r="A1365">
        <v>1364</v>
      </c>
      <c r="B1365" t="s">
        <v>17</v>
      </c>
      <c r="C1365" s="2">
        <v>38155</v>
      </c>
      <c r="D1365">
        <f>YEAR(ProductLine[[#This Row],[Date]])</f>
        <v>2004</v>
      </c>
      <c r="E1365">
        <f>MONTH(ProductLine[[#This Row],[Date]])</f>
        <v>6</v>
      </c>
      <c r="F1365" t="s">
        <v>27</v>
      </c>
      <c r="G1365">
        <v>31</v>
      </c>
      <c r="H1365" s="3">
        <v>94.915314626942674</v>
      </c>
      <c r="I1365" s="3">
        <f>ProductLine[[#This Row],[Units]]*ProductLine[[#This Row],[Dollars]]</f>
        <v>2942.3747534352228</v>
      </c>
    </row>
    <row r="1366" spans="1:9" x14ac:dyDescent="0.35">
      <c r="A1366">
        <v>1365</v>
      </c>
      <c r="B1366" t="s">
        <v>10</v>
      </c>
      <c r="C1366" s="2">
        <v>38265</v>
      </c>
      <c r="D1366">
        <f>YEAR(ProductLine[[#This Row],[Date]])</f>
        <v>2004</v>
      </c>
      <c r="E1366">
        <f>MONTH(ProductLine[[#This Row],[Date]])</f>
        <v>10</v>
      </c>
      <c r="F1366" t="s">
        <v>26</v>
      </c>
      <c r="G1366">
        <v>36</v>
      </c>
      <c r="H1366" s="3">
        <v>109.8683994875889</v>
      </c>
      <c r="I1366" s="3">
        <f>ProductLine[[#This Row],[Units]]*ProductLine[[#This Row],[Dollars]]</f>
        <v>3955.2623815532006</v>
      </c>
    </row>
    <row r="1367" spans="1:9" x14ac:dyDescent="0.35">
      <c r="A1367">
        <v>1366</v>
      </c>
      <c r="B1367" t="s">
        <v>16</v>
      </c>
      <c r="C1367" s="2">
        <v>38166</v>
      </c>
      <c r="D1367">
        <f>YEAR(ProductLine[[#This Row],[Date]])</f>
        <v>2004</v>
      </c>
      <c r="E1367">
        <f>MONTH(ProductLine[[#This Row],[Date]])</f>
        <v>6</v>
      </c>
      <c r="F1367" t="s">
        <v>27</v>
      </c>
      <c r="G1367">
        <v>80</v>
      </c>
      <c r="H1367" s="3">
        <v>242.06313932235889</v>
      </c>
      <c r="I1367" s="3">
        <f>ProductLine[[#This Row],[Units]]*ProductLine[[#This Row],[Dollars]]</f>
        <v>19365.051145788711</v>
      </c>
    </row>
    <row r="1368" spans="1:9" x14ac:dyDescent="0.35">
      <c r="A1368">
        <v>1367</v>
      </c>
      <c r="B1368" t="s">
        <v>9</v>
      </c>
      <c r="C1368" s="2">
        <v>38793</v>
      </c>
      <c r="D1368">
        <f>YEAR(ProductLine[[#This Row],[Date]])</f>
        <v>2006</v>
      </c>
      <c r="E1368">
        <f>MONTH(ProductLine[[#This Row],[Date]])</f>
        <v>3</v>
      </c>
      <c r="F1368" t="s">
        <v>23</v>
      </c>
      <c r="G1368">
        <v>32</v>
      </c>
      <c r="H1368" s="3">
        <v>98.105863423861408</v>
      </c>
      <c r="I1368" s="3">
        <f>ProductLine[[#This Row],[Units]]*ProductLine[[#This Row],[Dollars]]</f>
        <v>3139.387629563565</v>
      </c>
    </row>
    <row r="1369" spans="1:9" x14ac:dyDescent="0.35">
      <c r="A1369">
        <v>1368</v>
      </c>
      <c r="B1369" t="s">
        <v>12</v>
      </c>
      <c r="C1369" s="2">
        <v>38166</v>
      </c>
      <c r="D1369">
        <f>YEAR(ProductLine[[#This Row],[Date]])</f>
        <v>2004</v>
      </c>
      <c r="E1369">
        <f>MONTH(ProductLine[[#This Row],[Date]])</f>
        <v>6</v>
      </c>
      <c r="F1369" t="s">
        <v>25</v>
      </c>
      <c r="G1369">
        <v>29</v>
      </c>
      <c r="H1369" s="3">
        <v>89.172802878693929</v>
      </c>
      <c r="I1369" s="3">
        <f>ProductLine[[#This Row],[Units]]*ProductLine[[#This Row],[Dollars]]</f>
        <v>2586.0112834821239</v>
      </c>
    </row>
    <row r="1370" spans="1:9" x14ac:dyDescent="0.35">
      <c r="A1370">
        <v>1369</v>
      </c>
      <c r="B1370" t="s">
        <v>10</v>
      </c>
      <c r="C1370" s="2">
        <v>38485</v>
      </c>
      <c r="D1370">
        <f>YEAR(ProductLine[[#This Row],[Date]])</f>
        <v>2005</v>
      </c>
      <c r="E1370">
        <f>MONTH(ProductLine[[#This Row],[Date]])</f>
        <v>5</v>
      </c>
      <c r="F1370" t="s">
        <v>24</v>
      </c>
      <c r="G1370">
        <v>64</v>
      </c>
      <c r="H1370" s="3">
        <v>193.51676296767636</v>
      </c>
      <c r="I1370" s="3">
        <f>ProductLine[[#This Row],[Units]]*ProductLine[[#This Row],[Dollars]]</f>
        <v>12385.072829931287</v>
      </c>
    </row>
    <row r="1371" spans="1:9" x14ac:dyDescent="0.35">
      <c r="A1371">
        <v>1370</v>
      </c>
      <c r="B1371" t="s">
        <v>14</v>
      </c>
      <c r="C1371" s="2">
        <v>38056</v>
      </c>
      <c r="D1371">
        <f>YEAR(ProductLine[[#This Row],[Date]])</f>
        <v>2004</v>
      </c>
      <c r="E1371">
        <f>MONTH(ProductLine[[#This Row],[Date]])</f>
        <v>3</v>
      </c>
      <c r="F1371" t="s">
        <v>23</v>
      </c>
      <c r="G1371">
        <v>27</v>
      </c>
      <c r="H1371" s="3">
        <v>83.668497347720773</v>
      </c>
      <c r="I1371" s="3">
        <f>ProductLine[[#This Row],[Units]]*ProductLine[[#This Row],[Dollars]]</f>
        <v>2259.0494283884609</v>
      </c>
    </row>
    <row r="1372" spans="1:9" x14ac:dyDescent="0.35">
      <c r="A1372">
        <v>1371</v>
      </c>
      <c r="B1372" t="s">
        <v>17</v>
      </c>
      <c r="C1372" s="2">
        <v>38254</v>
      </c>
      <c r="D1372">
        <f>YEAR(ProductLine[[#This Row],[Date]])</f>
        <v>2004</v>
      </c>
      <c r="E1372">
        <f>MONTH(ProductLine[[#This Row],[Date]])</f>
        <v>9</v>
      </c>
      <c r="F1372" t="s">
        <v>23</v>
      </c>
      <c r="G1372">
        <v>36</v>
      </c>
      <c r="H1372" s="3">
        <v>109.80928591136637</v>
      </c>
      <c r="I1372" s="3">
        <f>ProductLine[[#This Row],[Units]]*ProductLine[[#This Row],[Dollars]]</f>
        <v>3953.1342928091894</v>
      </c>
    </row>
    <row r="1373" spans="1:9" x14ac:dyDescent="0.35">
      <c r="A1373">
        <v>1372</v>
      </c>
      <c r="B1373" t="s">
        <v>9</v>
      </c>
      <c r="C1373" s="2">
        <v>39057</v>
      </c>
      <c r="D1373">
        <f>YEAR(ProductLine[[#This Row],[Date]])</f>
        <v>2006</v>
      </c>
      <c r="E1373">
        <f>MONTH(ProductLine[[#This Row],[Date]])</f>
        <v>12</v>
      </c>
      <c r="F1373" t="s">
        <v>27</v>
      </c>
      <c r="G1373">
        <v>36</v>
      </c>
      <c r="H1373" s="3">
        <v>109.45657773500436</v>
      </c>
      <c r="I1373" s="3">
        <f>ProductLine[[#This Row],[Units]]*ProductLine[[#This Row],[Dollars]]</f>
        <v>3940.4367984601568</v>
      </c>
    </row>
    <row r="1374" spans="1:9" x14ac:dyDescent="0.35">
      <c r="A1374">
        <v>1373</v>
      </c>
      <c r="B1374" t="s">
        <v>16</v>
      </c>
      <c r="C1374" s="2">
        <v>39013</v>
      </c>
      <c r="D1374">
        <f>YEAR(ProductLine[[#This Row],[Date]])</f>
        <v>2006</v>
      </c>
      <c r="E1374">
        <f>MONTH(ProductLine[[#This Row],[Date]])</f>
        <v>10</v>
      </c>
      <c r="F1374" t="s">
        <v>27</v>
      </c>
      <c r="G1374">
        <v>32</v>
      </c>
      <c r="H1374" s="3">
        <v>97.343399963409695</v>
      </c>
      <c r="I1374" s="3">
        <f>ProductLine[[#This Row],[Units]]*ProductLine[[#This Row],[Dollars]]</f>
        <v>3114.9887988291102</v>
      </c>
    </row>
    <row r="1375" spans="1:9" x14ac:dyDescent="0.35">
      <c r="A1375">
        <v>1374</v>
      </c>
      <c r="B1375" t="s">
        <v>14</v>
      </c>
      <c r="C1375" s="2">
        <v>38958</v>
      </c>
      <c r="D1375">
        <f>YEAR(ProductLine[[#This Row],[Date]])</f>
        <v>2006</v>
      </c>
      <c r="E1375">
        <f>MONTH(ProductLine[[#This Row],[Date]])</f>
        <v>8</v>
      </c>
      <c r="F1375" t="s">
        <v>27</v>
      </c>
      <c r="G1375">
        <v>9</v>
      </c>
      <c r="H1375" s="3">
        <v>29.173034652532433</v>
      </c>
      <c r="I1375" s="3">
        <f>ProductLine[[#This Row],[Units]]*ProductLine[[#This Row],[Dollars]]</f>
        <v>262.5573118727919</v>
      </c>
    </row>
    <row r="1376" spans="1:9" x14ac:dyDescent="0.35">
      <c r="A1376">
        <v>1375</v>
      </c>
      <c r="B1376" t="s">
        <v>12</v>
      </c>
      <c r="C1376" s="2">
        <v>38859</v>
      </c>
      <c r="D1376">
        <f>YEAR(ProductLine[[#This Row],[Date]])</f>
        <v>2006</v>
      </c>
      <c r="E1376">
        <f>MONTH(ProductLine[[#This Row],[Date]])</f>
        <v>5</v>
      </c>
      <c r="F1376" t="s">
        <v>24</v>
      </c>
      <c r="G1376">
        <v>78</v>
      </c>
      <c r="H1376" s="3">
        <v>235.63570757894917</v>
      </c>
      <c r="I1376" s="3">
        <f>ProductLine[[#This Row],[Units]]*ProductLine[[#This Row],[Dollars]]</f>
        <v>18379.585191158036</v>
      </c>
    </row>
    <row r="1377" spans="1:9" x14ac:dyDescent="0.35">
      <c r="A1377">
        <v>1376</v>
      </c>
      <c r="B1377" t="s">
        <v>12</v>
      </c>
      <c r="C1377" s="2">
        <v>38375</v>
      </c>
      <c r="D1377">
        <f>YEAR(ProductLine[[#This Row],[Date]])</f>
        <v>2005</v>
      </c>
      <c r="E1377">
        <f>MONTH(ProductLine[[#This Row],[Date]])</f>
        <v>1</v>
      </c>
      <c r="F1377" t="s">
        <v>25</v>
      </c>
      <c r="G1377">
        <v>55</v>
      </c>
      <c r="H1377" s="3">
        <v>167.69300314757166</v>
      </c>
      <c r="I1377" s="3">
        <f>ProductLine[[#This Row],[Units]]*ProductLine[[#This Row],[Dollars]]</f>
        <v>9223.1151731164409</v>
      </c>
    </row>
    <row r="1378" spans="1:9" x14ac:dyDescent="0.35">
      <c r="A1378">
        <v>1377</v>
      </c>
      <c r="B1378" t="s">
        <v>10</v>
      </c>
      <c r="C1378" s="2">
        <v>38221</v>
      </c>
      <c r="D1378">
        <f>YEAR(ProductLine[[#This Row],[Date]])</f>
        <v>2004</v>
      </c>
      <c r="E1378">
        <f>MONTH(ProductLine[[#This Row],[Date]])</f>
        <v>8</v>
      </c>
      <c r="F1378" t="s">
        <v>27</v>
      </c>
      <c r="G1378">
        <v>79</v>
      </c>
      <c r="H1378" s="3">
        <v>239.25822655633112</v>
      </c>
      <c r="I1378" s="3">
        <f>ProductLine[[#This Row],[Units]]*ProductLine[[#This Row],[Dollars]]</f>
        <v>18901.399897950159</v>
      </c>
    </row>
    <row r="1379" spans="1:9" x14ac:dyDescent="0.35">
      <c r="A1379">
        <v>1378</v>
      </c>
      <c r="B1379" t="s">
        <v>10</v>
      </c>
      <c r="C1379" s="2">
        <v>37990</v>
      </c>
      <c r="D1379">
        <f>YEAR(ProductLine[[#This Row],[Date]])</f>
        <v>2004</v>
      </c>
      <c r="E1379">
        <f>MONTH(ProductLine[[#This Row],[Date]])</f>
        <v>1</v>
      </c>
      <c r="F1379" t="s">
        <v>26</v>
      </c>
      <c r="G1379">
        <v>9</v>
      </c>
      <c r="H1379" s="3">
        <v>29.36931208514244</v>
      </c>
      <c r="I1379" s="3">
        <f>ProductLine[[#This Row],[Units]]*ProductLine[[#This Row],[Dollars]]</f>
        <v>264.32380876628196</v>
      </c>
    </row>
    <row r="1380" spans="1:9" x14ac:dyDescent="0.35">
      <c r="A1380">
        <v>1379</v>
      </c>
      <c r="B1380" t="s">
        <v>9</v>
      </c>
      <c r="C1380" s="2">
        <v>39068</v>
      </c>
      <c r="D1380">
        <f>YEAR(ProductLine[[#This Row],[Date]])</f>
        <v>2006</v>
      </c>
      <c r="E1380">
        <f>MONTH(ProductLine[[#This Row],[Date]])</f>
        <v>12</v>
      </c>
      <c r="F1380" t="s">
        <v>24</v>
      </c>
      <c r="G1380">
        <v>4</v>
      </c>
      <c r="H1380" s="3">
        <v>14.276329980408619</v>
      </c>
      <c r="I1380" s="3">
        <f>ProductLine[[#This Row],[Units]]*ProductLine[[#This Row],[Dollars]]</f>
        <v>57.105319921634475</v>
      </c>
    </row>
    <row r="1381" spans="1:9" x14ac:dyDescent="0.35">
      <c r="A1381">
        <v>1380</v>
      </c>
      <c r="B1381" t="s">
        <v>10</v>
      </c>
      <c r="C1381" s="2">
        <v>38826</v>
      </c>
      <c r="D1381">
        <f>YEAR(ProductLine[[#This Row],[Date]])</f>
        <v>2006</v>
      </c>
      <c r="E1381">
        <f>MONTH(ProductLine[[#This Row],[Date]])</f>
        <v>4</v>
      </c>
      <c r="F1381" t="s">
        <v>27</v>
      </c>
      <c r="G1381">
        <v>6</v>
      </c>
      <c r="H1381" s="3">
        <v>20.165246376870389</v>
      </c>
      <c r="I1381" s="3">
        <f>ProductLine[[#This Row],[Units]]*ProductLine[[#This Row],[Dollars]]</f>
        <v>120.99147826122234</v>
      </c>
    </row>
    <row r="1382" spans="1:9" x14ac:dyDescent="0.35">
      <c r="A1382">
        <v>1381</v>
      </c>
      <c r="B1382" t="s">
        <v>17</v>
      </c>
      <c r="C1382" s="2">
        <v>38496</v>
      </c>
      <c r="D1382">
        <f>YEAR(ProductLine[[#This Row],[Date]])</f>
        <v>2005</v>
      </c>
      <c r="E1382">
        <f>MONTH(ProductLine[[#This Row],[Date]])</f>
        <v>5</v>
      </c>
      <c r="F1382" t="s">
        <v>26</v>
      </c>
      <c r="G1382">
        <v>18</v>
      </c>
      <c r="H1382" s="3">
        <v>55.91901948813328</v>
      </c>
      <c r="I1382" s="3">
        <f>ProductLine[[#This Row],[Units]]*ProductLine[[#This Row],[Dollars]]</f>
        <v>1006.5423507863991</v>
      </c>
    </row>
    <row r="1383" spans="1:9" x14ac:dyDescent="0.35">
      <c r="A1383">
        <v>1382</v>
      </c>
      <c r="B1383" t="s">
        <v>12</v>
      </c>
      <c r="C1383" s="2">
        <v>38650</v>
      </c>
      <c r="D1383">
        <f>YEAR(ProductLine[[#This Row],[Date]])</f>
        <v>2005</v>
      </c>
      <c r="E1383">
        <f>MONTH(ProductLine[[#This Row],[Date]])</f>
        <v>10</v>
      </c>
      <c r="F1383" t="s">
        <v>26</v>
      </c>
      <c r="G1383">
        <v>14</v>
      </c>
      <c r="H1383" s="3">
        <v>44.491260768813873</v>
      </c>
      <c r="I1383" s="3">
        <f>ProductLine[[#This Row],[Units]]*ProductLine[[#This Row],[Dollars]]</f>
        <v>622.87765076339429</v>
      </c>
    </row>
    <row r="1384" spans="1:9" x14ac:dyDescent="0.35">
      <c r="A1384">
        <v>1383</v>
      </c>
      <c r="B1384" t="s">
        <v>14</v>
      </c>
      <c r="C1384" s="2">
        <v>38947</v>
      </c>
      <c r="D1384">
        <f>YEAR(ProductLine[[#This Row],[Date]])</f>
        <v>2006</v>
      </c>
      <c r="E1384">
        <f>MONTH(ProductLine[[#This Row],[Date]])</f>
        <v>8</v>
      </c>
      <c r="F1384" t="s">
        <v>23</v>
      </c>
      <c r="G1384">
        <v>91</v>
      </c>
      <c r="H1384" s="3">
        <v>275.50447930379551</v>
      </c>
      <c r="I1384" s="3">
        <f>ProductLine[[#This Row],[Units]]*ProductLine[[#This Row],[Dollars]]</f>
        <v>25070.907616645392</v>
      </c>
    </row>
    <row r="1385" spans="1:9" x14ac:dyDescent="0.35">
      <c r="A1385">
        <v>1384</v>
      </c>
      <c r="B1385" t="s">
        <v>12</v>
      </c>
      <c r="C1385" s="2">
        <v>38694</v>
      </c>
      <c r="D1385">
        <f>YEAR(ProductLine[[#This Row],[Date]])</f>
        <v>2005</v>
      </c>
      <c r="E1385">
        <f>MONTH(ProductLine[[#This Row],[Date]])</f>
        <v>12</v>
      </c>
      <c r="F1385" t="s">
        <v>26</v>
      </c>
      <c r="G1385">
        <v>74</v>
      </c>
      <c r="H1385" s="3">
        <v>224.07187760825997</v>
      </c>
      <c r="I1385" s="3">
        <f>ProductLine[[#This Row],[Units]]*ProductLine[[#This Row],[Dollars]]</f>
        <v>16581.318943011236</v>
      </c>
    </row>
    <row r="1386" spans="1:9" x14ac:dyDescent="0.35">
      <c r="A1386">
        <v>1385</v>
      </c>
      <c r="B1386" t="s">
        <v>9</v>
      </c>
      <c r="C1386" s="2">
        <v>38199</v>
      </c>
      <c r="D1386">
        <f>YEAR(ProductLine[[#This Row],[Date]])</f>
        <v>2004</v>
      </c>
      <c r="E1386">
        <f>MONTH(ProductLine[[#This Row],[Date]])</f>
        <v>7</v>
      </c>
      <c r="F1386" t="s">
        <v>23</v>
      </c>
      <c r="G1386">
        <v>47</v>
      </c>
      <c r="H1386" s="3">
        <v>143.8575641603407</v>
      </c>
      <c r="I1386" s="3">
        <f>ProductLine[[#This Row],[Units]]*ProductLine[[#This Row],[Dollars]]</f>
        <v>6761.3055155360125</v>
      </c>
    </row>
    <row r="1387" spans="1:9" x14ac:dyDescent="0.35">
      <c r="A1387">
        <v>1386</v>
      </c>
      <c r="B1387" t="s">
        <v>13</v>
      </c>
      <c r="C1387" s="2">
        <v>39024</v>
      </c>
      <c r="D1387">
        <f>YEAR(ProductLine[[#This Row],[Date]])</f>
        <v>2006</v>
      </c>
      <c r="E1387">
        <f>MONTH(ProductLine[[#This Row],[Date]])</f>
        <v>11</v>
      </c>
      <c r="F1387" t="s">
        <v>24</v>
      </c>
      <c r="G1387">
        <v>28</v>
      </c>
      <c r="H1387" s="3">
        <v>86.468289532216389</v>
      </c>
      <c r="I1387" s="3">
        <f>ProductLine[[#This Row],[Units]]*ProductLine[[#This Row],[Dollars]]</f>
        <v>2421.1121069020587</v>
      </c>
    </row>
    <row r="1388" spans="1:9" x14ac:dyDescent="0.35">
      <c r="A1388">
        <v>1387</v>
      </c>
      <c r="B1388" t="s">
        <v>13</v>
      </c>
      <c r="C1388" s="2">
        <v>38980</v>
      </c>
      <c r="D1388">
        <f>YEAR(ProductLine[[#This Row],[Date]])</f>
        <v>2006</v>
      </c>
      <c r="E1388">
        <f>MONTH(ProductLine[[#This Row],[Date]])</f>
        <v>9</v>
      </c>
      <c r="F1388" t="s">
        <v>26</v>
      </c>
      <c r="G1388">
        <v>21</v>
      </c>
      <c r="H1388" s="3">
        <v>64.784207766072953</v>
      </c>
      <c r="I1388" s="3">
        <f>ProductLine[[#This Row],[Units]]*ProductLine[[#This Row],[Dollars]]</f>
        <v>1360.468363087532</v>
      </c>
    </row>
    <row r="1389" spans="1:9" x14ac:dyDescent="0.35">
      <c r="A1389">
        <v>1388</v>
      </c>
      <c r="B1389" t="s">
        <v>14</v>
      </c>
      <c r="C1389" s="2">
        <v>38441</v>
      </c>
      <c r="D1389">
        <f>YEAR(ProductLine[[#This Row],[Date]])</f>
        <v>2005</v>
      </c>
      <c r="E1389">
        <f>MONTH(ProductLine[[#This Row],[Date]])</f>
        <v>3</v>
      </c>
      <c r="F1389" t="s">
        <v>24</v>
      </c>
      <c r="G1389">
        <v>52</v>
      </c>
      <c r="H1389" s="3">
        <v>157.69424365413772</v>
      </c>
      <c r="I1389" s="3">
        <f>ProductLine[[#This Row],[Units]]*ProductLine[[#This Row],[Dollars]]</f>
        <v>8200.1006700151611</v>
      </c>
    </row>
    <row r="1390" spans="1:9" x14ac:dyDescent="0.35">
      <c r="A1390">
        <v>1389</v>
      </c>
      <c r="B1390" t="s">
        <v>12</v>
      </c>
      <c r="C1390" s="2">
        <v>38166</v>
      </c>
      <c r="D1390">
        <f>YEAR(ProductLine[[#This Row],[Date]])</f>
        <v>2004</v>
      </c>
      <c r="E1390">
        <f>MONTH(ProductLine[[#This Row],[Date]])</f>
        <v>6</v>
      </c>
      <c r="F1390" t="s">
        <v>25</v>
      </c>
      <c r="G1390">
        <v>33</v>
      </c>
      <c r="H1390" s="3">
        <v>101.08856134949143</v>
      </c>
      <c r="I1390" s="3">
        <f>ProductLine[[#This Row],[Units]]*ProductLine[[#This Row],[Dollars]]</f>
        <v>3335.9225245332173</v>
      </c>
    </row>
    <row r="1391" spans="1:9" x14ac:dyDescent="0.35">
      <c r="A1391">
        <v>1390</v>
      </c>
      <c r="B1391" t="s">
        <v>13</v>
      </c>
      <c r="C1391" s="2">
        <v>38023</v>
      </c>
      <c r="D1391">
        <f>YEAR(ProductLine[[#This Row],[Date]])</f>
        <v>2004</v>
      </c>
      <c r="E1391">
        <f>MONTH(ProductLine[[#This Row],[Date]])</f>
        <v>2</v>
      </c>
      <c r="F1391" t="s">
        <v>27</v>
      </c>
      <c r="G1391">
        <v>-7</v>
      </c>
      <c r="H1391" s="3">
        <v>-19.437923961194201</v>
      </c>
      <c r="I1391" s="3">
        <f>ProductLine[[#This Row],[Units]]*ProductLine[[#This Row],[Dollars]]</f>
        <v>136.06546772835941</v>
      </c>
    </row>
    <row r="1392" spans="1:9" x14ac:dyDescent="0.35">
      <c r="A1392">
        <v>1391</v>
      </c>
      <c r="B1392" t="s">
        <v>14</v>
      </c>
      <c r="C1392" s="2">
        <v>38078</v>
      </c>
      <c r="D1392">
        <f>YEAR(ProductLine[[#This Row],[Date]])</f>
        <v>2004</v>
      </c>
      <c r="E1392">
        <f>MONTH(ProductLine[[#This Row],[Date]])</f>
        <v>4</v>
      </c>
      <c r="F1392" t="s">
        <v>23</v>
      </c>
      <c r="G1392">
        <v>12</v>
      </c>
      <c r="H1392" s="3">
        <v>38.2380881700618</v>
      </c>
      <c r="I1392" s="3">
        <f>ProductLine[[#This Row],[Units]]*ProductLine[[#This Row],[Dollars]]</f>
        <v>458.85705804074161</v>
      </c>
    </row>
    <row r="1393" spans="1:9" x14ac:dyDescent="0.35">
      <c r="A1393">
        <v>1392</v>
      </c>
      <c r="B1393" t="s">
        <v>12</v>
      </c>
      <c r="C1393" s="2">
        <v>38045</v>
      </c>
      <c r="D1393">
        <f>YEAR(ProductLine[[#This Row],[Date]])</f>
        <v>2004</v>
      </c>
      <c r="E1393">
        <f>MONTH(ProductLine[[#This Row],[Date]])</f>
        <v>2</v>
      </c>
      <c r="F1393" t="s">
        <v>26</v>
      </c>
      <c r="G1393">
        <v>1</v>
      </c>
      <c r="H1393" s="3">
        <v>4.5049727728030682</v>
      </c>
      <c r="I1393" s="3">
        <f>ProductLine[[#This Row],[Units]]*ProductLine[[#This Row],[Dollars]]</f>
        <v>4.5049727728030682</v>
      </c>
    </row>
    <row r="1394" spans="1:9" x14ac:dyDescent="0.35">
      <c r="A1394">
        <v>1393</v>
      </c>
      <c r="B1394" t="s">
        <v>9</v>
      </c>
      <c r="C1394" s="2">
        <v>38012</v>
      </c>
      <c r="D1394">
        <f>YEAR(ProductLine[[#This Row],[Date]])</f>
        <v>2004</v>
      </c>
      <c r="E1394">
        <f>MONTH(ProductLine[[#This Row],[Date]])</f>
        <v>1</v>
      </c>
      <c r="F1394" t="s">
        <v>27</v>
      </c>
      <c r="G1394">
        <v>56</v>
      </c>
      <c r="H1394" s="3">
        <v>169.75770217815491</v>
      </c>
      <c r="I1394" s="3">
        <f>ProductLine[[#This Row],[Units]]*ProductLine[[#This Row],[Dollars]]</f>
        <v>9506.4313219766755</v>
      </c>
    </row>
    <row r="1395" spans="1:9" x14ac:dyDescent="0.35">
      <c r="A1395">
        <v>1394</v>
      </c>
      <c r="B1395" t="s">
        <v>14</v>
      </c>
      <c r="C1395" s="2">
        <v>38529</v>
      </c>
      <c r="D1395">
        <f>YEAR(ProductLine[[#This Row],[Date]])</f>
        <v>2005</v>
      </c>
      <c r="E1395">
        <f>MONTH(ProductLine[[#This Row],[Date]])</f>
        <v>6</v>
      </c>
      <c r="F1395" t="s">
        <v>24</v>
      </c>
      <c r="G1395">
        <v>34</v>
      </c>
      <c r="H1395" s="3">
        <v>104.47706646910852</v>
      </c>
      <c r="I1395" s="3">
        <f>ProductLine[[#This Row],[Units]]*ProductLine[[#This Row],[Dollars]]</f>
        <v>3552.2202599496895</v>
      </c>
    </row>
    <row r="1396" spans="1:9" x14ac:dyDescent="0.35">
      <c r="A1396">
        <v>1395</v>
      </c>
      <c r="B1396" t="s">
        <v>17</v>
      </c>
      <c r="C1396" s="2">
        <v>38408</v>
      </c>
      <c r="D1396">
        <f>YEAR(ProductLine[[#This Row],[Date]])</f>
        <v>2005</v>
      </c>
      <c r="E1396">
        <f>MONTH(ProductLine[[#This Row],[Date]])</f>
        <v>2</v>
      </c>
      <c r="F1396" t="s">
        <v>24</v>
      </c>
      <c r="G1396">
        <v>83</v>
      </c>
      <c r="H1396" s="3">
        <v>250.38974883045833</v>
      </c>
      <c r="I1396" s="3">
        <f>ProductLine[[#This Row],[Units]]*ProductLine[[#This Row],[Dollars]]</f>
        <v>20782.34915292804</v>
      </c>
    </row>
    <row r="1397" spans="1:9" x14ac:dyDescent="0.35">
      <c r="A1397">
        <v>1396</v>
      </c>
      <c r="B1397" t="s">
        <v>13</v>
      </c>
      <c r="C1397" s="2">
        <v>38430</v>
      </c>
      <c r="D1397">
        <f>YEAR(ProductLine[[#This Row],[Date]])</f>
        <v>2005</v>
      </c>
      <c r="E1397">
        <f>MONTH(ProductLine[[#This Row],[Date]])</f>
        <v>3</v>
      </c>
      <c r="F1397" t="s">
        <v>26</v>
      </c>
      <c r="G1397">
        <v>-4</v>
      </c>
      <c r="H1397" s="3">
        <v>-10.155624843092607</v>
      </c>
      <c r="I1397" s="3">
        <f>ProductLine[[#This Row],[Units]]*ProductLine[[#This Row],[Dollars]]</f>
        <v>40.622499372370427</v>
      </c>
    </row>
    <row r="1398" spans="1:9" x14ac:dyDescent="0.35">
      <c r="A1398">
        <v>1397</v>
      </c>
      <c r="B1398" t="s">
        <v>14</v>
      </c>
      <c r="C1398" s="2">
        <v>38386</v>
      </c>
      <c r="D1398">
        <f>YEAR(ProductLine[[#This Row],[Date]])</f>
        <v>2005</v>
      </c>
      <c r="E1398">
        <f>MONTH(ProductLine[[#This Row],[Date]])</f>
        <v>2</v>
      </c>
      <c r="F1398" t="s">
        <v>24</v>
      </c>
      <c r="G1398">
        <v>9</v>
      </c>
      <c r="H1398" s="3">
        <v>29.703664221901175</v>
      </c>
      <c r="I1398" s="3">
        <f>ProductLine[[#This Row],[Units]]*ProductLine[[#This Row],[Dollars]]</f>
        <v>267.33297799711056</v>
      </c>
    </row>
    <row r="1399" spans="1:9" x14ac:dyDescent="0.35">
      <c r="A1399">
        <v>1398</v>
      </c>
      <c r="B1399" t="s">
        <v>10</v>
      </c>
      <c r="C1399" s="2">
        <v>38122</v>
      </c>
      <c r="D1399">
        <f>YEAR(ProductLine[[#This Row],[Date]])</f>
        <v>2004</v>
      </c>
      <c r="E1399">
        <f>MONTH(ProductLine[[#This Row],[Date]])</f>
        <v>5</v>
      </c>
      <c r="F1399" t="s">
        <v>26</v>
      </c>
      <c r="G1399">
        <v>64</v>
      </c>
      <c r="H1399" s="3">
        <v>193.99078398349641</v>
      </c>
      <c r="I1399" s="3">
        <f>ProductLine[[#This Row],[Units]]*ProductLine[[#This Row],[Dollars]]</f>
        <v>12415.41017494377</v>
      </c>
    </row>
    <row r="1400" spans="1:9" x14ac:dyDescent="0.35">
      <c r="A1400">
        <v>1399</v>
      </c>
      <c r="B1400" t="s">
        <v>17</v>
      </c>
      <c r="C1400" s="2">
        <v>38122</v>
      </c>
      <c r="D1400">
        <f>YEAR(ProductLine[[#This Row],[Date]])</f>
        <v>2004</v>
      </c>
      <c r="E1400">
        <f>MONTH(ProductLine[[#This Row],[Date]])</f>
        <v>5</v>
      </c>
      <c r="F1400" t="s">
        <v>23</v>
      </c>
      <c r="G1400">
        <v>13</v>
      </c>
      <c r="H1400" s="3">
        <v>40.947424828889474</v>
      </c>
      <c r="I1400" s="3">
        <f>ProductLine[[#This Row],[Units]]*ProductLine[[#This Row],[Dollars]]</f>
        <v>532.31652277556316</v>
      </c>
    </row>
    <row r="1401" spans="1:9" x14ac:dyDescent="0.35">
      <c r="A1401">
        <v>1400</v>
      </c>
      <c r="B1401" t="s">
        <v>12</v>
      </c>
      <c r="C1401" s="2">
        <v>38100</v>
      </c>
      <c r="D1401">
        <f>YEAR(ProductLine[[#This Row],[Date]])</f>
        <v>2004</v>
      </c>
      <c r="E1401">
        <f>MONTH(ProductLine[[#This Row],[Date]])</f>
        <v>4</v>
      </c>
      <c r="F1401" t="s">
        <v>23</v>
      </c>
      <c r="G1401">
        <v>9</v>
      </c>
      <c r="H1401" s="3">
        <v>28.683682099948655</v>
      </c>
      <c r="I1401" s="3">
        <f>ProductLine[[#This Row],[Units]]*ProductLine[[#This Row],[Dollars]]</f>
        <v>258.15313889953791</v>
      </c>
    </row>
    <row r="1402" spans="1:9" x14ac:dyDescent="0.35">
      <c r="A1402">
        <v>1401</v>
      </c>
      <c r="B1402" t="s">
        <v>15</v>
      </c>
      <c r="C1402" s="2">
        <v>38980</v>
      </c>
      <c r="D1402">
        <f>YEAR(ProductLine[[#This Row],[Date]])</f>
        <v>2006</v>
      </c>
      <c r="E1402">
        <f>MONTH(ProductLine[[#This Row],[Date]])</f>
        <v>9</v>
      </c>
      <c r="F1402" t="s">
        <v>23</v>
      </c>
      <c r="G1402">
        <v>6</v>
      </c>
      <c r="H1402" s="3">
        <v>19.546281446888681</v>
      </c>
      <c r="I1402" s="3">
        <f>ProductLine[[#This Row],[Units]]*ProductLine[[#This Row],[Dollars]]</f>
        <v>117.27768868133208</v>
      </c>
    </row>
    <row r="1403" spans="1:9" x14ac:dyDescent="0.35">
      <c r="A1403">
        <v>1402</v>
      </c>
      <c r="B1403" t="s">
        <v>11</v>
      </c>
      <c r="C1403" s="2">
        <v>38859</v>
      </c>
      <c r="D1403">
        <f>YEAR(ProductLine[[#This Row],[Date]])</f>
        <v>2006</v>
      </c>
      <c r="E1403">
        <f>MONTH(ProductLine[[#This Row],[Date]])</f>
        <v>5</v>
      </c>
      <c r="F1403" t="s">
        <v>24</v>
      </c>
      <c r="G1403">
        <v>55</v>
      </c>
      <c r="H1403" s="3">
        <v>167.0921059108752</v>
      </c>
      <c r="I1403" s="3">
        <f>ProductLine[[#This Row],[Units]]*ProductLine[[#This Row],[Dollars]]</f>
        <v>9190.065825098136</v>
      </c>
    </row>
    <row r="1404" spans="1:9" x14ac:dyDescent="0.35">
      <c r="A1404">
        <v>1403</v>
      </c>
      <c r="B1404" t="s">
        <v>16</v>
      </c>
      <c r="C1404" s="2">
        <v>38870</v>
      </c>
      <c r="D1404">
        <f>YEAR(ProductLine[[#This Row],[Date]])</f>
        <v>2006</v>
      </c>
      <c r="E1404">
        <f>MONTH(ProductLine[[#This Row],[Date]])</f>
        <v>6</v>
      </c>
      <c r="F1404" t="s">
        <v>25</v>
      </c>
      <c r="G1404">
        <v>64</v>
      </c>
      <c r="H1404" s="3">
        <v>194.83490930195086</v>
      </c>
      <c r="I1404" s="3">
        <f>ProductLine[[#This Row],[Units]]*ProductLine[[#This Row],[Dollars]]</f>
        <v>12469.434195324855</v>
      </c>
    </row>
    <row r="1405" spans="1:9" x14ac:dyDescent="0.35">
      <c r="A1405">
        <v>1404</v>
      </c>
      <c r="B1405" t="s">
        <v>9</v>
      </c>
      <c r="C1405" s="2">
        <v>38518</v>
      </c>
      <c r="D1405">
        <f>YEAR(ProductLine[[#This Row],[Date]])</f>
        <v>2005</v>
      </c>
      <c r="E1405">
        <f>MONTH(ProductLine[[#This Row],[Date]])</f>
        <v>6</v>
      </c>
      <c r="F1405" t="s">
        <v>23</v>
      </c>
      <c r="G1405">
        <v>27</v>
      </c>
      <c r="H1405" s="3">
        <v>82.654748876430304</v>
      </c>
      <c r="I1405" s="3">
        <f>ProductLine[[#This Row],[Units]]*ProductLine[[#This Row],[Dollars]]</f>
        <v>2231.6782196636182</v>
      </c>
    </row>
    <row r="1406" spans="1:9" x14ac:dyDescent="0.35">
      <c r="A1406">
        <v>1405</v>
      </c>
      <c r="B1406" t="s">
        <v>16</v>
      </c>
      <c r="C1406" s="2">
        <v>38276</v>
      </c>
      <c r="D1406">
        <f>YEAR(ProductLine[[#This Row],[Date]])</f>
        <v>2004</v>
      </c>
      <c r="E1406">
        <f>MONTH(ProductLine[[#This Row],[Date]])</f>
        <v>10</v>
      </c>
      <c r="F1406" t="s">
        <v>23</v>
      </c>
      <c r="G1406">
        <v>4</v>
      </c>
      <c r="H1406" s="3">
        <v>14.358367110038117</v>
      </c>
      <c r="I1406" s="3">
        <f>ProductLine[[#This Row],[Units]]*ProductLine[[#This Row],[Dollars]]</f>
        <v>57.433468440152467</v>
      </c>
    </row>
    <row r="1407" spans="1:9" x14ac:dyDescent="0.35">
      <c r="A1407">
        <v>1406</v>
      </c>
      <c r="B1407" t="s">
        <v>17</v>
      </c>
      <c r="C1407" s="2">
        <v>38661</v>
      </c>
      <c r="D1407">
        <f>YEAR(ProductLine[[#This Row],[Date]])</f>
        <v>2005</v>
      </c>
      <c r="E1407">
        <f>MONTH(ProductLine[[#This Row],[Date]])</f>
        <v>11</v>
      </c>
      <c r="F1407" t="s">
        <v>23</v>
      </c>
      <c r="G1407">
        <v>17</v>
      </c>
      <c r="H1407" s="3">
        <v>53.450226015325889</v>
      </c>
      <c r="I1407" s="3">
        <f>ProductLine[[#This Row],[Units]]*ProductLine[[#This Row],[Dollars]]</f>
        <v>908.65384226054016</v>
      </c>
    </row>
    <row r="1408" spans="1:9" x14ac:dyDescent="0.35">
      <c r="A1408">
        <v>1407</v>
      </c>
      <c r="B1408" t="s">
        <v>11</v>
      </c>
      <c r="C1408" s="2">
        <v>38947</v>
      </c>
      <c r="D1408">
        <f>YEAR(ProductLine[[#This Row],[Date]])</f>
        <v>2006</v>
      </c>
      <c r="E1408">
        <f>MONTH(ProductLine[[#This Row],[Date]])</f>
        <v>8</v>
      </c>
      <c r="F1408" t="s">
        <v>23</v>
      </c>
      <c r="G1408">
        <v>24</v>
      </c>
      <c r="H1408" s="3">
        <v>74.287417398883491</v>
      </c>
      <c r="I1408" s="3">
        <f>ProductLine[[#This Row],[Units]]*ProductLine[[#This Row],[Dollars]]</f>
        <v>1782.8980175732038</v>
      </c>
    </row>
    <row r="1409" spans="1:9" x14ac:dyDescent="0.35">
      <c r="A1409">
        <v>1408</v>
      </c>
      <c r="B1409" t="s">
        <v>15</v>
      </c>
      <c r="C1409" s="2">
        <v>38694</v>
      </c>
      <c r="D1409">
        <f>YEAR(ProductLine[[#This Row],[Date]])</f>
        <v>2005</v>
      </c>
      <c r="E1409">
        <f>MONTH(ProductLine[[#This Row],[Date]])</f>
        <v>12</v>
      </c>
      <c r="F1409" t="s">
        <v>23</v>
      </c>
      <c r="G1409">
        <v>87</v>
      </c>
      <c r="H1409" s="3">
        <v>262.8805946680697</v>
      </c>
      <c r="I1409" s="3">
        <f>ProductLine[[#This Row],[Units]]*ProductLine[[#This Row],[Dollars]]</f>
        <v>22870.611736122064</v>
      </c>
    </row>
    <row r="1410" spans="1:9" x14ac:dyDescent="0.35">
      <c r="A1410">
        <v>1409</v>
      </c>
      <c r="B1410" t="s">
        <v>12</v>
      </c>
      <c r="C1410" s="2">
        <v>38309</v>
      </c>
      <c r="D1410">
        <f>YEAR(ProductLine[[#This Row],[Date]])</f>
        <v>2004</v>
      </c>
      <c r="E1410">
        <f>MONTH(ProductLine[[#This Row],[Date]])</f>
        <v>11</v>
      </c>
      <c r="F1410" t="s">
        <v>27</v>
      </c>
      <c r="G1410">
        <v>10</v>
      </c>
      <c r="H1410" s="3">
        <v>31.759227784320323</v>
      </c>
      <c r="I1410" s="3">
        <f>ProductLine[[#This Row],[Units]]*ProductLine[[#This Row],[Dollars]]</f>
        <v>317.59227784320325</v>
      </c>
    </row>
    <row r="1411" spans="1:9" x14ac:dyDescent="0.35">
      <c r="A1411">
        <v>1410</v>
      </c>
      <c r="B1411" t="s">
        <v>14</v>
      </c>
      <c r="C1411" s="2">
        <v>38276</v>
      </c>
      <c r="D1411">
        <f>YEAR(ProductLine[[#This Row],[Date]])</f>
        <v>2004</v>
      </c>
      <c r="E1411">
        <f>MONTH(ProductLine[[#This Row],[Date]])</f>
        <v>10</v>
      </c>
      <c r="F1411" t="s">
        <v>27</v>
      </c>
      <c r="G1411">
        <v>0</v>
      </c>
      <c r="H1411" s="3">
        <v>1.8311339455634805</v>
      </c>
      <c r="I1411" s="3">
        <f>ProductLine[[#This Row],[Units]]*ProductLine[[#This Row],[Dollars]]</f>
        <v>0</v>
      </c>
    </row>
    <row r="1412" spans="1:9" x14ac:dyDescent="0.35">
      <c r="A1412">
        <v>1411</v>
      </c>
      <c r="B1412" t="s">
        <v>14</v>
      </c>
      <c r="C1412" s="2">
        <v>38375</v>
      </c>
      <c r="D1412">
        <f>YEAR(ProductLine[[#This Row],[Date]])</f>
        <v>2005</v>
      </c>
      <c r="E1412">
        <f>MONTH(ProductLine[[#This Row],[Date]])</f>
        <v>1</v>
      </c>
      <c r="F1412" t="s">
        <v>23</v>
      </c>
      <c r="G1412">
        <v>73</v>
      </c>
      <c r="H1412" s="3">
        <v>221.0091797499388</v>
      </c>
      <c r="I1412" s="3">
        <f>ProductLine[[#This Row],[Units]]*ProductLine[[#This Row],[Dollars]]</f>
        <v>16133.670121745532</v>
      </c>
    </row>
    <row r="1413" spans="1:9" x14ac:dyDescent="0.35">
      <c r="A1413">
        <v>1412</v>
      </c>
      <c r="B1413" t="s">
        <v>10</v>
      </c>
      <c r="C1413" s="2">
        <v>38067</v>
      </c>
      <c r="D1413">
        <f>YEAR(ProductLine[[#This Row],[Date]])</f>
        <v>2004</v>
      </c>
      <c r="E1413">
        <f>MONTH(ProductLine[[#This Row],[Date]])</f>
        <v>3</v>
      </c>
      <c r="F1413" t="s">
        <v>23</v>
      </c>
      <c r="G1413">
        <v>66</v>
      </c>
      <c r="H1413" s="3">
        <v>200.12198246327054</v>
      </c>
      <c r="I1413" s="3">
        <f>ProductLine[[#This Row],[Units]]*ProductLine[[#This Row],[Dollars]]</f>
        <v>13208.050842575856</v>
      </c>
    </row>
    <row r="1414" spans="1:9" x14ac:dyDescent="0.35">
      <c r="A1414">
        <v>1413</v>
      </c>
      <c r="B1414" t="s">
        <v>9</v>
      </c>
      <c r="C1414" s="2">
        <v>38947</v>
      </c>
      <c r="D1414">
        <f>YEAR(ProductLine[[#This Row],[Date]])</f>
        <v>2006</v>
      </c>
      <c r="E1414">
        <f>MONTH(ProductLine[[#This Row],[Date]])</f>
        <v>8</v>
      </c>
      <c r="F1414" t="s">
        <v>23</v>
      </c>
      <c r="G1414">
        <v>70</v>
      </c>
      <c r="H1414" s="3">
        <v>211.75333647455852</v>
      </c>
      <c r="I1414" s="3">
        <f>ProductLine[[#This Row],[Units]]*ProductLine[[#This Row],[Dollars]]</f>
        <v>14822.733553219097</v>
      </c>
    </row>
    <row r="1415" spans="1:9" x14ac:dyDescent="0.35">
      <c r="A1415">
        <v>1414</v>
      </c>
      <c r="B1415" t="s">
        <v>12</v>
      </c>
      <c r="C1415" s="2">
        <v>38331</v>
      </c>
      <c r="D1415">
        <f>YEAR(ProductLine[[#This Row],[Date]])</f>
        <v>2004</v>
      </c>
      <c r="E1415">
        <f>MONTH(ProductLine[[#This Row],[Date]])</f>
        <v>12</v>
      </c>
      <c r="F1415" t="s">
        <v>24</v>
      </c>
      <c r="G1415">
        <v>78</v>
      </c>
      <c r="H1415" s="3">
        <v>235.90596023209099</v>
      </c>
      <c r="I1415" s="3">
        <f>ProductLine[[#This Row],[Units]]*ProductLine[[#This Row],[Dollars]]</f>
        <v>18400.664898103096</v>
      </c>
    </row>
    <row r="1416" spans="1:9" x14ac:dyDescent="0.35">
      <c r="A1416">
        <v>1415</v>
      </c>
      <c r="B1416" t="s">
        <v>16</v>
      </c>
      <c r="C1416" s="2">
        <v>38661</v>
      </c>
      <c r="D1416">
        <f>YEAR(ProductLine[[#This Row],[Date]])</f>
        <v>2005</v>
      </c>
      <c r="E1416">
        <f>MONTH(ProductLine[[#This Row],[Date]])</f>
        <v>11</v>
      </c>
      <c r="F1416" t="s">
        <v>27</v>
      </c>
      <c r="G1416">
        <v>22</v>
      </c>
      <c r="H1416" s="3">
        <v>66.965065793990505</v>
      </c>
      <c r="I1416" s="3">
        <f>ProductLine[[#This Row],[Units]]*ProductLine[[#This Row],[Dollars]]</f>
        <v>1473.231447467791</v>
      </c>
    </row>
    <row r="1417" spans="1:9" x14ac:dyDescent="0.35">
      <c r="A1417">
        <v>1416</v>
      </c>
      <c r="B1417" t="s">
        <v>15</v>
      </c>
      <c r="C1417" s="2">
        <v>38265</v>
      </c>
      <c r="D1417">
        <f>YEAR(ProductLine[[#This Row],[Date]])</f>
        <v>2004</v>
      </c>
      <c r="E1417">
        <f>MONTH(ProductLine[[#This Row],[Date]])</f>
        <v>10</v>
      </c>
      <c r="F1417" t="s">
        <v>27</v>
      </c>
      <c r="G1417">
        <v>21</v>
      </c>
      <c r="H1417" s="3">
        <v>65.217462708012192</v>
      </c>
      <c r="I1417" s="3">
        <f>ProductLine[[#This Row],[Units]]*ProductLine[[#This Row],[Dollars]]</f>
        <v>1369.566716868256</v>
      </c>
    </row>
    <row r="1418" spans="1:9" x14ac:dyDescent="0.35">
      <c r="A1418">
        <v>1417</v>
      </c>
      <c r="B1418" t="s">
        <v>9</v>
      </c>
      <c r="C1418" s="2">
        <v>38276</v>
      </c>
      <c r="D1418">
        <f>YEAR(ProductLine[[#This Row],[Date]])</f>
        <v>2004</v>
      </c>
      <c r="E1418">
        <f>MONTH(ProductLine[[#This Row],[Date]])</f>
        <v>10</v>
      </c>
      <c r="F1418" t="s">
        <v>23</v>
      </c>
      <c r="G1418">
        <v>8</v>
      </c>
      <c r="H1418" s="3">
        <v>25.824952877477109</v>
      </c>
      <c r="I1418" s="3">
        <f>ProductLine[[#This Row],[Units]]*ProductLine[[#This Row],[Dollars]]</f>
        <v>206.59962301981687</v>
      </c>
    </row>
    <row r="1419" spans="1:9" x14ac:dyDescent="0.35">
      <c r="A1419">
        <v>1418</v>
      </c>
      <c r="B1419" t="s">
        <v>11</v>
      </c>
      <c r="C1419" s="2">
        <v>38034</v>
      </c>
      <c r="D1419">
        <f>YEAR(ProductLine[[#This Row],[Date]])</f>
        <v>2004</v>
      </c>
      <c r="E1419">
        <f>MONTH(ProductLine[[#This Row],[Date]])</f>
        <v>2</v>
      </c>
      <c r="F1419" t="s">
        <v>27</v>
      </c>
      <c r="G1419">
        <v>62</v>
      </c>
      <c r="H1419" s="3">
        <v>187.80112722106594</v>
      </c>
      <c r="I1419" s="3">
        <f>ProductLine[[#This Row],[Units]]*ProductLine[[#This Row],[Dollars]]</f>
        <v>11643.669887706088</v>
      </c>
    </row>
    <row r="1420" spans="1:9" x14ac:dyDescent="0.35">
      <c r="A1420">
        <v>1419</v>
      </c>
      <c r="B1420" t="s">
        <v>13</v>
      </c>
      <c r="C1420" s="2">
        <v>38848</v>
      </c>
      <c r="D1420">
        <f>YEAR(ProductLine[[#This Row],[Date]])</f>
        <v>2006</v>
      </c>
      <c r="E1420">
        <f>MONTH(ProductLine[[#This Row],[Date]])</f>
        <v>5</v>
      </c>
      <c r="F1420" t="s">
        <v>27</v>
      </c>
      <c r="G1420">
        <v>81</v>
      </c>
      <c r="H1420" s="3">
        <v>244.50746507200088</v>
      </c>
      <c r="I1420" s="3">
        <f>ProductLine[[#This Row],[Units]]*ProductLine[[#This Row],[Dollars]]</f>
        <v>19805.104670832072</v>
      </c>
    </row>
    <row r="1421" spans="1:9" x14ac:dyDescent="0.35">
      <c r="A1421">
        <v>1420</v>
      </c>
      <c r="B1421" t="s">
        <v>12</v>
      </c>
      <c r="C1421" s="2">
        <v>38342</v>
      </c>
      <c r="D1421">
        <f>YEAR(ProductLine[[#This Row],[Date]])</f>
        <v>2004</v>
      </c>
      <c r="E1421">
        <f>MONTH(ProductLine[[#This Row],[Date]])</f>
        <v>12</v>
      </c>
      <c r="F1421" t="s">
        <v>23</v>
      </c>
      <c r="G1421">
        <v>72</v>
      </c>
      <c r="H1421" s="3">
        <v>218.17265722795503</v>
      </c>
      <c r="I1421" s="3">
        <f>ProductLine[[#This Row],[Units]]*ProductLine[[#This Row],[Dollars]]</f>
        <v>15708.431320412761</v>
      </c>
    </row>
    <row r="1422" spans="1:9" x14ac:dyDescent="0.35">
      <c r="A1422">
        <v>1421</v>
      </c>
      <c r="B1422" t="s">
        <v>10</v>
      </c>
      <c r="C1422" s="2">
        <v>39002</v>
      </c>
      <c r="D1422">
        <f>YEAR(ProductLine[[#This Row],[Date]])</f>
        <v>2006</v>
      </c>
      <c r="E1422">
        <f>MONTH(ProductLine[[#This Row],[Date]])</f>
        <v>10</v>
      </c>
      <c r="F1422" t="s">
        <v>26</v>
      </c>
      <c r="G1422">
        <v>13</v>
      </c>
      <c r="H1422" s="3">
        <v>41.356875522020459</v>
      </c>
      <c r="I1422" s="3">
        <f>ProductLine[[#This Row],[Units]]*ProductLine[[#This Row],[Dollars]]</f>
        <v>537.63938178626597</v>
      </c>
    </row>
    <row r="1423" spans="1:9" x14ac:dyDescent="0.35">
      <c r="A1423">
        <v>1422</v>
      </c>
      <c r="B1423" t="s">
        <v>9</v>
      </c>
      <c r="C1423" s="2">
        <v>38595</v>
      </c>
      <c r="D1423">
        <f>YEAR(ProductLine[[#This Row],[Date]])</f>
        <v>2005</v>
      </c>
      <c r="E1423">
        <f>MONTH(ProductLine[[#This Row],[Date]])</f>
        <v>8</v>
      </c>
      <c r="F1423" t="s">
        <v>25</v>
      </c>
      <c r="G1423">
        <v>52</v>
      </c>
      <c r="H1423" s="3">
        <v>157.41873231061072</v>
      </c>
      <c r="I1423" s="3">
        <f>ProductLine[[#This Row],[Units]]*ProductLine[[#This Row],[Dollars]]</f>
        <v>8185.7740801517575</v>
      </c>
    </row>
    <row r="1424" spans="1:9" x14ac:dyDescent="0.35">
      <c r="A1424">
        <v>1423</v>
      </c>
      <c r="B1424" t="s">
        <v>14</v>
      </c>
      <c r="C1424" s="2">
        <v>38738</v>
      </c>
      <c r="D1424">
        <f>YEAR(ProductLine[[#This Row],[Date]])</f>
        <v>2006</v>
      </c>
      <c r="E1424">
        <f>MONTH(ProductLine[[#This Row],[Date]])</f>
        <v>1</v>
      </c>
      <c r="F1424" t="s">
        <v>26</v>
      </c>
      <c r="G1424">
        <v>49</v>
      </c>
      <c r="H1424" s="3">
        <v>148.10679359164916</v>
      </c>
      <c r="I1424" s="3">
        <f>ProductLine[[#This Row],[Units]]*ProductLine[[#This Row],[Dollars]]</f>
        <v>7257.2328859908093</v>
      </c>
    </row>
    <row r="1425" spans="1:9" x14ac:dyDescent="0.35">
      <c r="A1425">
        <v>1424</v>
      </c>
      <c r="B1425" t="s">
        <v>14</v>
      </c>
      <c r="C1425" s="2">
        <v>38067</v>
      </c>
      <c r="D1425">
        <f>YEAR(ProductLine[[#This Row],[Date]])</f>
        <v>2004</v>
      </c>
      <c r="E1425">
        <f>MONTH(ProductLine[[#This Row],[Date]])</f>
        <v>3</v>
      </c>
      <c r="F1425" t="s">
        <v>26</v>
      </c>
      <c r="G1425">
        <v>82</v>
      </c>
      <c r="H1425" s="3">
        <v>248.16915651860171</v>
      </c>
      <c r="I1425" s="3">
        <f>ProductLine[[#This Row],[Units]]*ProductLine[[#This Row],[Dollars]]</f>
        <v>20349.87083452534</v>
      </c>
    </row>
    <row r="1426" spans="1:9" x14ac:dyDescent="0.35">
      <c r="A1426">
        <v>1425</v>
      </c>
      <c r="B1426" t="s">
        <v>12</v>
      </c>
      <c r="C1426" s="2">
        <v>38815</v>
      </c>
      <c r="D1426">
        <f>YEAR(ProductLine[[#This Row],[Date]])</f>
        <v>2006</v>
      </c>
      <c r="E1426">
        <f>MONTH(ProductLine[[#This Row],[Date]])</f>
        <v>4</v>
      </c>
      <c r="F1426" t="s">
        <v>26</v>
      </c>
      <c r="G1426">
        <v>5</v>
      </c>
      <c r="H1426" s="3">
        <v>17.015690322490627</v>
      </c>
      <c r="I1426" s="3">
        <f>ProductLine[[#This Row],[Units]]*ProductLine[[#This Row],[Dollars]]</f>
        <v>85.078451612453136</v>
      </c>
    </row>
    <row r="1427" spans="1:9" x14ac:dyDescent="0.35">
      <c r="A1427">
        <v>1426</v>
      </c>
      <c r="B1427" t="s">
        <v>16</v>
      </c>
      <c r="C1427" s="2">
        <v>38617</v>
      </c>
      <c r="D1427">
        <f>YEAR(ProductLine[[#This Row],[Date]])</f>
        <v>2005</v>
      </c>
      <c r="E1427">
        <f>MONTH(ProductLine[[#This Row],[Date]])</f>
        <v>9</v>
      </c>
      <c r="F1427" t="s">
        <v>27</v>
      </c>
      <c r="G1427">
        <v>45</v>
      </c>
      <c r="H1427" s="3">
        <v>136.85630897508477</v>
      </c>
      <c r="I1427" s="3">
        <f>ProductLine[[#This Row],[Units]]*ProductLine[[#This Row],[Dollars]]</f>
        <v>6158.5339038788152</v>
      </c>
    </row>
    <row r="1428" spans="1:9" x14ac:dyDescent="0.35">
      <c r="A1428">
        <v>1427</v>
      </c>
      <c r="B1428" t="s">
        <v>15</v>
      </c>
      <c r="C1428" s="2">
        <v>38694</v>
      </c>
      <c r="D1428">
        <f>YEAR(ProductLine[[#This Row],[Date]])</f>
        <v>2005</v>
      </c>
      <c r="E1428">
        <f>MONTH(ProductLine[[#This Row],[Date]])</f>
        <v>12</v>
      </c>
      <c r="F1428" t="s">
        <v>27</v>
      </c>
      <c r="G1428">
        <v>-10</v>
      </c>
      <c r="H1428" s="3">
        <v>-27.350902782330042</v>
      </c>
      <c r="I1428" s="3">
        <f>ProductLine[[#This Row],[Units]]*ProductLine[[#This Row],[Dollars]]</f>
        <v>273.50902782330041</v>
      </c>
    </row>
    <row r="1429" spans="1:9" x14ac:dyDescent="0.35">
      <c r="A1429">
        <v>1428</v>
      </c>
      <c r="B1429" t="s">
        <v>11</v>
      </c>
      <c r="C1429" s="2">
        <v>39057</v>
      </c>
      <c r="D1429">
        <f>YEAR(ProductLine[[#This Row],[Date]])</f>
        <v>2006</v>
      </c>
      <c r="E1429">
        <f>MONTH(ProductLine[[#This Row],[Date]])</f>
        <v>12</v>
      </c>
      <c r="F1429" t="s">
        <v>26</v>
      </c>
      <c r="G1429">
        <v>53</v>
      </c>
      <c r="H1429" s="3">
        <v>160.85164058435507</v>
      </c>
      <c r="I1429" s="3">
        <f>ProductLine[[#This Row],[Units]]*ProductLine[[#This Row],[Dollars]]</f>
        <v>8525.1369509708184</v>
      </c>
    </row>
    <row r="1430" spans="1:9" x14ac:dyDescent="0.35">
      <c r="A1430">
        <v>1429</v>
      </c>
      <c r="B1430" t="s">
        <v>10</v>
      </c>
      <c r="C1430" s="2">
        <v>38441</v>
      </c>
      <c r="D1430">
        <f>YEAR(ProductLine[[#This Row],[Date]])</f>
        <v>2005</v>
      </c>
      <c r="E1430">
        <f>MONTH(ProductLine[[#This Row],[Date]])</f>
        <v>3</v>
      </c>
      <c r="F1430" t="s">
        <v>25</v>
      </c>
      <c r="G1430">
        <v>24</v>
      </c>
      <c r="H1430" s="3">
        <v>73.616064458141409</v>
      </c>
      <c r="I1430" s="3">
        <f>ProductLine[[#This Row],[Units]]*ProductLine[[#This Row],[Dollars]]</f>
        <v>1766.7855469953938</v>
      </c>
    </row>
    <row r="1431" spans="1:9" x14ac:dyDescent="0.35">
      <c r="A1431">
        <v>1430</v>
      </c>
      <c r="B1431" t="s">
        <v>14</v>
      </c>
      <c r="C1431" s="2">
        <v>38914</v>
      </c>
      <c r="D1431">
        <f>YEAR(ProductLine[[#This Row],[Date]])</f>
        <v>2006</v>
      </c>
      <c r="E1431">
        <f>MONTH(ProductLine[[#This Row],[Date]])</f>
        <v>7</v>
      </c>
      <c r="F1431" t="s">
        <v>23</v>
      </c>
      <c r="G1431">
        <v>27</v>
      </c>
      <c r="H1431" s="3">
        <v>83.23212229417976</v>
      </c>
      <c r="I1431" s="3">
        <f>ProductLine[[#This Row],[Units]]*ProductLine[[#This Row],[Dollars]]</f>
        <v>2247.2673019428535</v>
      </c>
    </row>
    <row r="1432" spans="1:9" x14ac:dyDescent="0.35">
      <c r="A1432">
        <v>1431</v>
      </c>
      <c r="B1432" t="s">
        <v>16</v>
      </c>
      <c r="C1432" s="2">
        <v>38837</v>
      </c>
      <c r="D1432">
        <f>YEAR(ProductLine[[#This Row],[Date]])</f>
        <v>2006</v>
      </c>
      <c r="E1432">
        <f>MONTH(ProductLine[[#This Row],[Date]])</f>
        <v>4</v>
      </c>
      <c r="F1432" t="s">
        <v>24</v>
      </c>
      <c r="G1432">
        <v>52</v>
      </c>
      <c r="H1432" s="3">
        <v>158.63001694196066</v>
      </c>
      <c r="I1432" s="3">
        <f>ProductLine[[#This Row],[Units]]*ProductLine[[#This Row],[Dollars]]</f>
        <v>8248.760880981954</v>
      </c>
    </row>
    <row r="1433" spans="1:9" x14ac:dyDescent="0.35">
      <c r="A1433">
        <v>1432</v>
      </c>
      <c r="B1433" t="s">
        <v>12</v>
      </c>
      <c r="C1433" s="2">
        <v>39013</v>
      </c>
      <c r="D1433">
        <f>YEAR(ProductLine[[#This Row],[Date]])</f>
        <v>2006</v>
      </c>
      <c r="E1433">
        <f>MONTH(ProductLine[[#This Row],[Date]])</f>
        <v>10</v>
      </c>
      <c r="F1433" t="s">
        <v>24</v>
      </c>
      <c r="G1433">
        <v>0</v>
      </c>
      <c r="H1433" s="3">
        <v>1.7815728693963861</v>
      </c>
      <c r="I1433" s="3">
        <f>ProductLine[[#This Row],[Units]]*ProductLine[[#This Row],[Dollars]]</f>
        <v>0</v>
      </c>
    </row>
    <row r="1434" spans="1:9" x14ac:dyDescent="0.35">
      <c r="A1434">
        <v>1433</v>
      </c>
      <c r="B1434" t="s">
        <v>14</v>
      </c>
      <c r="C1434" s="2">
        <v>38155</v>
      </c>
      <c r="D1434">
        <f>YEAR(ProductLine[[#This Row],[Date]])</f>
        <v>2004</v>
      </c>
      <c r="E1434">
        <f>MONTH(ProductLine[[#This Row],[Date]])</f>
        <v>6</v>
      </c>
      <c r="F1434" t="s">
        <v>27</v>
      </c>
      <c r="G1434">
        <v>92</v>
      </c>
      <c r="H1434" s="3">
        <v>278.65173044503393</v>
      </c>
      <c r="I1434" s="3">
        <f>ProductLine[[#This Row],[Units]]*ProductLine[[#This Row],[Dollars]]</f>
        <v>25635.959200943122</v>
      </c>
    </row>
    <row r="1435" spans="1:9" x14ac:dyDescent="0.35">
      <c r="A1435">
        <v>1434</v>
      </c>
      <c r="B1435" t="s">
        <v>15</v>
      </c>
      <c r="C1435" s="2">
        <v>39013</v>
      </c>
      <c r="D1435">
        <f>YEAR(ProductLine[[#This Row],[Date]])</f>
        <v>2006</v>
      </c>
      <c r="E1435">
        <f>MONTH(ProductLine[[#This Row],[Date]])</f>
        <v>10</v>
      </c>
      <c r="F1435" t="s">
        <v>27</v>
      </c>
      <c r="G1435">
        <v>22</v>
      </c>
      <c r="H1435" s="3">
        <v>67.706785390101601</v>
      </c>
      <c r="I1435" s="3">
        <f>ProductLine[[#This Row],[Units]]*ProductLine[[#This Row],[Dollars]]</f>
        <v>1489.5492785822353</v>
      </c>
    </row>
    <row r="1436" spans="1:9" x14ac:dyDescent="0.35">
      <c r="A1436">
        <v>1435</v>
      </c>
      <c r="B1436" t="s">
        <v>17</v>
      </c>
      <c r="C1436" s="2">
        <v>38837</v>
      </c>
      <c r="D1436">
        <f>YEAR(ProductLine[[#This Row],[Date]])</f>
        <v>2006</v>
      </c>
      <c r="E1436">
        <f>MONTH(ProductLine[[#This Row],[Date]])</f>
        <v>4</v>
      </c>
      <c r="F1436" t="s">
        <v>26</v>
      </c>
      <c r="G1436">
        <v>67</v>
      </c>
      <c r="H1436" s="3">
        <v>202.90370530776514</v>
      </c>
      <c r="I1436" s="3">
        <f>ProductLine[[#This Row],[Units]]*ProductLine[[#This Row],[Dollars]]</f>
        <v>13594.548255620264</v>
      </c>
    </row>
    <row r="1437" spans="1:9" x14ac:dyDescent="0.35">
      <c r="A1437">
        <v>1436</v>
      </c>
      <c r="B1437" t="s">
        <v>12</v>
      </c>
      <c r="C1437" s="2">
        <v>38639</v>
      </c>
      <c r="D1437">
        <f>YEAR(ProductLine[[#This Row],[Date]])</f>
        <v>2005</v>
      </c>
      <c r="E1437">
        <f>MONTH(ProductLine[[#This Row],[Date]])</f>
        <v>10</v>
      </c>
      <c r="F1437" t="s">
        <v>27</v>
      </c>
      <c r="G1437">
        <v>7</v>
      </c>
      <c r="H1437" s="3">
        <v>23.034327347174614</v>
      </c>
      <c r="I1437" s="3">
        <f>ProductLine[[#This Row],[Units]]*ProductLine[[#This Row],[Dollars]]</f>
        <v>161.2402914302223</v>
      </c>
    </row>
    <row r="1438" spans="1:9" x14ac:dyDescent="0.35">
      <c r="A1438">
        <v>1437</v>
      </c>
      <c r="B1438" t="s">
        <v>17</v>
      </c>
      <c r="C1438" s="2">
        <v>38122</v>
      </c>
      <c r="D1438">
        <f>YEAR(ProductLine[[#This Row],[Date]])</f>
        <v>2004</v>
      </c>
      <c r="E1438">
        <f>MONTH(ProductLine[[#This Row],[Date]])</f>
        <v>5</v>
      </c>
      <c r="F1438" t="s">
        <v>26</v>
      </c>
      <c r="G1438">
        <v>-10</v>
      </c>
      <c r="H1438" s="3">
        <v>-27.962734354764166</v>
      </c>
      <c r="I1438" s="3">
        <f>ProductLine[[#This Row],[Units]]*ProductLine[[#This Row],[Dollars]]</f>
        <v>279.62734354764166</v>
      </c>
    </row>
    <row r="1439" spans="1:9" x14ac:dyDescent="0.35">
      <c r="A1439">
        <v>1438</v>
      </c>
      <c r="B1439" t="s">
        <v>13</v>
      </c>
      <c r="C1439" s="2">
        <v>38947</v>
      </c>
      <c r="D1439">
        <f>YEAR(ProductLine[[#This Row],[Date]])</f>
        <v>2006</v>
      </c>
      <c r="E1439">
        <f>MONTH(ProductLine[[#This Row],[Date]])</f>
        <v>8</v>
      </c>
      <c r="F1439" t="s">
        <v>27</v>
      </c>
      <c r="G1439">
        <v>10</v>
      </c>
      <c r="H1439" s="3">
        <v>31.667217946817743</v>
      </c>
      <c r="I1439" s="3">
        <f>ProductLine[[#This Row],[Units]]*ProductLine[[#This Row],[Dollars]]</f>
        <v>316.67217946817743</v>
      </c>
    </row>
    <row r="1440" spans="1:9" x14ac:dyDescent="0.35">
      <c r="A1440">
        <v>1439</v>
      </c>
      <c r="B1440" t="s">
        <v>14</v>
      </c>
      <c r="C1440" s="2">
        <v>38529</v>
      </c>
      <c r="D1440">
        <f>YEAR(ProductLine[[#This Row],[Date]])</f>
        <v>2005</v>
      </c>
      <c r="E1440">
        <f>MONTH(ProductLine[[#This Row],[Date]])</f>
        <v>6</v>
      </c>
      <c r="F1440" t="s">
        <v>24</v>
      </c>
      <c r="G1440">
        <v>15</v>
      </c>
      <c r="H1440" s="3">
        <v>46.477551483409364</v>
      </c>
      <c r="I1440" s="3">
        <f>ProductLine[[#This Row],[Units]]*ProductLine[[#This Row],[Dollars]]</f>
        <v>697.16327225114048</v>
      </c>
    </row>
    <row r="1441" spans="1:9" x14ac:dyDescent="0.35">
      <c r="A1441">
        <v>1440</v>
      </c>
      <c r="B1441" t="s">
        <v>11</v>
      </c>
      <c r="C1441" s="2">
        <v>38529</v>
      </c>
      <c r="D1441">
        <f>YEAR(ProductLine[[#This Row],[Date]])</f>
        <v>2005</v>
      </c>
      <c r="E1441">
        <f>MONTH(ProductLine[[#This Row],[Date]])</f>
        <v>6</v>
      </c>
      <c r="F1441" t="s">
        <v>25</v>
      </c>
      <c r="G1441">
        <v>0</v>
      </c>
      <c r="H1441" s="3">
        <v>2.1309055922780948</v>
      </c>
      <c r="I1441" s="3">
        <f>ProductLine[[#This Row],[Units]]*ProductLine[[#This Row],[Dollars]]</f>
        <v>0</v>
      </c>
    </row>
    <row r="1442" spans="1:9" x14ac:dyDescent="0.35">
      <c r="A1442">
        <v>1441</v>
      </c>
      <c r="B1442" t="s">
        <v>12</v>
      </c>
      <c r="C1442" s="2">
        <v>38793</v>
      </c>
      <c r="D1442">
        <f>YEAR(ProductLine[[#This Row],[Date]])</f>
        <v>2006</v>
      </c>
      <c r="E1442">
        <f>MONTH(ProductLine[[#This Row],[Date]])</f>
        <v>3</v>
      </c>
      <c r="F1442" t="s">
        <v>24</v>
      </c>
      <c r="G1442">
        <v>93</v>
      </c>
      <c r="H1442" s="3">
        <v>280.90891395594838</v>
      </c>
      <c r="I1442" s="3">
        <f>ProductLine[[#This Row],[Units]]*ProductLine[[#This Row],[Dollars]]</f>
        <v>26124.528997903199</v>
      </c>
    </row>
    <row r="1443" spans="1:9" x14ac:dyDescent="0.35">
      <c r="A1443">
        <v>1442</v>
      </c>
      <c r="B1443" t="s">
        <v>10</v>
      </c>
      <c r="C1443" s="2">
        <v>38738</v>
      </c>
      <c r="D1443">
        <f>YEAR(ProductLine[[#This Row],[Date]])</f>
        <v>2006</v>
      </c>
      <c r="E1443">
        <f>MONTH(ProductLine[[#This Row],[Date]])</f>
        <v>1</v>
      </c>
      <c r="F1443" t="s">
        <v>24</v>
      </c>
      <c r="G1443">
        <v>57</v>
      </c>
      <c r="H1443" s="3">
        <v>172.62177980113168</v>
      </c>
      <c r="I1443" s="3">
        <f>ProductLine[[#This Row],[Units]]*ProductLine[[#This Row],[Dollars]]</f>
        <v>9839.4414486645055</v>
      </c>
    </row>
    <row r="1444" spans="1:9" x14ac:dyDescent="0.35">
      <c r="A1444">
        <v>1443</v>
      </c>
      <c r="B1444" t="s">
        <v>14</v>
      </c>
      <c r="C1444" s="2">
        <v>38254</v>
      </c>
      <c r="D1444">
        <f>YEAR(ProductLine[[#This Row],[Date]])</f>
        <v>2004</v>
      </c>
      <c r="E1444">
        <f>MONTH(ProductLine[[#This Row],[Date]])</f>
        <v>9</v>
      </c>
      <c r="F1444" t="s">
        <v>23</v>
      </c>
      <c r="G1444">
        <v>69</v>
      </c>
      <c r="H1444" s="3">
        <v>208.76551379204989</v>
      </c>
      <c r="I1444" s="3">
        <f>ProductLine[[#This Row],[Units]]*ProductLine[[#This Row],[Dollars]]</f>
        <v>14404.820451651442</v>
      </c>
    </row>
    <row r="1445" spans="1:9" x14ac:dyDescent="0.35">
      <c r="A1445">
        <v>1444</v>
      </c>
      <c r="B1445" t="s">
        <v>17</v>
      </c>
      <c r="C1445" s="2">
        <v>38716</v>
      </c>
      <c r="D1445">
        <f>YEAR(ProductLine[[#This Row],[Date]])</f>
        <v>2005</v>
      </c>
      <c r="E1445">
        <f>MONTH(ProductLine[[#This Row],[Date]])</f>
        <v>12</v>
      </c>
      <c r="F1445" t="s">
        <v>24</v>
      </c>
      <c r="G1445">
        <v>53</v>
      </c>
      <c r="H1445" s="3">
        <v>161.64817183248223</v>
      </c>
      <c r="I1445" s="3">
        <f>ProductLine[[#This Row],[Units]]*ProductLine[[#This Row],[Dollars]]</f>
        <v>8567.3531071215584</v>
      </c>
    </row>
    <row r="1446" spans="1:9" x14ac:dyDescent="0.35">
      <c r="A1446">
        <v>1445</v>
      </c>
      <c r="B1446" t="s">
        <v>11</v>
      </c>
      <c r="C1446" s="2">
        <v>39013</v>
      </c>
      <c r="D1446">
        <f>YEAR(ProductLine[[#This Row],[Date]])</f>
        <v>2006</v>
      </c>
      <c r="E1446">
        <f>MONTH(ProductLine[[#This Row],[Date]])</f>
        <v>10</v>
      </c>
      <c r="F1446" t="s">
        <v>25</v>
      </c>
      <c r="G1446">
        <v>67</v>
      </c>
      <c r="H1446" s="3">
        <v>203.5655299819017</v>
      </c>
      <c r="I1446" s="3">
        <f>ProductLine[[#This Row],[Units]]*ProductLine[[#This Row],[Dollars]]</f>
        <v>13638.890508787414</v>
      </c>
    </row>
    <row r="1447" spans="1:9" x14ac:dyDescent="0.35">
      <c r="A1447">
        <v>1446</v>
      </c>
      <c r="B1447" t="s">
        <v>17</v>
      </c>
      <c r="C1447" s="2">
        <v>38078</v>
      </c>
      <c r="D1447">
        <f>YEAR(ProductLine[[#This Row],[Date]])</f>
        <v>2004</v>
      </c>
      <c r="E1447">
        <f>MONTH(ProductLine[[#This Row],[Date]])</f>
        <v>4</v>
      </c>
      <c r="F1447" t="s">
        <v>26</v>
      </c>
      <c r="G1447">
        <v>23</v>
      </c>
      <c r="H1447" s="3">
        <v>70.708152765050201</v>
      </c>
      <c r="I1447" s="3">
        <f>ProductLine[[#This Row],[Units]]*ProductLine[[#This Row],[Dollars]]</f>
        <v>1626.2875135961547</v>
      </c>
    </row>
    <row r="1448" spans="1:9" x14ac:dyDescent="0.35">
      <c r="A1448">
        <v>1447</v>
      </c>
      <c r="B1448" t="s">
        <v>13</v>
      </c>
      <c r="C1448" s="2">
        <v>38155</v>
      </c>
      <c r="D1448">
        <f>YEAR(ProductLine[[#This Row],[Date]])</f>
        <v>2004</v>
      </c>
      <c r="E1448">
        <f>MONTH(ProductLine[[#This Row],[Date]])</f>
        <v>6</v>
      </c>
      <c r="F1448" t="s">
        <v>27</v>
      </c>
      <c r="G1448">
        <v>43</v>
      </c>
      <c r="H1448" s="3">
        <v>131.16019141346013</v>
      </c>
      <c r="I1448" s="3">
        <f>ProductLine[[#This Row],[Units]]*ProductLine[[#This Row],[Dollars]]</f>
        <v>5639.8882307787853</v>
      </c>
    </row>
    <row r="1449" spans="1:9" x14ac:dyDescent="0.35">
      <c r="A1449">
        <v>1448</v>
      </c>
      <c r="B1449" t="s">
        <v>16</v>
      </c>
      <c r="C1449" s="2">
        <v>39013</v>
      </c>
      <c r="D1449">
        <f>YEAR(ProductLine[[#This Row],[Date]])</f>
        <v>2006</v>
      </c>
      <c r="E1449">
        <f>MONTH(ProductLine[[#This Row],[Date]])</f>
        <v>10</v>
      </c>
      <c r="F1449" t="s">
        <v>23</v>
      </c>
      <c r="G1449">
        <v>69</v>
      </c>
      <c r="H1449" s="3">
        <v>209.39515625574666</v>
      </c>
      <c r="I1449" s="3">
        <f>ProductLine[[#This Row],[Units]]*ProductLine[[#This Row],[Dollars]]</f>
        <v>14448.26578164652</v>
      </c>
    </row>
    <row r="1450" spans="1:9" x14ac:dyDescent="0.35">
      <c r="A1450">
        <v>1449</v>
      </c>
      <c r="B1450" t="s">
        <v>10</v>
      </c>
      <c r="C1450" s="2">
        <v>38991</v>
      </c>
      <c r="D1450">
        <f>YEAR(ProductLine[[#This Row],[Date]])</f>
        <v>2006</v>
      </c>
      <c r="E1450">
        <f>MONTH(ProductLine[[#This Row],[Date]])</f>
        <v>10</v>
      </c>
      <c r="F1450" t="s">
        <v>25</v>
      </c>
      <c r="G1450">
        <v>45</v>
      </c>
      <c r="H1450" s="3">
        <v>136.50342219375273</v>
      </c>
      <c r="I1450" s="3">
        <f>ProductLine[[#This Row],[Units]]*ProductLine[[#This Row],[Dollars]]</f>
        <v>6142.6539987188726</v>
      </c>
    </row>
    <row r="1451" spans="1:9" x14ac:dyDescent="0.35">
      <c r="A1451">
        <v>1450</v>
      </c>
      <c r="B1451" t="s">
        <v>12</v>
      </c>
      <c r="C1451" s="2">
        <v>38661</v>
      </c>
      <c r="D1451">
        <f>YEAR(ProductLine[[#This Row],[Date]])</f>
        <v>2005</v>
      </c>
      <c r="E1451">
        <f>MONTH(ProductLine[[#This Row],[Date]])</f>
        <v>11</v>
      </c>
      <c r="F1451" t="s">
        <v>26</v>
      </c>
      <c r="G1451">
        <v>70</v>
      </c>
      <c r="H1451" s="3">
        <v>211.70097135907523</v>
      </c>
      <c r="I1451" s="3">
        <f>ProductLine[[#This Row],[Units]]*ProductLine[[#This Row],[Dollars]]</f>
        <v>14819.067995135265</v>
      </c>
    </row>
    <row r="1452" spans="1:9" x14ac:dyDescent="0.35">
      <c r="A1452">
        <v>1451</v>
      </c>
      <c r="B1452" t="s">
        <v>13</v>
      </c>
      <c r="C1452" s="2">
        <v>39013</v>
      </c>
      <c r="D1452">
        <f>YEAR(ProductLine[[#This Row],[Date]])</f>
        <v>2006</v>
      </c>
      <c r="E1452">
        <f>MONTH(ProductLine[[#This Row],[Date]])</f>
        <v>10</v>
      </c>
      <c r="F1452" t="s">
        <v>27</v>
      </c>
      <c r="G1452">
        <v>91</v>
      </c>
      <c r="H1452" s="3">
        <v>274.50140154950032</v>
      </c>
      <c r="I1452" s="3">
        <f>ProductLine[[#This Row],[Units]]*ProductLine[[#This Row],[Dollars]]</f>
        <v>24979.627541004527</v>
      </c>
    </row>
    <row r="1453" spans="1:9" x14ac:dyDescent="0.35">
      <c r="A1453">
        <v>1452</v>
      </c>
      <c r="B1453" t="s">
        <v>15</v>
      </c>
      <c r="C1453" s="2">
        <v>39068</v>
      </c>
      <c r="D1453">
        <f>YEAR(ProductLine[[#This Row],[Date]])</f>
        <v>2006</v>
      </c>
      <c r="E1453">
        <f>MONTH(ProductLine[[#This Row],[Date]])</f>
        <v>12</v>
      </c>
      <c r="F1453" t="s">
        <v>27</v>
      </c>
      <c r="G1453">
        <v>33</v>
      </c>
      <c r="H1453" s="3">
        <v>100.48140496751634</v>
      </c>
      <c r="I1453" s="3">
        <f>ProductLine[[#This Row],[Units]]*ProductLine[[#This Row],[Dollars]]</f>
        <v>3315.8863639280394</v>
      </c>
    </row>
    <row r="1454" spans="1:9" x14ac:dyDescent="0.35">
      <c r="A1454">
        <v>1453</v>
      </c>
      <c r="B1454" t="s">
        <v>13</v>
      </c>
      <c r="C1454" s="2">
        <v>38936</v>
      </c>
      <c r="D1454">
        <f>YEAR(ProductLine[[#This Row],[Date]])</f>
        <v>2006</v>
      </c>
      <c r="E1454">
        <f>MONTH(ProductLine[[#This Row],[Date]])</f>
        <v>8</v>
      </c>
      <c r="F1454" t="s">
        <v>24</v>
      </c>
      <c r="G1454">
        <v>90</v>
      </c>
      <c r="H1454" s="3">
        <v>272.35779457225038</v>
      </c>
      <c r="I1454" s="3">
        <f>ProductLine[[#This Row],[Units]]*ProductLine[[#This Row],[Dollars]]</f>
        <v>24512.201511502535</v>
      </c>
    </row>
    <row r="1455" spans="1:9" x14ac:dyDescent="0.35">
      <c r="A1455">
        <v>1454</v>
      </c>
      <c r="B1455" t="s">
        <v>13</v>
      </c>
      <c r="C1455" s="2">
        <v>38342</v>
      </c>
      <c r="D1455">
        <f>YEAR(ProductLine[[#This Row],[Date]])</f>
        <v>2004</v>
      </c>
      <c r="E1455">
        <f>MONTH(ProductLine[[#This Row],[Date]])</f>
        <v>12</v>
      </c>
      <c r="F1455" t="s">
        <v>27</v>
      </c>
      <c r="G1455">
        <v>17</v>
      </c>
      <c r="H1455" s="3">
        <v>52.516260583580817</v>
      </c>
      <c r="I1455" s="3">
        <f>ProductLine[[#This Row],[Units]]*ProductLine[[#This Row],[Dollars]]</f>
        <v>892.77642992087385</v>
      </c>
    </row>
    <row r="1456" spans="1:9" x14ac:dyDescent="0.35">
      <c r="A1456">
        <v>1455</v>
      </c>
      <c r="B1456" t="s">
        <v>12</v>
      </c>
      <c r="C1456" s="2">
        <v>38199</v>
      </c>
      <c r="D1456">
        <f>YEAR(ProductLine[[#This Row],[Date]])</f>
        <v>2004</v>
      </c>
      <c r="E1456">
        <f>MONTH(ProductLine[[#This Row],[Date]])</f>
        <v>7</v>
      </c>
      <c r="F1456" t="s">
        <v>26</v>
      </c>
      <c r="G1456">
        <v>-7</v>
      </c>
      <c r="H1456" s="3">
        <v>-18.916737992903691</v>
      </c>
      <c r="I1456" s="3">
        <f>ProductLine[[#This Row],[Units]]*ProductLine[[#This Row],[Dollars]]</f>
        <v>132.41716595032585</v>
      </c>
    </row>
    <row r="1457" spans="1:9" x14ac:dyDescent="0.35">
      <c r="A1457">
        <v>1456</v>
      </c>
      <c r="B1457" t="s">
        <v>11</v>
      </c>
      <c r="C1457" s="2">
        <v>38232</v>
      </c>
      <c r="D1457">
        <f>YEAR(ProductLine[[#This Row],[Date]])</f>
        <v>2004</v>
      </c>
      <c r="E1457">
        <f>MONTH(ProductLine[[#This Row],[Date]])</f>
        <v>9</v>
      </c>
      <c r="F1457" t="s">
        <v>27</v>
      </c>
      <c r="G1457">
        <v>21</v>
      </c>
      <c r="H1457" s="3">
        <v>64.912642276982112</v>
      </c>
      <c r="I1457" s="3">
        <f>ProductLine[[#This Row],[Units]]*ProductLine[[#This Row],[Dollars]]</f>
        <v>1363.1654878166244</v>
      </c>
    </row>
    <row r="1458" spans="1:9" x14ac:dyDescent="0.35">
      <c r="A1458">
        <v>1457</v>
      </c>
      <c r="B1458" t="s">
        <v>16</v>
      </c>
      <c r="C1458" s="2">
        <v>38573</v>
      </c>
      <c r="D1458">
        <f>YEAR(ProductLine[[#This Row],[Date]])</f>
        <v>2005</v>
      </c>
      <c r="E1458">
        <f>MONTH(ProductLine[[#This Row],[Date]])</f>
        <v>8</v>
      </c>
      <c r="F1458" t="s">
        <v>24</v>
      </c>
      <c r="G1458">
        <v>14</v>
      </c>
      <c r="H1458" s="3">
        <v>44.327818174178198</v>
      </c>
      <c r="I1458" s="3">
        <f>ProductLine[[#This Row],[Units]]*ProductLine[[#This Row],[Dollars]]</f>
        <v>620.58945443849473</v>
      </c>
    </row>
    <row r="1459" spans="1:9" x14ac:dyDescent="0.35">
      <c r="A1459">
        <v>1458</v>
      </c>
      <c r="B1459" t="s">
        <v>12</v>
      </c>
      <c r="C1459" s="2">
        <v>38826</v>
      </c>
      <c r="D1459">
        <f>YEAR(ProductLine[[#This Row],[Date]])</f>
        <v>2006</v>
      </c>
      <c r="E1459">
        <f>MONTH(ProductLine[[#This Row],[Date]])</f>
        <v>4</v>
      </c>
      <c r="F1459" t="s">
        <v>25</v>
      </c>
      <c r="G1459">
        <v>84</v>
      </c>
      <c r="H1459" s="3">
        <v>254.27232164491826</v>
      </c>
      <c r="I1459" s="3">
        <f>ProductLine[[#This Row],[Units]]*ProductLine[[#This Row],[Dollars]]</f>
        <v>21358.875018173134</v>
      </c>
    </row>
    <row r="1460" spans="1:9" x14ac:dyDescent="0.35">
      <c r="A1460">
        <v>1459</v>
      </c>
      <c r="B1460" t="s">
        <v>14</v>
      </c>
      <c r="C1460" s="2">
        <v>38738</v>
      </c>
      <c r="D1460">
        <f>YEAR(ProductLine[[#This Row],[Date]])</f>
        <v>2006</v>
      </c>
      <c r="E1460">
        <f>MONTH(ProductLine[[#This Row],[Date]])</f>
        <v>1</v>
      </c>
      <c r="F1460" t="s">
        <v>25</v>
      </c>
      <c r="G1460">
        <v>92</v>
      </c>
      <c r="H1460" s="3">
        <v>278.12892270091868</v>
      </c>
      <c r="I1460" s="3">
        <f>ProductLine[[#This Row],[Units]]*ProductLine[[#This Row],[Dollars]]</f>
        <v>25587.86088848452</v>
      </c>
    </row>
    <row r="1461" spans="1:9" x14ac:dyDescent="0.35">
      <c r="A1461">
        <v>1460</v>
      </c>
      <c r="B1461" t="s">
        <v>12</v>
      </c>
      <c r="C1461" s="2">
        <v>39013</v>
      </c>
      <c r="D1461">
        <f>YEAR(ProductLine[[#This Row],[Date]])</f>
        <v>2006</v>
      </c>
      <c r="E1461">
        <f>MONTH(ProductLine[[#This Row],[Date]])</f>
        <v>10</v>
      </c>
      <c r="F1461" t="s">
        <v>23</v>
      </c>
      <c r="G1461">
        <v>-1</v>
      </c>
      <c r="H1461" s="3">
        <v>-0.12859943512322669</v>
      </c>
      <c r="I1461" s="3">
        <f>ProductLine[[#This Row],[Units]]*ProductLine[[#This Row],[Dollars]]</f>
        <v>0.12859943512322669</v>
      </c>
    </row>
    <row r="1462" spans="1:9" x14ac:dyDescent="0.35">
      <c r="A1462">
        <v>1461</v>
      </c>
      <c r="B1462" t="s">
        <v>12</v>
      </c>
      <c r="C1462" s="2">
        <v>38485</v>
      </c>
      <c r="D1462">
        <f>YEAR(ProductLine[[#This Row],[Date]])</f>
        <v>2005</v>
      </c>
      <c r="E1462">
        <f>MONTH(ProductLine[[#This Row],[Date]])</f>
        <v>5</v>
      </c>
      <c r="F1462" t="s">
        <v>23</v>
      </c>
      <c r="G1462">
        <v>73</v>
      </c>
      <c r="H1462" s="3">
        <v>222.08676582590357</v>
      </c>
      <c r="I1462" s="3">
        <f>ProductLine[[#This Row],[Units]]*ProductLine[[#This Row],[Dollars]]</f>
        <v>16212.333905290961</v>
      </c>
    </row>
    <row r="1463" spans="1:9" x14ac:dyDescent="0.35">
      <c r="A1463">
        <v>1462</v>
      </c>
      <c r="B1463" t="s">
        <v>17</v>
      </c>
      <c r="C1463" s="2">
        <v>38727</v>
      </c>
      <c r="D1463">
        <f>YEAR(ProductLine[[#This Row],[Date]])</f>
        <v>2006</v>
      </c>
      <c r="E1463">
        <f>MONTH(ProductLine[[#This Row],[Date]])</f>
        <v>1</v>
      </c>
      <c r="F1463" t="s">
        <v>24</v>
      </c>
      <c r="G1463">
        <v>48</v>
      </c>
      <c r="H1463" s="3">
        <v>146.42108275927566</v>
      </c>
      <c r="I1463" s="3">
        <f>ProductLine[[#This Row],[Units]]*ProductLine[[#This Row],[Dollars]]</f>
        <v>7028.2119724452314</v>
      </c>
    </row>
    <row r="1464" spans="1:9" x14ac:dyDescent="0.35">
      <c r="A1464">
        <v>1463</v>
      </c>
      <c r="B1464" t="s">
        <v>17</v>
      </c>
      <c r="C1464" s="2">
        <v>38331</v>
      </c>
      <c r="D1464">
        <f>YEAR(ProductLine[[#This Row],[Date]])</f>
        <v>2004</v>
      </c>
      <c r="E1464">
        <f>MONTH(ProductLine[[#This Row],[Date]])</f>
        <v>12</v>
      </c>
      <c r="F1464" t="s">
        <v>26</v>
      </c>
      <c r="G1464">
        <v>72</v>
      </c>
      <c r="H1464" s="3">
        <v>217.08233008534265</v>
      </c>
      <c r="I1464" s="3">
        <f>ProductLine[[#This Row],[Units]]*ProductLine[[#This Row],[Dollars]]</f>
        <v>15629.92776614467</v>
      </c>
    </row>
    <row r="1465" spans="1:9" x14ac:dyDescent="0.35">
      <c r="A1465">
        <v>1464</v>
      </c>
      <c r="B1465" t="s">
        <v>9</v>
      </c>
      <c r="C1465" s="2">
        <v>38903</v>
      </c>
      <c r="D1465">
        <f>YEAR(ProductLine[[#This Row],[Date]])</f>
        <v>2006</v>
      </c>
      <c r="E1465">
        <f>MONTH(ProductLine[[#This Row],[Date]])</f>
        <v>7</v>
      </c>
      <c r="F1465" t="s">
        <v>24</v>
      </c>
      <c r="G1465">
        <v>42</v>
      </c>
      <c r="H1465" s="3">
        <v>127.6087139856683</v>
      </c>
      <c r="I1465" s="3">
        <f>ProductLine[[#This Row],[Units]]*ProductLine[[#This Row],[Dollars]]</f>
        <v>5359.5659873980685</v>
      </c>
    </row>
    <row r="1466" spans="1:9" x14ac:dyDescent="0.35">
      <c r="A1466">
        <v>1465</v>
      </c>
      <c r="B1466" t="s">
        <v>12</v>
      </c>
      <c r="C1466" s="2">
        <v>38342</v>
      </c>
      <c r="D1466">
        <f>YEAR(ProductLine[[#This Row],[Date]])</f>
        <v>2004</v>
      </c>
      <c r="E1466">
        <f>MONTH(ProductLine[[#This Row],[Date]])</f>
        <v>12</v>
      </c>
      <c r="F1466" t="s">
        <v>24</v>
      </c>
      <c r="G1466">
        <v>80</v>
      </c>
      <c r="H1466" s="3">
        <v>242.20754620036109</v>
      </c>
      <c r="I1466" s="3">
        <f>ProductLine[[#This Row],[Units]]*ProductLine[[#This Row],[Dollars]]</f>
        <v>19376.603696028887</v>
      </c>
    </row>
    <row r="1467" spans="1:9" x14ac:dyDescent="0.35">
      <c r="A1467">
        <v>1466</v>
      </c>
      <c r="B1467" t="s">
        <v>12</v>
      </c>
      <c r="C1467" s="2">
        <v>38595</v>
      </c>
      <c r="D1467">
        <f>YEAR(ProductLine[[#This Row],[Date]])</f>
        <v>2005</v>
      </c>
      <c r="E1467">
        <f>MONTH(ProductLine[[#This Row],[Date]])</f>
        <v>8</v>
      </c>
      <c r="F1467" t="s">
        <v>24</v>
      </c>
      <c r="G1467">
        <v>56</v>
      </c>
      <c r="H1467" s="3">
        <v>170.85558875726406</v>
      </c>
      <c r="I1467" s="3">
        <f>ProductLine[[#This Row],[Units]]*ProductLine[[#This Row],[Dollars]]</f>
        <v>9567.9129704067873</v>
      </c>
    </row>
    <row r="1468" spans="1:9" x14ac:dyDescent="0.35">
      <c r="A1468">
        <v>1467</v>
      </c>
      <c r="B1468" t="s">
        <v>16</v>
      </c>
      <c r="C1468" s="2">
        <v>38012</v>
      </c>
      <c r="D1468">
        <f>YEAR(ProductLine[[#This Row],[Date]])</f>
        <v>2004</v>
      </c>
      <c r="E1468">
        <f>MONTH(ProductLine[[#This Row],[Date]])</f>
        <v>1</v>
      </c>
      <c r="F1468" t="s">
        <v>27</v>
      </c>
      <c r="G1468">
        <v>46</v>
      </c>
      <c r="H1468" s="3">
        <v>140.57686436306247</v>
      </c>
      <c r="I1468" s="3">
        <f>ProductLine[[#This Row],[Units]]*ProductLine[[#This Row],[Dollars]]</f>
        <v>6466.5357607008737</v>
      </c>
    </row>
    <row r="1469" spans="1:9" x14ac:dyDescent="0.35">
      <c r="A1469">
        <v>1468</v>
      </c>
      <c r="B1469" t="s">
        <v>9</v>
      </c>
      <c r="C1469" s="2">
        <v>38870</v>
      </c>
      <c r="D1469">
        <f>YEAR(ProductLine[[#This Row],[Date]])</f>
        <v>2006</v>
      </c>
      <c r="E1469">
        <f>MONTH(ProductLine[[#This Row],[Date]])</f>
        <v>6</v>
      </c>
      <c r="F1469" t="s">
        <v>26</v>
      </c>
      <c r="G1469">
        <v>45</v>
      </c>
      <c r="H1469" s="3">
        <v>136.77216386728932</v>
      </c>
      <c r="I1469" s="3">
        <f>ProductLine[[#This Row],[Units]]*ProductLine[[#This Row],[Dollars]]</f>
        <v>6154.7473740280193</v>
      </c>
    </row>
    <row r="1470" spans="1:9" x14ac:dyDescent="0.35">
      <c r="A1470">
        <v>1469</v>
      </c>
      <c r="B1470" t="s">
        <v>11</v>
      </c>
      <c r="C1470" s="2">
        <v>38507</v>
      </c>
      <c r="D1470">
        <f>YEAR(ProductLine[[#This Row],[Date]])</f>
        <v>2005</v>
      </c>
      <c r="E1470">
        <f>MONTH(ProductLine[[#This Row],[Date]])</f>
        <v>6</v>
      </c>
      <c r="F1470" t="s">
        <v>24</v>
      </c>
      <c r="G1470">
        <v>53</v>
      </c>
      <c r="H1470" s="3">
        <v>160.40163840433979</v>
      </c>
      <c r="I1470" s="3">
        <f>ProductLine[[#This Row],[Units]]*ProductLine[[#This Row],[Dollars]]</f>
        <v>8501.2868354300081</v>
      </c>
    </row>
    <row r="1471" spans="1:9" x14ac:dyDescent="0.35">
      <c r="A1471">
        <v>1470</v>
      </c>
      <c r="B1471" t="s">
        <v>11</v>
      </c>
      <c r="C1471" s="2">
        <v>38628</v>
      </c>
      <c r="D1471">
        <f>YEAR(ProductLine[[#This Row],[Date]])</f>
        <v>2005</v>
      </c>
      <c r="E1471">
        <f>MONTH(ProductLine[[#This Row],[Date]])</f>
        <v>10</v>
      </c>
      <c r="F1471" t="s">
        <v>26</v>
      </c>
      <c r="G1471">
        <v>51</v>
      </c>
      <c r="H1471" s="3">
        <v>155.05152823672236</v>
      </c>
      <c r="I1471" s="3">
        <f>ProductLine[[#This Row],[Units]]*ProductLine[[#This Row],[Dollars]]</f>
        <v>7907.6279400728408</v>
      </c>
    </row>
    <row r="1472" spans="1:9" x14ac:dyDescent="0.35">
      <c r="A1472">
        <v>1471</v>
      </c>
      <c r="B1472" t="s">
        <v>14</v>
      </c>
      <c r="C1472" s="2">
        <v>38705</v>
      </c>
      <c r="D1472">
        <f>YEAR(ProductLine[[#This Row],[Date]])</f>
        <v>2005</v>
      </c>
      <c r="E1472">
        <f>MONTH(ProductLine[[#This Row],[Date]])</f>
        <v>12</v>
      </c>
      <c r="F1472" t="s">
        <v>27</v>
      </c>
      <c r="G1472">
        <v>64</v>
      </c>
      <c r="H1472" s="3">
        <v>193.29903203964747</v>
      </c>
      <c r="I1472" s="3">
        <f>ProductLine[[#This Row],[Units]]*ProductLine[[#This Row],[Dollars]]</f>
        <v>12371.138050537438</v>
      </c>
    </row>
    <row r="1473" spans="1:9" x14ac:dyDescent="0.35">
      <c r="A1473">
        <v>1472</v>
      </c>
      <c r="B1473" t="s">
        <v>9</v>
      </c>
      <c r="C1473" s="2">
        <v>38298</v>
      </c>
      <c r="D1473">
        <f>YEAR(ProductLine[[#This Row],[Date]])</f>
        <v>2004</v>
      </c>
      <c r="E1473">
        <f>MONTH(ProductLine[[#This Row],[Date]])</f>
        <v>11</v>
      </c>
      <c r="F1473" t="s">
        <v>26</v>
      </c>
      <c r="G1473">
        <v>15</v>
      </c>
      <c r="H1473" s="3">
        <v>47.086660569111189</v>
      </c>
      <c r="I1473" s="3">
        <f>ProductLine[[#This Row],[Units]]*ProductLine[[#This Row],[Dollars]]</f>
        <v>706.29990853666777</v>
      </c>
    </row>
    <row r="1474" spans="1:9" x14ac:dyDescent="0.35">
      <c r="A1474">
        <v>1473</v>
      </c>
      <c r="B1474" t="s">
        <v>12</v>
      </c>
      <c r="C1474" s="2">
        <v>38078</v>
      </c>
      <c r="D1474">
        <f>YEAR(ProductLine[[#This Row],[Date]])</f>
        <v>2004</v>
      </c>
      <c r="E1474">
        <f>MONTH(ProductLine[[#This Row],[Date]])</f>
        <v>4</v>
      </c>
      <c r="F1474" t="s">
        <v>25</v>
      </c>
      <c r="G1474">
        <v>33</v>
      </c>
      <c r="H1474" s="3">
        <v>101.69988655484008</v>
      </c>
      <c r="I1474" s="3">
        <f>ProductLine[[#This Row],[Units]]*ProductLine[[#This Row],[Dollars]]</f>
        <v>3356.0962563097228</v>
      </c>
    </row>
    <row r="1475" spans="1:9" x14ac:dyDescent="0.35">
      <c r="A1475">
        <v>1474</v>
      </c>
      <c r="B1475" t="s">
        <v>15</v>
      </c>
      <c r="C1475" s="2">
        <v>38848</v>
      </c>
      <c r="D1475">
        <f>YEAR(ProductLine[[#This Row],[Date]])</f>
        <v>2006</v>
      </c>
      <c r="E1475">
        <f>MONTH(ProductLine[[#This Row],[Date]])</f>
        <v>5</v>
      </c>
      <c r="F1475" t="s">
        <v>26</v>
      </c>
      <c r="G1475">
        <v>31</v>
      </c>
      <c r="H1475" s="3">
        <v>95.050667546988379</v>
      </c>
      <c r="I1475" s="3">
        <f>ProductLine[[#This Row],[Units]]*ProductLine[[#This Row],[Dollars]]</f>
        <v>2946.5706939566398</v>
      </c>
    </row>
    <row r="1476" spans="1:9" x14ac:dyDescent="0.35">
      <c r="A1476">
        <v>1475</v>
      </c>
      <c r="B1476" t="s">
        <v>11</v>
      </c>
      <c r="C1476" s="2">
        <v>38705</v>
      </c>
      <c r="D1476">
        <f>YEAR(ProductLine[[#This Row],[Date]])</f>
        <v>2005</v>
      </c>
      <c r="E1476">
        <f>MONTH(ProductLine[[#This Row],[Date]])</f>
        <v>12</v>
      </c>
      <c r="F1476" t="s">
        <v>25</v>
      </c>
      <c r="G1476">
        <v>51</v>
      </c>
      <c r="H1476" s="3">
        <v>155.18472828999515</v>
      </c>
      <c r="I1476" s="3">
        <f>ProductLine[[#This Row],[Units]]*ProductLine[[#This Row],[Dollars]]</f>
        <v>7914.4211427897526</v>
      </c>
    </row>
    <row r="1477" spans="1:9" x14ac:dyDescent="0.35">
      <c r="A1477">
        <v>1476</v>
      </c>
      <c r="B1477" t="s">
        <v>14</v>
      </c>
      <c r="C1477" s="2">
        <v>38947</v>
      </c>
      <c r="D1477">
        <f>YEAR(ProductLine[[#This Row],[Date]])</f>
        <v>2006</v>
      </c>
      <c r="E1477">
        <f>MONTH(ProductLine[[#This Row],[Date]])</f>
        <v>8</v>
      </c>
      <c r="F1477" t="s">
        <v>24</v>
      </c>
      <c r="G1477">
        <v>-7</v>
      </c>
      <c r="H1477" s="3">
        <v>-18.636086701073594</v>
      </c>
      <c r="I1477" s="3">
        <f>ProductLine[[#This Row],[Units]]*ProductLine[[#This Row],[Dollars]]</f>
        <v>130.45260690751516</v>
      </c>
    </row>
    <row r="1478" spans="1:9" x14ac:dyDescent="0.35">
      <c r="A1478">
        <v>1477</v>
      </c>
      <c r="B1478" t="s">
        <v>11</v>
      </c>
      <c r="C1478" s="2">
        <v>38485</v>
      </c>
      <c r="D1478">
        <f>YEAR(ProductLine[[#This Row],[Date]])</f>
        <v>2005</v>
      </c>
      <c r="E1478">
        <f>MONTH(ProductLine[[#This Row],[Date]])</f>
        <v>5</v>
      </c>
      <c r="F1478" t="s">
        <v>26</v>
      </c>
      <c r="G1478">
        <v>37</v>
      </c>
      <c r="H1478" s="3">
        <v>112.07406400171799</v>
      </c>
      <c r="I1478" s="3">
        <f>ProductLine[[#This Row],[Units]]*ProductLine[[#This Row],[Dollars]]</f>
        <v>4146.7403680635653</v>
      </c>
    </row>
    <row r="1479" spans="1:9" x14ac:dyDescent="0.35">
      <c r="A1479">
        <v>1478</v>
      </c>
      <c r="B1479" t="s">
        <v>9</v>
      </c>
      <c r="C1479" s="2">
        <v>38518</v>
      </c>
      <c r="D1479">
        <f>YEAR(ProductLine[[#This Row],[Date]])</f>
        <v>2005</v>
      </c>
      <c r="E1479">
        <f>MONTH(ProductLine[[#This Row],[Date]])</f>
        <v>6</v>
      </c>
      <c r="F1479" t="s">
        <v>24</v>
      </c>
      <c r="G1479">
        <v>43</v>
      </c>
      <c r="H1479" s="3">
        <v>130.97379554914517</v>
      </c>
      <c r="I1479" s="3">
        <f>ProductLine[[#This Row],[Units]]*ProductLine[[#This Row],[Dollars]]</f>
        <v>5631.8732086132422</v>
      </c>
    </row>
    <row r="1480" spans="1:9" x14ac:dyDescent="0.35">
      <c r="A1480">
        <v>1479</v>
      </c>
      <c r="B1480" t="s">
        <v>17</v>
      </c>
      <c r="C1480" s="2">
        <v>38859</v>
      </c>
      <c r="D1480">
        <f>YEAR(ProductLine[[#This Row],[Date]])</f>
        <v>2006</v>
      </c>
      <c r="E1480">
        <f>MONTH(ProductLine[[#This Row],[Date]])</f>
        <v>5</v>
      </c>
      <c r="F1480" t="s">
        <v>27</v>
      </c>
      <c r="G1480">
        <v>63</v>
      </c>
      <c r="H1480" s="3">
        <v>190.69209828626822</v>
      </c>
      <c r="I1480" s="3">
        <f>ProductLine[[#This Row],[Units]]*ProductLine[[#This Row],[Dollars]]</f>
        <v>12013.602192034898</v>
      </c>
    </row>
    <row r="1481" spans="1:9" x14ac:dyDescent="0.35">
      <c r="A1481">
        <v>1480</v>
      </c>
      <c r="B1481" t="s">
        <v>13</v>
      </c>
      <c r="C1481" s="2">
        <v>38177</v>
      </c>
      <c r="D1481">
        <f>YEAR(ProductLine[[#This Row],[Date]])</f>
        <v>2004</v>
      </c>
      <c r="E1481">
        <f>MONTH(ProductLine[[#This Row],[Date]])</f>
        <v>7</v>
      </c>
      <c r="F1481" t="s">
        <v>26</v>
      </c>
      <c r="G1481">
        <v>29</v>
      </c>
      <c r="H1481" s="3">
        <v>89.589016206328608</v>
      </c>
      <c r="I1481" s="3">
        <f>ProductLine[[#This Row],[Units]]*ProductLine[[#This Row],[Dollars]]</f>
        <v>2598.0814699835296</v>
      </c>
    </row>
    <row r="1482" spans="1:9" x14ac:dyDescent="0.35">
      <c r="A1482">
        <v>1481</v>
      </c>
      <c r="B1482" t="s">
        <v>17</v>
      </c>
      <c r="C1482" s="2">
        <v>38694</v>
      </c>
      <c r="D1482">
        <f>YEAR(ProductLine[[#This Row],[Date]])</f>
        <v>2005</v>
      </c>
      <c r="E1482">
        <f>MONTH(ProductLine[[#This Row],[Date]])</f>
        <v>12</v>
      </c>
      <c r="F1482" t="s">
        <v>27</v>
      </c>
      <c r="G1482">
        <v>20</v>
      </c>
      <c r="H1482" s="3">
        <v>61.944091716082518</v>
      </c>
      <c r="I1482" s="3">
        <f>ProductLine[[#This Row],[Units]]*ProductLine[[#This Row],[Dollars]]</f>
        <v>1238.8818343216503</v>
      </c>
    </row>
    <row r="1483" spans="1:9" x14ac:dyDescent="0.35">
      <c r="A1483">
        <v>1482</v>
      </c>
      <c r="B1483" t="s">
        <v>15</v>
      </c>
      <c r="C1483" s="2">
        <v>38804</v>
      </c>
      <c r="D1483">
        <f>YEAR(ProductLine[[#This Row],[Date]])</f>
        <v>2006</v>
      </c>
      <c r="E1483">
        <f>MONTH(ProductLine[[#This Row],[Date]])</f>
        <v>3</v>
      </c>
      <c r="F1483" t="s">
        <v>26</v>
      </c>
      <c r="G1483">
        <v>48</v>
      </c>
      <c r="H1483" s="3">
        <v>146.44223986116381</v>
      </c>
      <c r="I1483" s="3">
        <f>ProductLine[[#This Row],[Units]]*ProductLine[[#This Row],[Dollars]]</f>
        <v>7029.2275133358635</v>
      </c>
    </row>
    <row r="1484" spans="1:9" x14ac:dyDescent="0.35">
      <c r="A1484">
        <v>1483</v>
      </c>
      <c r="B1484" t="s">
        <v>9</v>
      </c>
      <c r="C1484" s="2">
        <v>38562</v>
      </c>
      <c r="D1484">
        <f>YEAR(ProductLine[[#This Row],[Date]])</f>
        <v>2005</v>
      </c>
      <c r="E1484">
        <f>MONTH(ProductLine[[#This Row],[Date]])</f>
        <v>7</v>
      </c>
      <c r="F1484" t="s">
        <v>26</v>
      </c>
      <c r="G1484">
        <v>94</v>
      </c>
      <c r="H1484" s="3">
        <v>284.30651580761617</v>
      </c>
      <c r="I1484" s="3">
        <f>ProductLine[[#This Row],[Units]]*ProductLine[[#This Row],[Dollars]]</f>
        <v>26724.812485915918</v>
      </c>
    </row>
    <row r="1485" spans="1:9" x14ac:dyDescent="0.35">
      <c r="A1485">
        <v>1484</v>
      </c>
      <c r="B1485" t="s">
        <v>9</v>
      </c>
      <c r="C1485" s="2">
        <v>38969</v>
      </c>
      <c r="D1485">
        <f>YEAR(ProductLine[[#This Row],[Date]])</f>
        <v>2006</v>
      </c>
      <c r="E1485">
        <f>MONTH(ProductLine[[#This Row],[Date]])</f>
        <v>9</v>
      </c>
      <c r="F1485" t="s">
        <v>24</v>
      </c>
      <c r="G1485">
        <v>41</v>
      </c>
      <c r="H1485" s="3">
        <v>124.88343538167078</v>
      </c>
      <c r="I1485" s="3">
        <f>ProductLine[[#This Row],[Units]]*ProductLine[[#This Row],[Dollars]]</f>
        <v>5120.2208506485022</v>
      </c>
    </row>
    <row r="1486" spans="1:9" x14ac:dyDescent="0.35">
      <c r="A1486">
        <v>1485</v>
      </c>
      <c r="B1486" t="s">
        <v>9</v>
      </c>
      <c r="C1486" s="2">
        <v>38375</v>
      </c>
      <c r="D1486">
        <f>YEAR(ProductLine[[#This Row],[Date]])</f>
        <v>2005</v>
      </c>
      <c r="E1486">
        <f>MONTH(ProductLine[[#This Row],[Date]])</f>
        <v>1</v>
      </c>
      <c r="F1486" t="s">
        <v>26</v>
      </c>
      <c r="G1486">
        <v>45</v>
      </c>
      <c r="H1486" s="3">
        <v>137.54620754134569</v>
      </c>
      <c r="I1486" s="3">
        <f>ProductLine[[#This Row],[Units]]*ProductLine[[#This Row],[Dollars]]</f>
        <v>6189.5793393605563</v>
      </c>
    </row>
    <row r="1487" spans="1:9" x14ac:dyDescent="0.35">
      <c r="A1487">
        <v>1486</v>
      </c>
      <c r="B1487" t="s">
        <v>16</v>
      </c>
      <c r="C1487" s="2">
        <v>38485</v>
      </c>
      <c r="D1487">
        <f>YEAR(ProductLine[[#This Row],[Date]])</f>
        <v>2005</v>
      </c>
      <c r="E1487">
        <f>MONTH(ProductLine[[#This Row],[Date]])</f>
        <v>5</v>
      </c>
      <c r="F1487" t="s">
        <v>23</v>
      </c>
      <c r="G1487">
        <v>69</v>
      </c>
      <c r="H1487" s="3">
        <v>208.60656085319707</v>
      </c>
      <c r="I1487" s="3">
        <f>ProductLine[[#This Row],[Units]]*ProductLine[[#This Row],[Dollars]]</f>
        <v>14393.852698870598</v>
      </c>
    </row>
    <row r="1488" spans="1:9" x14ac:dyDescent="0.35">
      <c r="A1488">
        <v>1487</v>
      </c>
      <c r="B1488" t="s">
        <v>11</v>
      </c>
      <c r="C1488" s="2">
        <v>38078</v>
      </c>
      <c r="D1488">
        <f>YEAR(ProductLine[[#This Row],[Date]])</f>
        <v>2004</v>
      </c>
      <c r="E1488">
        <f>MONTH(ProductLine[[#This Row],[Date]])</f>
        <v>4</v>
      </c>
      <c r="F1488" t="s">
        <v>27</v>
      </c>
      <c r="G1488">
        <v>48</v>
      </c>
      <c r="H1488" s="3">
        <v>146.16733998853596</v>
      </c>
      <c r="I1488" s="3">
        <f>ProductLine[[#This Row],[Units]]*ProductLine[[#This Row],[Dollars]]</f>
        <v>7016.0323194497259</v>
      </c>
    </row>
    <row r="1489" spans="1:9" x14ac:dyDescent="0.35">
      <c r="A1489">
        <v>1488</v>
      </c>
      <c r="B1489" t="s">
        <v>14</v>
      </c>
      <c r="C1489" s="2">
        <v>38375</v>
      </c>
      <c r="D1489">
        <f>YEAR(ProductLine[[#This Row],[Date]])</f>
        <v>2005</v>
      </c>
      <c r="E1489">
        <f>MONTH(ProductLine[[#This Row],[Date]])</f>
        <v>1</v>
      </c>
      <c r="F1489" t="s">
        <v>27</v>
      </c>
      <c r="G1489">
        <v>38</v>
      </c>
      <c r="H1489" s="3">
        <v>115.70319467233371</v>
      </c>
      <c r="I1489" s="3">
        <f>ProductLine[[#This Row],[Units]]*ProductLine[[#This Row],[Dollars]]</f>
        <v>4396.7213975486811</v>
      </c>
    </row>
    <row r="1490" spans="1:9" x14ac:dyDescent="0.35">
      <c r="A1490">
        <v>1489</v>
      </c>
      <c r="B1490" t="s">
        <v>9</v>
      </c>
      <c r="C1490" s="2">
        <v>38738</v>
      </c>
      <c r="D1490">
        <f>YEAR(ProductLine[[#This Row],[Date]])</f>
        <v>2006</v>
      </c>
      <c r="E1490">
        <f>MONTH(ProductLine[[#This Row],[Date]])</f>
        <v>1</v>
      </c>
      <c r="F1490" t="s">
        <v>23</v>
      </c>
      <c r="G1490">
        <v>49</v>
      </c>
      <c r="H1490" s="3">
        <v>149.11052069470631</v>
      </c>
      <c r="I1490" s="3">
        <f>ProductLine[[#This Row],[Units]]*ProductLine[[#This Row],[Dollars]]</f>
        <v>7306.4155140406092</v>
      </c>
    </row>
    <row r="1491" spans="1:9" x14ac:dyDescent="0.35">
      <c r="A1491">
        <v>1490</v>
      </c>
      <c r="B1491" t="s">
        <v>13</v>
      </c>
      <c r="C1491" s="2">
        <v>38232</v>
      </c>
      <c r="D1491">
        <f>YEAR(ProductLine[[#This Row],[Date]])</f>
        <v>2004</v>
      </c>
      <c r="E1491">
        <f>MONTH(ProductLine[[#This Row],[Date]])</f>
        <v>9</v>
      </c>
      <c r="F1491" t="s">
        <v>24</v>
      </c>
      <c r="G1491">
        <v>79</v>
      </c>
      <c r="H1491" s="3">
        <v>239.15028034352162</v>
      </c>
      <c r="I1491" s="3">
        <f>ProductLine[[#This Row],[Units]]*ProductLine[[#This Row],[Dollars]]</f>
        <v>18892.872147138209</v>
      </c>
    </row>
    <row r="1492" spans="1:9" x14ac:dyDescent="0.35">
      <c r="A1492">
        <v>1491</v>
      </c>
      <c r="B1492" t="s">
        <v>11</v>
      </c>
      <c r="C1492" s="2">
        <v>38551</v>
      </c>
      <c r="D1492">
        <f>YEAR(ProductLine[[#This Row],[Date]])</f>
        <v>2005</v>
      </c>
      <c r="E1492">
        <f>MONTH(ProductLine[[#This Row],[Date]])</f>
        <v>7</v>
      </c>
      <c r="F1492" t="s">
        <v>24</v>
      </c>
      <c r="G1492">
        <v>93</v>
      </c>
      <c r="H1492" s="3">
        <v>281.34133684394243</v>
      </c>
      <c r="I1492" s="3">
        <f>ProductLine[[#This Row],[Units]]*ProductLine[[#This Row],[Dollars]]</f>
        <v>26164.744326486645</v>
      </c>
    </row>
    <row r="1493" spans="1:9" x14ac:dyDescent="0.35">
      <c r="A1493">
        <v>1492</v>
      </c>
      <c r="B1493" t="s">
        <v>13</v>
      </c>
      <c r="C1493" s="2">
        <v>38342</v>
      </c>
      <c r="D1493">
        <f>YEAR(ProductLine[[#This Row],[Date]])</f>
        <v>2004</v>
      </c>
      <c r="E1493">
        <f>MONTH(ProductLine[[#This Row],[Date]])</f>
        <v>12</v>
      </c>
      <c r="F1493" t="s">
        <v>24</v>
      </c>
      <c r="G1493">
        <v>67</v>
      </c>
      <c r="H1493" s="3">
        <v>202.43601829550036</v>
      </c>
      <c r="I1493" s="3">
        <f>ProductLine[[#This Row],[Units]]*ProductLine[[#This Row],[Dollars]]</f>
        <v>13563.213225798525</v>
      </c>
    </row>
    <row r="1494" spans="1:9" x14ac:dyDescent="0.35">
      <c r="A1494">
        <v>1493</v>
      </c>
      <c r="B1494" t="s">
        <v>9</v>
      </c>
      <c r="C1494" s="2">
        <v>38859</v>
      </c>
      <c r="D1494">
        <f>YEAR(ProductLine[[#This Row],[Date]])</f>
        <v>2006</v>
      </c>
      <c r="E1494">
        <f>MONTH(ProductLine[[#This Row],[Date]])</f>
        <v>5</v>
      </c>
      <c r="F1494" t="s">
        <v>24</v>
      </c>
      <c r="G1494">
        <v>13</v>
      </c>
      <c r="H1494" s="3">
        <v>41.318769528122459</v>
      </c>
      <c r="I1494" s="3">
        <f>ProductLine[[#This Row],[Units]]*ProductLine[[#This Row],[Dollars]]</f>
        <v>537.14400386559191</v>
      </c>
    </row>
    <row r="1495" spans="1:9" x14ac:dyDescent="0.35">
      <c r="A1495">
        <v>1494</v>
      </c>
      <c r="B1495" t="s">
        <v>11</v>
      </c>
      <c r="C1495" s="2">
        <v>38639</v>
      </c>
      <c r="D1495">
        <f>YEAR(ProductLine[[#This Row],[Date]])</f>
        <v>2005</v>
      </c>
      <c r="E1495">
        <f>MONTH(ProductLine[[#This Row],[Date]])</f>
        <v>10</v>
      </c>
      <c r="F1495" t="s">
        <v>23</v>
      </c>
      <c r="G1495">
        <v>71</v>
      </c>
      <c r="H1495" s="3">
        <v>215.36222588622564</v>
      </c>
      <c r="I1495" s="3">
        <f>ProductLine[[#This Row],[Units]]*ProductLine[[#This Row],[Dollars]]</f>
        <v>15290.718037922021</v>
      </c>
    </row>
    <row r="1496" spans="1:9" x14ac:dyDescent="0.35">
      <c r="A1496">
        <v>1495</v>
      </c>
      <c r="B1496" t="s">
        <v>9</v>
      </c>
      <c r="C1496" s="2">
        <v>39013</v>
      </c>
      <c r="D1496">
        <f>YEAR(ProductLine[[#This Row],[Date]])</f>
        <v>2006</v>
      </c>
      <c r="E1496">
        <f>MONTH(ProductLine[[#This Row],[Date]])</f>
        <v>10</v>
      </c>
      <c r="F1496" t="s">
        <v>24</v>
      </c>
      <c r="G1496">
        <v>15</v>
      </c>
      <c r="H1496" s="3">
        <v>46.386549546936031</v>
      </c>
      <c r="I1496" s="3">
        <f>ProductLine[[#This Row],[Units]]*ProductLine[[#This Row],[Dollars]]</f>
        <v>695.79824320404043</v>
      </c>
    </row>
    <row r="1497" spans="1:9" x14ac:dyDescent="0.35">
      <c r="A1497">
        <v>1496</v>
      </c>
      <c r="B1497" t="s">
        <v>12</v>
      </c>
      <c r="C1497" s="2">
        <v>38606</v>
      </c>
      <c r="D1497">
        <f>YEAR(ProductLine[[#This Row],[Date]])</f>
        <v>2005</v>
      </c>
      <c r="E1497">
        <f>MONTH(ProductLine[[#This Row],[Date]])</f>
        <v>9</v>
      </c>
      <c r="F1497" t="s">
        <v>26</v>
      </c>
      <c r="G1497">
        <v>89</v>
      </c>
      <c r="H1497" s="3">
        <v>269.12365453676284</v>
      </c>
      <c r="I1497" s="3">
        <f>ProductLine[[#This Row],[Units]]*ProductLine[[#This Row],[Dollars]]</f>
        <v>23952.005253771895</v>
      </c>
    </row>
    <row r="1498" spans="1:9" x14ac:dyDescent="0.35">
      <c r="A1498">
        <v>1497</v>
      </c>
      <c r="B1498" t="s">
        <v>12</v>
      </c>
      <c r="C1498" s="2">
        <v>38650</v>
      </c>
      <c r="D1498">
        <f>YEAR(ProductLine[[#This Row],[Date]])</f>
        <v>2005</v>
      </c>
      <c r="E1498">
        <f>MONTH(ProductLine[[#This Row],[Date]])</f>
        <v>10</v>
      </c>
      <c r="F1498" t="s">
        <v>27</v>
      </c>
      <c r="G1498">
        <v>65</v>
      </c>
      <c r="H1498" s="3">
        <v>197.49619907968821</v>
      </c>
      <c r="I1498" s="3">
        <f>ProductLine[[#This Row],[Units]]*ProductLine[[#This Row],[Dollars]]</f>
        <v>12837.252940179733</v>
      </c>
    </row>
    <row r="1499" spans="1:9" x14ac:dyDescent="0.35">
      <c r="A1499">
        <v>1498</v>
      </c>
      <c r="B1499" t="s">
        <v>12</v>
      </c>
      <c r="C1499" s="2">
        <v>38342</v>
      </c>
      <c r="D1499">
        <f>YEAR(ProductLine[[#This Row],[Date]])</f>
        <v>2004</v>
      </c>
      <c r="E1499">
        <f>MONTH(ProductLine[[#This Row],[Date]])</f>
        <v>12</v>
      </c>
      <c r="F1499" t="s">
        <v>26</v>
      </c>
      <c r="G1499">
        <v>16</v>
      </c>
      <c r="H1499" s="3">
        <v>49.977621498939477</v>
      </c>
      <c r="I1499" s="3">
        <f>ProductLine[[#This Row],[Units]]*ProductLine[[#This Row],[Dollars]]</f>
        <v>799.64194398303164</v>
      </c>
    </row>
    <row r="1500" spans="1:9" x14ac:dyDescent="0.35">
      <c r="A1500">
        <v>1499</v>
      </c>
      <c r="B1500" t="s">
        <v>9</v>
      </c>
      <c r="C1500" s="2">
        <v>38870</v>
      </c>
      <c r="D1500">
        <f>YEAR(ProductLine[[#This Row],[Date]])</f>
        <v>2006</v>
      </c>
      <c r="E1500">
        <f>MONTH(ProductLine[[#This Row],[Date]])</f>
        <v>6</v>
      </c>
      <c r="F1500" t="s">
        <v>23</v>
      </c>
      <c r="G1500">
        <v>48</v>
      </c>
      <c r="H1500" s="3">
        <v>146.12940219412363</v>
      </c>
      <c r="I1500" s="3">
        <f>ProductLine[[#This Row],[Units]]*ProductLine[[#This Row],[Dollars]]</f>
        <v>7014.2113053179346</v>
      </c>
    </row>
    <row r="1501" spans="1:9" x14ac:dyDescent="0.35">
      <c r="A1501">
        <v>1500</v>
      </c>
      <c r="B1501" t="s">
        <v>10</v>
      </c>
      <c r="C1501" s="2">
        <v>38595</v>
      </c>
      <c r="D1501">
        <f>YEAR(ProductLine[[#This Row],[Date]])</f>
        <v>2005</v>
      </c>
      <c r="E1501">
        <f>MONTH(ProductLine[[#This Row],[Date]])</f>
        <v>8</v>
      </c>
      <c r="F1501" t="s">
        <v>26</v>
      </c>
      <c r="G1501">
        <v>78</v>
      </c>
      <c r="H1501" s="3">
        <v>235.9430418370726</v>
      </c>
      <c r="I1501" s="3">
        <f>ProductLine[[#This Row],[Units]]*ProductLine[[#This Row],[Dollars]]</f>
        <v>18403.557263291663</v>
      </c>
    </row>
    <row r="1502" spans="1:9" x14ac:dyDescent="0.35">
      <c r="A1502">
        <v>1501</v>
      </c>
      <c r="B1502" t="s">
        <v>17</v>
      </c>
      <c r="C1502" s="2">
        <v>38012</v>
      </c>
      <c r="D1502">
        <f>YEAR(ProductLine[[#This Row],[Date]])</f>
        <v>2004</v>
      </c>
      <c r="E1502">
        <f>MONTH(ProductLine[[#This Row],[Date]])</f>
        <v>1</v>
      </c>
      <c r="F1502" t="s">
        <v>23</v>
      </c>
      <c r="G1502">
        <v>5</v>
      </c>
      <c r="H1502" s="3">
        <v>17.19135783501677</v>
      </c>
      <c r="I1502" s="3">
        <f>ProductLine[[#This Row],[Units]]*ProductLine[[#This Row],[Dollars]]</f>
        <v>85.956789175083856</v>
      </c>
    </row>
    <row r="1503" spans="1:9" x14ac:dyDescent="0.35">
      <c r="A1503">
        <v>1502</v>
      </c>
      <c r="B1503" t="s">
        <v>15</v>
      </c>
      <c r="C1503" s="2">
        <v>38727</v>
      </c>
      <c r="D1503">
        <f>YEAR(ProductLine[[#This Row],[Date]])</f>
        <v>2006</v>
      </c>
      <c r="E1503">
        <f>MONTH(ProductLine[[#This Row],[Date]])</f>
        <v>1</v>
      </c>
      <c r="F1503" t="s">
        <v>23</v>
      </c>
      <c r="G1503">
        <v>33</v>
      </c>
      <c r="H1503" s="3">
        <v>101.70689339051272</v>
      </c>
      <c r="I1503" s="3">
        <f>ProductLine[[#This Row],[Units]]*ProductLine[[#This Row],[Dollars]]</f>
        <v>3356.3274818869195</v>
      </c>
    </row>
    <row r="1504" spans="1:9" x14ac:dyDescent="0.35">
      <c r="A1504">
        <v>1503</v>
      </c>
      <c r="B1504" t="s">
        <v>11</v>
      </c>
      <c r="C1504" s="2">
        <v>38804</v>
      </c>
      <c r="D1504">
        <f>YEAR(ProductLine[[#This Row],[Date]])</f>
        <v>2006</v>
      </c>
      <c r="E1504">
        <f>MONTH(ProductLine[[#This Row],[Date]])</f>
        <v>3</v>
      </c>
      <c r="F1504" t="s">
        <v>24</v>
      </c>
      <c r="G1504">
        <v>73</v>
      </c>
      <c r="H1504" s="3">
        <v>220.6254493831498</v>
      </c>
      <c r="I1504" s="3">
        <f>ProductLine[[#This Row],[Units]]*ProductLine[[#This Row],[Dollars]]</f>
        <v>16105.657804969935</v>
      </c>
    </row>
    <row r="1505" spans="1:9" x14ac:dyDescent="0.35">
      <c r="A1505">
        <v>1504</v>
      </c>
      <c r="B1505" t="s">
        <v>9</v>
      </c>
      <c r="C1505" s="2">
        <v>38188</v>
      </c>
      <c r="D1505">
        <f>YEAR(ProductLine[[#This Row],[Date]])</f>
        <v>2004</v>
      </c>
      <c r="E1505">
        <f>MONTH(ProductLine[[#This Row],[Date]])</f>
        <v>7</v>
      </c>
      <c r="F1505" t="s">
        <v>27</v>
      </c>
      <c r="G1505">
        <v>93</v>
      </c>
      <c r="H1505" s="3">
        <v>280.86225864864616</v>
      </c>
      <c r="I1505" s="3">
        <f>ProductLine[[#This Row],[Units]]*ProductLine[[#This Row],[Dollars]]</f>
        <v>26120.190054324092</v>
      </c>
    </row>
    <row r="1506" spans="1:9" x14ac:dyDescent="0.35">
      <c r="A1506">
        <v>1505</v>
      </c>
      <c r="B1506" t="s">
        <v>9</v>
      </c>
      <c r="C1506" s="2">
        <v>38716</v>
      </c>
      <c r="D1506">
        <f>YEAR(ProductLine[[#This Row],[Date]])</f>
        <v>2005</v>
      </c>
      <c r="E1506">
        <f>MONTH(ProductLine[[#This Row],[Date]])</f>
        <v>12</v>
      </c>
      <c r="F1506" t="s">
        <v>24</v>
      </c>
      <c r="G1506">
        <v>37</v>
      </c>
      <c r="H1506" s="3">
        <v>113.24236035613511</v>
      </c>
      <c r="I1506" s="3">
        <f>ProductLine[[#This Row],[Units]]*ProductLine[[#This Row],[Dollars]]</f>
        <v>4189.9673331769991</v>
      </c>
    </row>
    <row r="1507" spans="1:9" x14ac:dyDescent="0.35">
      <c r="A1507">
        <v>1506</v>
      </c>
      <c r="B1507" t="s">
        <v>13</v>
      </c>
      <c r="C1507" s="2">
        <v>38562</v>
      </c>
      <c r="D1507">
        <f>YEAR(ProductLine[[#This Row],[Date]])</f>
        <v>2005</v>
      </c>
      <c r="E1507">
        <f>MONTH(ProductLine[[#This Row],[Date]])</f>
        <v>7</v>
      </c>
      <c r="F1507" t="s">
        <v>23</v>
      </c>
      <c r="G1507">
        <v>23</v>
      </c>
      <c r="H1507" s="3">
        <v>70.338092994751676</v>
      </c>
      <c r="I1507" s="3">
        <f>ProductLine[[#This Row],[Units]]*ProductLine[[#This Row],[Dollars]]</f>
        <v>1617.7761388792885</v>
      </c>
    </row>
    <row r="1508" spans="1:9" x14ac:dyDescent="0.35">
      <c r="A1508">
        <v>1507</v>
      </c>
      <c r="B1508" t="s">
        <v>13</v>
      </c>
      <c r="C1508" s="2">
        <v>38683</v>
      </c>
      <c r="D1508">
        <f>YEAR(ProductLine[[#This Row],[Date]])</f>
        <v>2005</v>
      </c>
      <c r="E1508">
        <f>MONTH(ProductLine[[#This Row],[Date]])</f>
        <v>11</v>
      </c>
      <c r="F1508" t="s">
        <v>23</v>
      </c>
      <c r="G1508">
        <v>-3</v>
      </c>
      <c r="H1508" s="3">
        <v>-7.2085961879253206</v>
      </c>
      <c r="I1508" s="3">
        <f>ProductLine[[#This Row],[Units]]*ProductLine[[#This Row],[Dollars]]</f>
        <v>21.625788563775963</v>
      </c>
    </row>
    <row r="1509" spans="1:9" x14ac:dyDescent="0.35">
      <c r="A1509">
        <v>1508</v>
      </c>
      <c r="B1509" t="s">
        <v>16</v>
      </c>
      <c r="C1509" s="2">
        <v>38771</v>
      </c>
      <c r="D1509">
        <f>YEAR(ProductLine[[#This Row],[Date]])</f>
        <v>2006</v>
      </c>
      <c r="E1509">
        <f>MONTH(ProductLine[[#This Row],[Date]])</f>
        <v>2</v>
      </c>
      <c r="F1509" t="s">
        <v>26</v>
      </c>
      <c r="G1509">
        <v>39</v>
      </c>
      <c r="H1509" s="3">
        <v>118.95540899877352</v>
      </c>
      <c r="I1509" s="3">
        <f>ProductLine[[#This Row],[Units]]*ProductLine[[#This Row],[Dollars]]</f>
        <v>4639.2609509521671</v>
      </c>
    </row>
    <row r="1510" spans="1:9" x14ac:dyDescent="0.35">
      <c r="A1510">
        <v>1509</v>
      </c>
      <c r="B1510" t="s">
        <v>9</v>
      </c>
      <c r="C1510" s="2">
        <v>38837</v>
      </c>
      <c r="D1510">
        <f>YEAR(ProductLine[[#This Row],[Date]])</f>
        <v>2006</v>
      </c>
      <c r="E1510">
        <f>MONTH(ProductLine[[#This Row],[Date]])</f>
        <v>4</v>
      </c>
      <c r="F1510" t="s">
        <v>26</v>
      </c>
      <c r="G1510">
        <v>83</v>
      </c>
      <c r="H1510" s="3">
        <v>251.40370686680004</v>
      </c>
      <c r="I1510" s="3">
        <f>ProductLine[[#This Row],[Units]]*ProductLine[[#This Row],[Dollars]]</f>
        <v>20866.507669944403</v>
      </c>
    </row>
    <row r="1511" spans="1:9" x14ac:dyDescent="0.35">
      <c r="A1511">
        <v>1510</v>
      </c>
      <c r="B1511" t="s">
        <v>15</v>
      </c>
      <c r="C1511" s="2">
        <v>38958</v>
      </c>
      <c r="D1511">
        <f>YEAR(ProductLine[[#This Row],[Date]])</f>
        <v>2006</v>
      </c>
      <c r="E1511">
        <f>MONTH(ProductLine[[#This Row],[Date]])</f>
        <v>8</v>
      </c>
      <c r="F1511" t="s">
        <v>24</v>
      </c>
      <c r="G1511">
        <v>65</v>
      </c>
      <c r="H1511" s="3">
        <v>197.80862125573833</v>
      </c>
      <c r="I1511" s="3">
        <f>ProductLine[[#This Row],[Units]]*ProductLine[[#This Row],[Dollars]]</f>
        <v>12857.560381622992</v>
      </c>
    </row>
    <row r="1512" spans="1:9" x14ac:dyDescent="0.35">
      <c r="A1512">
        <v>1511</v>
      </c>
      <c r="B1512" t="s">
        <v>9</v>
      </c>
      <c r="C1512" s="2">
        <v>38320</v>
      </c>
      <c r="D1512">
        <f>YEAR(ProductLine[[#This Row],[Date]])</f>
        <v>2004</v>
      </c>
      <c r="E1512">
        <f>MONTH(ProductLine[[#This Row],[Date]])</f>
        <v>11</v>
      </c>
      <c r="F1512" t="s">
        <v>23</v>
      </c>
      <c r="G1512">
        <v>13</v>
      </c>
      <c r="H1512" s="3">
        <v>41.739412502907776</v>
      </c>
      <c r="I1512" s="3">
        <f>ProductLine[[#This Row],[Units]]*ProductLine[[#This Row],[Dollars]]</f>
        <v>542.61236253780112</v>
      </c>
    </row>
    <row r="1513" spans="1:9" x14ac:dyDescent="0.35">
      <c r="A1513">
        <v>1512</v>
      </c>
      <c r="B1513" t="s">
        <v>15</v>
      </c>
      <c r="C1513" s="2">
        <v>38672</v>
      </c>
      <c r="D1513">
        <f>YEAR(ProductLine[[#This Row],[Date]])</f>
        <v>2005</v>
      </c>
      <c r="E1513">
        <f>MONTH(ProductLine[[#This Row],[Date]])</f>
        <v>11</v>
      </c>
      <c r="F1513" t="s">
        <v>24</v>
      </c>
      <c r="G1513">
        <v>9</v>
      </c>
      <c r="H1513" s="3">
        <v>28.855899545684331</v>
      </c>
      <c r="I1513" s="3">
        <f>ProductLine[[#This Row],[Units]]*ProductLine[[#This Row],[Dollars]]</f>
        <v>259.70309591115898</v>
      </c>
    </row>
    <row r="1514" spans="1:9" x14ac:dyDescent="0.35">
      <c r="A1514">
        <v>1513</v>
      </c>
      <c r="B1514" t="s">
        <v>14</v>
      </c>
      <c r="C1514" s="2">
        <v>39068</v>
      </c>
      <c r="D1514">
        <f>YEAR(ProductLine[[#This Row],[Date]])</f>
        <v>2006</v>
      </c>
      <c r="E1514">
        <f>MONTH(ProductLine[[#This Row],[Date]])</f>
        <v>12</v>
      </c>
      <c r="F1514" t="s">
        <v>26</v>
      </c>
      <c r="G1514">
        <v>-4</v>
      </c>
      <c r="H1514" s="3">
        <v>-10.353255411982897</v>
      </c>
      <c r="I1514" s="3">
        <f>ProductLine[[#This Row],[Units]]*ProductLine[[#This Row],[Dollars]]</f>
        <v>41.413021647931586</v>
      </c>
    </row>
    <row r="1515" spans="1:9" x14ac:dyDescent="0.35">
      <c r="A1515">
        <v>1514</v>
      </c>
      <c r="B1515" t="s">
        <v>11</v>
      </c>
      <c r="C1515" s="2">
        <v>38287</v>
      </c>
      <c r="D1515">
        <f>YEAR(ProductLine[[#This Row],[Date]])</f>
        <v>2004</v>
      </c>
      <c r="E1515">
        <f>MONTH(ProductLine[[#This Row],[Date]])</f>
        <v>10</v>
      </c>
      <c r="F1515" t="s">
        <v>27</v>
      </c>
      <c r="G1515">
        <v>22</v>
      </c>
      <c r="H1515" s="3">
        <v>67.745285115132006</v>
      </c>
      <c r="I1515" s="3">
        <f>ProductLine[[#This Row],[Units]]*ProductLine[[#This Row],[Dollars]]</f>
        <v>1490.396272532904</v>
      </c>
    </row>
    <row r="1516" spans="1:9" x14ac:dyDescent="0.35">
      <c r="A1516">
        <v>1515</v>
      </c>
      <c r="B1516" t="s">
        <v>10</v>
      </c>
      <c r="C1516" s="2">
        <v>38441</v>
      </c>
      <c r="D1516">
        <f>YEAR(ProductLine[[#This Row],[Date]])</f>
        <v>2005</v>
      </c>
      <c r="E1516">
        <f>MONTH(ProductLine[[#This Row],[Date]])</f>
        <v>3</v>
      </c>
      <c r="F1516" t="s">
        <v>27</v>
      </c>
      <c r="G1516">
        <v>-3</v>
      </c>
      <c r="H1516" s="3">
        <v>-6.8920180610801349</v>
      </c>
      <c r="I1516" s="3">
        <f>ProductLine[[#This Row],[Units]]*ProductLine[[#This Row],[Dollars]]</f>
        <v>20.676054183240403</v>
      </c>
    </row>
    <row r="1517" spans="1:9" x14ac:dyDescent="0.35">
      <c r="A1517">
        <v>1516</v>
      </c>
      <c r="B1517" t="s">
        <v>13</v>
      </c>
      <c r="C1517" s="2">
        <v>38199</v>
      </c>
      <c r="D1517">
        <f>YEAR(ProductLine[[#This Row],[Date]])</f>
        <v>2004</v>
      </c>
      <c r="E1517">
        <f>MONTH(ProductLine[[#This Row],[Date]])</f>
        <v>7</v>
      </c>
      <c r="F1517" t="s">
        <v>27</v>
      </c>
      <c r="G1517">
        <v>58</v>
      </c>
      <c r="H1517" s="3">
        <v>176.19804950784601</v>
      </c>
      <c r="I1517" s="3">
        <f>ProductLine[[#This Row],[Units]]*ProductLine[[#This Row],[Dollars]]</f>
        <v>10219.486871455068</v>
      </c>
    </row>
    <row r="1518" spans="1:9" x14ac:dyDescent="0.35">
      <c r="A1518">
        <v>1517</v>
      </c>
      <c r="B1518" t="s">
        <v>14</v>
      </c>
      <c r="C1518" s="2">
        <v>38221</v>
      </c>
      <c r="D1518">
        <f>YEAR(ProductLine[[#This Row],[Date]])</f>
        <v>2004</v>
      </c>
      <c r="E1518">
        <f>MONTH(ProductLine[[#This Row],[Date]])</f>
        <v>8</v>
      </c>
      <c r="F1518" t="s">
        <v>26</v>
      </c>
      <c r="G1518">
        <v>65</v>
      </c>
      <c r="H1518" s="3">
        <v>196.63911479091979</v>
      </c>
      <c r="I1518" s="3">
        <f>ProductLine[[#This Row],[Units]]*ProductLine[[#This Row],[Dollars]]</f>
        <v>12781.542461409786</v>
      </c>
    </row>
    <row r="1519" spans="1:9" x14ac:dyDescent="0.35">
      <c r="A1519">
        <v>1518</v>
      </c>
      <c r="B1519" t="s">
        <v>13</v>
      </c>
      <c r="C1519" s="2">
        <v>38166</v>
      </c>
      <c r="D1519">
        <f>YEAR(ProductLine[[#This Row],[Date]])</f>
        <v>2004</v>
      </c>
      <c r="E1519">
        <f>MONTH(ProductLine[[#This Row],[Date]])</f>
        <v>6</v>
      </c>
      <c r="F1519" t="s">
        <v>26</v>
      </c>
      <c r="G1519">
        <v>9</v>
      </c>
      <c r="H1519" s="3">
        <v>28.459065178844462</v>
      </c>
      <c r="I1519" s="3">
        <f>ProductLine[[#This Row],[Units]]*ProductLine[[#This Row],[Dollars]]</f>
        <v>256.13158660960016</v>
      </c>
    </row>
    <row r="1520" spans="1:9" x14ac:dyDescent="0.35">
      <c r="A1520">
        <v>1519</v>
      </c>
      <c r="B1520" t="s">
        <v>15</v>
      </c>
      <c r="C1520" s="2">
        <v>39013</v>
      </c>
      <c r="D1520">
        <f>YEAR(ProductLine[[#This Row],[Date]])</f>
        <v>2006</v>
      </c>
      <c r="E1520">
        <f>MONTH(ProductLine[[#This Row],[Date]])</f>
        <v>10</v>
      </c>
      <c r="F1520" t="s">
        <v>25</v>
      </c>
      <c r="G1520">
        <v>18</v>
      </c>
      <c r="H1520" s="3">
        <v>56.300241442258397</v>
      </c>
      <c r="I1520" s="3">
        <f>ProductLine[[#This Row],[Units]]*ProductLine[[#This Row],[Dollars]]</f>
        <v>1013.4043459606512</v>
      </c>
    </row>
    <row r="1521" spans="1:9" x14ac:dyDescent="0.35">
      <c r="A1521">
        <v>1520</v>
      </c>
      <c r="B1521" t="s">
        <v>10</v>
      </c>
      <c r="C1521" s="2">
        <v>38111</v>
      </c>
      <c r="D1521">
        <f>YEAR(ProductLine[[#This Row],[Date]])</f>
        <v>2004</v>
      </c>
      <c r="E1521">
        <f>MONTH(ProductLine[[#This Row],[Date]])</f>
        <v>5</v>
      </c>
      <c r="F1521" t="s">
        <v>24</v>
      </c>
      <c r="G1521">
        <v>55</v>
      </c>
      <c r="H1521" s="3">
        <v>166.7781249229084</v>
      </c>
      <c r="I1521" s="3">
        <f>ProductLine[[#This Row],[Units]]*ProductLine[[#This Row],[Dollars]]</f>
        <v>9172.796870759963</v>
      </c>
    </row>
    <row r="1522" spans="1:9" x14ac:dyDescent="0.35">
      <c r="A1522">
        <v>1521</v>
      </c>
      <c r="B1522" t="s">
        <v>14</v>
      </c>
      <c r="C1522" s="2">
        <v>38364</v>
      </c>
      <c r="D1522">
        <f>YEAR(ProductLine[[#This Row],[Date]])</f>
        <v>2005</v>
      </c>
      <c r="E1522">
        <f>MONTH(ProductLine[[#This Row],[Date]])</f>
        <v>1</v>
      </c>
      <c r="F1522" t="s">
        <v>26</v>
      </c>
      <c r="G1522">
        <v>69</v>
      </c>
      <c r="H1522" s="3">
        <v>209.56822946203218</v>
      </c>
      <c r="I1522" s="3">
        <f>ProductLine[[#This Row],[Units]]*ProductLine[[#This Row],[Dollars]]</f>
        <v>14460.20783288022</v>
      </c>
    </row>
    <row r="1523" spans="1:9" x14ac:dyDescent="0.35">
      <c r="A1523">
        <v>1522</v>
      </c>
      <c r="B1523" t="s">
        <v>12</v>
      </c>
      <c r="C1523" s="2">
        <v>38089</v>
      </c>
      <c r="D1523">
        <f>YEAR(ProductLine[[#This Row],[Date]])</f>
        <v>2004</v>
      </c>
      <c r="E1523">
        <f>MONTH(ProductLine[[#This Row],[Date]])</f>
        <v>4</v>
      </c>
      <c r="F1523" t="s">
        <v>26</v>
      </c>
      <c r="G1523">
        <v>51</v>
      </c>
      <c r="H1523" s="3">
        <v>155.55960489398822</v>
      </c>
      <c r="I1523" s="3">
        <f>ProductLine[[#This Row],[Units]]*ProductLine[[#This Row],[Dollars]]</f>
        <v>7933.5398495933996</v>
      </c>
    </row>
    <row r="1524" spans="1:9" x14ac:dyDescent="0.35">
      <c r="A1524">
        <v>1523</v>
      </c>
      <c r="B1524" t="s">
        <v>11</v>
      </c>
      <c r="C1524" s="2">
        <v>38738</v>
      </c>
      <c r="D1524">
        <f>YEAR(ProductLine[[#This Row],[Date]])</f>
        <v>2006</v>
      </c>
      <c r="E1524">
        <f>MONTH(ProductLine[[#This Row],[Date]])</f>
        <v>1</v>
      </c>
      <c r="F1524" t="s">
        <v>25</v>
      </c>
      <c r="G1524">
        <v>23</v>
      </c>
      <c r="H1524" s="3">
        <v>71.150007929550512</v>
      </c>
      <c r="I1524" s="3">
        <f>ProductLine[[#This Row],[Units]]*ProductLine[[#This Row],[Dollars]]</f>
        <v>1636.4501823796618</v>
      </c>
    </row>
    <row r="1525" spans="1:9" x14ac:dyDescent="0.35">
      <c r="A1525">
        <v>1524</v>
      </c>
      <c r="B1525" t="s">
        <v>9</v>
      </c>
      <c r="C1525" s="2">
        <v>38826</v>
      </c>
      <c r="D1525">
        <f>YEAR(ProductLine[[#This Row],[Date]])</f>
        <v>2006</v>
      </c>
      <c r="E1525">
        <f>MONTH(ProductLine[[#This Row],[Date]])</f>
        <v>4</v>
      </c>
      <c r="F1525" t="s">
        <v>23</v>
      </c>
      <c r="G1525">
        <v>38</v>
      </c>
      <c r="H1525" s="3">
        <v>115.80895982640449</v>
      </c>
      <c r="I1525" s="3">
        <f>ProductLine[[#This Row],[Units]]*ProductLine[[#This Row],[Dollars]]</f>
        <v>4400.7404734033707</v>
      </c>
    </row>
    <row r="1526" spans="1:9" x14ac:dyDescent="0.35">
      <c r="A1526">
        <v>1525</v>
      </c>
      <c r="B1526" t="s">
        <v>12</v>
      </c>
      <c r="C1526" s="2">
        <v>38320</v>
      </c>
      <c r="D1526">
        <f>YEAR(ProductLine[[#This Row],[Date]])</f>
        <v>2004</v>
      </c>
      <c r="E1526">
        <f>MONTH(ProductLine[[#This Row],[Date]])</f>
        <v>11</v>
      </c>
      <c r="F1526" t="s">
        <v>25</v>
      </c>
      <c r="G1526">
        <v>-8</v>
      </c>
      <c r="H1526" s="3">
        <v>-22.286591550898308</v>
      </c>
      <c r="I1526" s="3">
        <f>ProductLine[[#This Row],[Units]]*ProductLine[[#This Row],[Dollars]]</f>
        <v>178.29273240718646</v>
      </c>
    </row>
    <row r="1527" spans="1:9" x14ac:dyDescent="0.35">
      <c r="A1527">
        <v>1526</v>
      </c>
      <c r="B1527" t="s">
        <v>10</v>
      </c>
      <c r="C1527" s="2">
        <v>39013</v>
      </c>
      <c r="D1527">
        <f>YEAR(ProductLine[[#This Row],[Date]])</f>
        <v>2006</v>
      </c>
      <c r="E1527">
        <f>MONTH(ProductLine[[#This Row],[Date]])</f>
        <v>10</v>
      </c>
      <c r="F1527" t="s">
        <v>26</v>
      </c>
      <c r="G1527">
        <v>20</v>
      </c>
      <c r="H1527" s="3">
        <v>61.782563000840952</v>
      </c>
      <c r="I1527" s="3">
        <f>ProductLine[[#This Row],[Units]]*ProductLine[[#This Row],[Dollars]]</f>
        <v>1235.6512600168189</v>
      </c>
    </row>
    <row r="1528" spans="1:9" x14ac:dyDescent="0.35">
      <c r="A1528">
        <v>1527</v>
      </c>
      <c r="B1528" t="s">
        <v>14</v>
      </c>
      <c r="C1528" s="2">
        <v>38540</v>
      </c>
      <c r="D1528">
        <f>YEAR(ProductLine[[#This Row],[Date]])</f>
        <v>2005</v>
      </c>
      <c r="E1528">
        <f>MONTH(ProductLine[[#This Row],[Date]])</f>
        <v>7</v>
      </c>
      <c r="F1528" t="s">
        <v>23</v>
      </c>
      <c r="G1528">
        <v>25</v>
      </c>
      <c r="H1528" s="3">
        <v>76.800582511934167</v>
      </c>
      <c r="I1528" s="3">
        <f>ProductLine[[#This Row],[Units]]*ProductLine[[#This Row],[Dollars]]</f>
        <v>1920.0145627983541</v>
      </c>
    </row>
    <row r="1529" spans="1:9" x14ac:dyDescent="0.35">
      <c r="A1529">
        <v>1528</v>
      </c>
      <c r="B1529" t="s">
        <v>9</v>
      </c>
      <c r="C1529" s="2">
        <v>39013</v>
      </c>
      <c r="D1529">
        <f>YEAR(ProductLine[[#This Row],[Date]])</f>
        <v>2006</v>
      </c>
      <c r="E1529">
        <f>MONTH(ProductLine[[#This Row],[Date]])</f>
        <v>10</v>
      </c>
      <c r="F1529" t="s">
        <v>26</v>
      </c>
      <c r="G1529">
        <v>-6</v>
      </c>
      <c r="H1529" s="3">
        <v>-16.105946140968253</v>
      </c>
      <c r="I1529" s="3">
        <f>ProductLine[[#This Row],[Units]]*ProductLine[[#This Row],[Dollars]]</f>
        <v>96.635676845809513</v>
      </c>
    </row>
    <row r="1530" spans="1:9" x14ac:dyDescent="0.35">
      <c r="A1530">
        <v>1529</v>
      </c>
      <c r="B1530" t="s">
        <v>12</v>
      </c>
      <c r="C1530" s="2">
        <v>38925</v>
      </c>
      <c r="D1530">
        <f>YEAR(ProductLine[[#This Row],[Date]])</f>
        <v>2006</v>
      </c>
      <c r="E1530">
        <f>MONTH(ProductLine[[#This Row],[Date]])</f>
        <v>7</v>
      </c>
      <c r="F1530" t="s">
        <v>23</v>
      </c>
      <c r="G1530">
        <v>88</v>
      </c>
      <c r="H1530" s="3">
        <v>266.77209888218033</v>
      </c>
      <c r="I1530" s="3">
        <f>ProductLine[[#This Row],[Units]]*ProductLine[[#This Row],[Dollars]]</f>
        <v>23475.94470163187</v>
      </c>
    </row>
    <row r="1531" spans="1:9" x14ac:dyDescent="0.35">
      <c r="A1531">
        <v>1530</v>
      </c>
      <c r="B1531" t="s">
        <v>16</v>
      </c>
      <c r="C1531" s="2">
        <v>38859</v>
      </c>
      <c r="D1531">
        <f>YEAR(ProductLine[[#This Row],[Date]])</f>
        <v>2006</v>
      </c>
      <c r="E1531">
        <f>MONTH(ProductLine[[#This Row],[Date]])</f>
        <v>5</v>
      </c>
      <c r="F1531" t="s">
        <v>26</v>
      </c>
      <c r="G1531">
        <v>62</v>
      </c>
      <c r="H1531" s="3">
        <v>187.54179752226122</v>
      </c>
      <c r="I1531" s="3">
        <f>ProductLine[[#This Row],[Units]]*ProductLine[[#This Row],[Dollars]]</f>
        <v>11627.591446380196</v>
      </c>
    </row>
    <row r="1532" spans="1:9" x14ac:dyDescent="0.35">
      <c r="A1532">
        <v>1531</v>
      </c>
      <c r="B1532" t="s">
        <v>10</v>
      </c>
      <c r="C1532" s="2">
        <v>37990</v>
      </c>
      <c r="D1532">
        <f>YEAR(ProductLine[[#This Row],[Date]])</f>
        <v>2004</v>
      </c>
      <c r="E1532">
        <f>MONTH(ProductLine[[#This Row],[Date]])</f>
        <v>1</v>
      </c>
      <c r="F1532" t="s">
        <v>25</v>
      </c>
      <c r="G1532">
        <v>80</v>
      </c>
      <c r="H1532" s="3">
        <v>242.16012405865823</v>
      </c>
      <c r="I1532" s="3">
        <f>ProductLine[[#This Row],[Units]]*ProductLine[[#This Row],[Dollars]]</f>
        <v>19372.809924692658</v>
      </c>
    </row>
    <row r="1533" spans="1:9" x14ac:dyDescent="0.35">
      <c r="A1533">
        <v>1532</v>
      </c>
      <c r="B1533" t="s">
        <v>17</v>
      </c>
      <c r="C1533" s="2">
        <v>38056</v>
      </c>
      <c r="D1533">
        <f>YEAR(ProductLine[[#This Row],[Date]])</f>
        <v>2004</v>
      </c>
      <c r="E1533">
        <f>MONTH(ProductLine[[#This Row],[Date]])</f>
        <v>3</v>
      </c>
      <c r="F1533" t="s">
        <v>25</v>
      </c>
      <c r="G1533">
        <v>66</v>
      </c>
      <c r="H1533" s="3">
        <v>199.70376718058844</v>
      </c>
      <c r="I1533" s="3">
        <f>ProductLine[[#This Row],[Units]]*ProductLine[[#This Row],[Dollars]]</f>
        <v>13180.448633918837</v>
      </c>
    </row>
    <row r="1534" spans="1:9" x14ac:dyDescent="0.35">
      <c r="A1534">
        <v>1533</v>
      </c>
      <c r="B1534" t="s">
        <v>15</v>
      </c>
      <c r="C1534" s="2">
        <v>38298</v>
      </c>
      <c r="D1534">
        <f>YEAR(ProductLine[[#This Row],[Date]])</f>
        <v>2004</v>
      </c>
      <c r="E1534">
        <f>MONTH(ProductLine[[#This Row],[Date]])</f>
        <v>11</v>
      </c>
      <c r="F1534" t="s">
        <v>24</v>
      </c>
      <c r="G1534">
        <v>34</v>
      </c>
      <c r="H1534" s="3">
        <v>104.44930690558964</v>
      </c>
      <c r="I1534" s="3">
        <f>ProductLine[[#This Row],[Units]]*ProductLine[[#This Row],[Dollars]]</f>
        <v>3551.2764347900475</v>
      </c>
    </row>
    <row r="1535" spans="1:9" x14ac:dyDescent="0.35">
      <c r="A1535">
        <v>1534</v>
      </c>
      <c r="B1535" t="s">
        <v>10</v>
      </c>
      <c r="C1535" s="2">
        <v>38331</v>
      </c>
      <c r="D1535">
        <f>YEAR(ProductLine[[#This Row],[Date]])</f>
        <v>2004</v>
      </c>
      <c r="E1535">
        <f>MONTH(ProductLine[[#This Row],[Date]])</f>
        <v>12</v>
      </c>
      <c r="F1535" t="s">
        <v>26</v>
      </c>
      <c r="G1535">
        <v>49</v>
      </c>
      <c r="H1535" s="3">
        <v>149.81621502008079</v>
      </c>
      <c r="I1535" s="3">
        <f>ProductLine[[#This Row],[Units]]*ProductLine[[#This Row],[Dollars]]</f>
        <v>7340.9945359839585</v>
      </c>
    </row>
    <row r="1536" spans="1:9" x14ac:dyDescent="0.35">
      <c r="A1536">
        <v>1535</v>
      </c>
      <c r="B1536" t="s">
        <v>17</v>
      </c>
      <c r="C1536" s="2">
        <v>38188</v>
      </c>
      <c r="D1536">
        <f>YEAR(ProductLine[[#This Row],[Date]])</f>
        <v>2004</v>
      </c>
      <c r="E1536">
        <f>MONTH(ProductLine[[#This Row],[Date]])</f>
        <v>7</v>
      </c>
      <c r="F1536" t="s">
        <v>23</v>
      </c>
      <c r="G1536">
        <v>45</v>
      </c>
      <c r="H1536" s="3">
        <v>136.92331868568616</v>
      </c>
      <c r="I1536" s="3">
        <f>ProductLine[[#This Row],[Units]]*ProductLine[[#This Row],[Dollars]]</f>
        <v>6161.5493408558768</v>
      </c>
    </row>
    <row r="1537" spans="1:9" x14ac:dyDescent="0.35">
      <c r="A1537">
        <v>1536</v>
      </c>
      <c r="B1537" t="s">
        <v>14</v>
      </c>
      <c r="C1537" s="2">
        <v>38705</v>
      </c>
      <c r="D1537">
        <f>YEAR(ProductLine[[#This Row],[Date]])</f>
        <v>2005</v>
      </c>
      <c r="E1537">
        <f>MONTH(ProductLine[[#This Row],[Date]])</f>
        <v>12</v>
      </c>
      <c r="F1537" t="s">
        <v>24</v>
      </c>
      <c r="G1537">
        <v>16</v>
      </c>
      <c r="H1537" s="3">
        <v>49.650187557976459</v>
      </c>
      <c r="I1537" s="3">
        <f>ProductLine[[#This Row],[Units]]*ProductLine[[#This Row],[Dollars]]</f>
        <v>794.40300092762334</v>
      </c>
    </row>
    <row r="1538" spans="1:9" x14ac:dyDescent="0.35">
      <c r="A1538">
        <v>1537</v>
      </c>
      <c r="B1538" t="s">
        <v>16</v>
      </c>
      <c r="C1538" s="2">
        <v>38584</v>
      </c>
      <c r="D1538">
        <f>YEAR(ProductLine[[#This Row],[Date]])</f>
        <v>2005</v>
      </c>
      <c r="E1538">
        <f>MONTH(ProductLine[[#This Row],[Date]])</f>
        <v>8</v>
      </c>
      <c r="F1538" t="s">
        <v>25</v>
      </c>
      <c r="G1538">
        <v>45</v>
      </c>
      <c r="H1538" s="3">
        <v>136.63786720901078</v>
      </c>
      <c r="I1538" s="3">
        <f>ProductLine[[#This Row],[Units]]*ProductLine[[#This Row],[Dollars]]</f>
        <v>6148.7040244054851</v>
      </c>
    </row>
    <row r="1539" spans="1:9" x14ac:dyDescent="0.35">
      <c r="A1539">
        <v>1538</v>
      </c>
      <c r="B1539" t="s">
        <v>11</v>
      </c>
      <c r="C1539" s="2">
        <v>38155</v>
      </c>
      <c r="D1539">
        <f>YEAR(ProductLine[[#This Row],[Date]])</f>
        <v>2004</v>
      </c>
      <c r="E1539">
        <f>MONTH(ProductLine[[#This Row],[Date]])</f>
        <v>6</v>
      </c>
      <c r="F1539" t="s">
        <v>26</v>
      </c>
      <c r="G1539">
        <v>1</v>
      </c>
      <c r="H1539" s="3">
        <v>5.7263479599581428</v>
      </c>
      <c r="I1539" s="3">
        <f>ProductLine[[#This Row],[Units]]*ProductLine[[#This Row],[Dollars]]</f>
        <v>5.7263479599581428</v>
      </c>
    </row>
    <row r="1540" spans="1:9" x14ac:dyDescent="0.35">
      <c r="A1540">
        <v>1539</v>
      </c>
      <c r="B1540" t="s">
        <v>17</v>
      </c>
      <c r="C1540" s="2">
        <v>38562</v>
      </c>
      <c r="D1540">
        <f>YEAR(ProductLine[[#This Row],[Date]])</f>
        <v>2005</v>
      </c>
      <c r="E1540">
        <f>MONTH(ProductLine[[#This Row],[Date]])</f>
        <v>7</v>
      </c>
      <c r="F1540" t="s">
        <v>27</v>
      </c>
      <c r="G1540">
        <v>33</v>
      </c>
      <c r="H1540" s="3">
        <v>100.97055324855179</v>
      </c>
      <c r="I1540" s="3">
        <f>ProductLine[[#This Row],[Units]]*ProductLine[[#This Row],[Dollars]]</f>
        <v>3332.0282572022093</v>
      </c>
    </row>
    <row r="1541" spans="1:9" x14ac:dyDescent="0.35">
      <c r="A1541">
        <v>1540</v>
      </c>
      <c r="B1541" t="s">
        <v>10</v>
      </c>
      <c r="C1541" s="2">
        <v>38595</v>
      </c>
      <c r="D1541">
        <f>YEAR(ProductLine[[#This Row],[Date]])</f>
        <v>2005</v>
      </c>
      <c r="E1541">
        <f>MONTH(ProductLine[[#This Row],[Date]])</f>
        <v>8</v>
      </c>
      <c r="F1541" t="s">
        <v>25</v>
      </c>
      <c r="G1541">
        <v>37</v>
      </c>
      <c r="H1541" s="3">
        <v>113.03930108234786</v>
      </c>
      <c r="I1541" s="3">
        <f>ProductLine[[#This Row],[Units]]*ProductLine[[#This Row],[Dollars]]</f>
        <v>4182.4541400468706</v>
      </c>
    </row>
    <row r="1542" spans="1:9" x14ac:dyDescent="0.35">
      <c r="A1542">
        <v>1541</v>
      </c>
      <c r="B1542" t="s">
        <v>11</v>
      </c>
      <c r="C1542" s="2">
        <v>38540</v>
      </c>
      <c r="D1542">
        <f>YEAR(ProductLine[[#This Row],[Date]])</f>
        <v>2005</v>
      </c>
      <c r="E1542">
        <f>MONTH(ProductLine[[#This Row],[Date]])</f>
        <v>7</v>
      </c>
      <c r="F1542" t="s">
        <v>26</v>
      </c>
      <c r="G1542">
        <v>46</v>
      </c>
      <c r="H1542" s="3">
        <v>139.33709070957588</v>
      </c>
      <c r="I1542" s="3">
        <f>ProductLine[[#This Row],[Units]]*ProductLine[[#This Row],[Dollars]]</f>
        <v>6409.5061726404901</v>
      </c>
    </row>
    <row r="1543" spans="1:9" x14ac:dyDescent="0.35">
      <c r="A1543">
        <v>1542</v>
      </c>
      <c r="B1543" t="s">
        <v>9</v>
      </c>
      <c r="C1543" s="2">
        <v>38023</v>
      </c>
      <c r="D1543">
        <f>YEAR(ProductLine[[#This Row],[Date]])</f>
        <v>2004</v>
      </c>
      <c r="E1543">
        <f>MONTH(ProductLine[[#This Row],[Date]])</f>
        <v>2</v>
      </c>
      <c r="F1543" t="s">
        <v>24</v>
      </c>
      <c r="G1543">
        <v>71</v>
      </c>
      <c r="H1543" s="3">
        <v>215.35016800732583</v>
      </c>
      <c r="I1543" s="3">
        <f>ProductLine[[#This Row],[Units]]*ProductLine[[#This Row],[Dollars]]</f>
        <v>15289.861928520135</v>
      </c>
    </row>
    <row r="1544" spans="1:9" x14ac:dyDescent="0.35">
      <c r="A1544">
        <v>1543</v>
      </c>
      <c r="B1544" t="s">
        <v>12</v>
      </c>
      <c r="C1544" s="2">
        <v>38320</v>
      </c>
      <c r="D1544">
        <f>YEAR(ProductLine[[#This Row],[Date]])</f>
        <v>2004</v>
      </c>
      <c r="E1544">
        <f>MONTH(ProductLine[[#This Row],[Date]])</f>
        <v>11</v>
      </c>
      <c r="F1544" t="s">
        <v>27</v>
      </c>
      <c r="G1544">
        <v>59</v>
      </c>
      <c r="H1544" s="3">
        <v>179.11705650607632</v>
      </c>
      <c r="I1544" s="3">
        <f>ProductLine[[#This Row],[Units]]*ProductLine[[#This Row],[Dollars]]</f>
        <v>10567.906333858504</v>
      </c>
    </row>
    <row r="1545" spans="1:9" x14ac:dyDescent="0.35">
      <c r="A1545">
        <v>1544</v>
      </c>
      <c r="B1545" t="s">
        <v>12</v>
      </c>
      <c r="C1545" s="2">
        <v>38463</v>
      </c>
      <c r="D1545">
        <f>YEAR(ProductLine[[#This Row],[Date]])</f>
        <v>2005</v>
      </c>
      <c r="E1545">
        <f>MONTH(ProductLine[[#This Row],[Date]])</f>
        <v>4</v>
      </c>
      <c r="F1545" t="s">
        <v>25</v>
      </c>
      <c r="G1545">
        <v>84</v>
      </c>
      <c r="H1545" s="3">
        <v>253.54108298185832</v>
      </c>
      <c r="I1545" s="3">
        <f>ProductLine[[#This Row],[Units]]*ProductLine[[#This Row],[Dollars]]</f>
        <v>21297.4509704761</v>
      </c>
    </row>
    <row r="1546" spans="1:9" x14ac:dyDescent="0.35">
      <c r="A1546">
        <v>1545</v>
      </c>
      <c r="B1546" t="s">
        <v>12</v>
      </c>
      <c r="C1546" s="2">
        <v>38892</v>
      </c>
      <c r="D1546">
        <f>YEAR(ProductLine[[#This Row],[Date]])</f>
        <v>2006</v>
      </c>
      <c r="E1546">
        <f>MONTH(ProductLine[[#This Row],[Date]])</f>
        <v>6</v>
      </c>
      <c r="F1546" t="s">
        <v>26</v>
      </c>
      <c r="G1546">
        <v>91</v>
      </c>
      <c r="H1546" s="3">
        <v>274.23356541008826</v>
      </c>
      <c r="I1546" s="3">
        <f>ProductLine[[#This Row],[Units]]*ProductLine[[#This Row],[Dollars]]</f>
        <v>24955.254452318033</v>
      </c>
    </row>
    <row r="1547" spans="1:9" x14ac:dyDescent="0.35">
      <c r="A1547">
        <v>1546</v>
      </c>
      <c r="B1547" t="s">
        <v>14</v>
      </c>
      <c r="C1547" s="2">
        <v>38056</v>
      </c>
      <c r="D1547">
        <f>YEAR(ProductLine[[#This Row],[Date]])</f>
        <v>2004</v>
      </c>
      <c r="E1547">
        <f>MONTH(ProductLine[[#This Row],[Date]])</f>
        <v>3</v>
      </c>
      <c r="F1547" t="s">
        <v>23</v>
      </c>
      <c r="G1547">
        <v>33</v>
      </c>
      <c r="H1547" s="3">
        <v>100.22871812086524</v>
      </c>
      <c r="I1547" s="3">
        <f>ProductLine[[#This Row],[Units]]*ProductLine[[#This Row],[Dollars]]</f>
        <v>3307.547697988553</v>
      </c>
    </row>
    <row r="1548" spans="1:9" x14ac:dyDescent="0.35">
      <c r="A1548">
        <v>1547</v>
      </c>
      <c r="B1548" t="s">
        <v>17</v>
      </c>
      <c r="C1548" s="2">
        <v>38342</v>
      </c>
      <c r="D1548">
        <f>YEAR(ProductLine[[#This Row],[Date]])</f>
        <v>2004</v>
      </c>
      <c r="E1548">
        <f>MONTH(ProductLine[[#This Row],[Date]])</f>
        <v>12</v>
      </c>
      <c r="F1548" t="s">
        <v>26</v>
      </c>
      <c r="G1548">
        <v>34</v>
      </c>
      <c r="H1548" s="3">
        <v>104.04142923037654</v>
      </c>
      <c r="I1548" s="3">
        <f>ProductLine[[#This Row],[Units]]*ProductLine[[#This Row],[Dollars]]</f>
        <v>3537.4085938328021</v>
      </c>
    </row>
    <row r="1549" spans="1:9" x14ac:dyDescent="0.35">
      <c r="A1549">
        <v>1548</v>
      </c>
      <c r="B1549" t="s">
        <v>12</v>
      </c>
      <c r="C1549" s="2">
        <v>39013</v>
      </c>
      <c r="D1549">
        <f>YEAR(ProductLine[[#This Row],[Date]])</f>
        <v>2006</v>
      </c>
      <c r="E1549">
        <f>MONTH(ProductLine[[#This Row],[Date]])</f>
        <v>10</v>
      </c>
      <c r="F1549" t="s">
        <v>23</v>
      </c>
      <c r="G1549">
        <v>1</v>
      </c>
      <c r="H1549" s="3">
        <v>5.3199136076983713</v>
      </c>
      <c r="I1549" s="3">
        <f>ProductLine[[#This Row],[Units]]*ProductLine[[#This Row],[Dollars]]</f>
        <v>5.3199136076983713</v>
      </c>
    </row>
    <row r="1550" spans="1:9" x14ac:dyDescent="0.35">
      <c r="A1550">
        <v>1549</v>
      </c>
      <c r="B1550" t="s">
        <v>10</v>
      </c>
      <c r="C1550" s="2">
        <v>38045</v>
      </c>
      <c r="D1550">
        <f>YEAR(ProductLine[[#This Row],[Date]])</f>
        <v>2004</v>
      </c>
      <c r="E1550">
        <f>MONTH(ProductLine[[#This Row],[Date]])</f>
        <v>2</v>
      </c>
      <c r="F1550" t="s">
        <v>26</v>
      </c>
      <c r="G1550">
        <v>42</v>
      </c>
      <c r="H1550" s="3">
        <v>128.72768952762647</v>
      </c>
      <c r="I1550" s="3">
        <f>ProductLine[[#This Row],[Units]]*ProductLine[[#This Row],[Dollars]]</f>
        <v>5406.5629601603114</v>
      </c>
    </row>
    <row r="1551" spans="1:9" x14ac:dyDescent="0.35">
      <c r="A1551">
        <v>1550</v>
      </c>
      <c r="B1551" t="s">
        <v>17</v>
      </c>
      <c r="C1551" s="2">
        <v>38705</v>
      </c>
      <c r="D1551">
        <f>YEAR(ProductLine[[#This Row],[Date]])</f>
        <v>2005</v>
      </c>
      <c r="E1551">
        <f>MONTH(ProductLine[[#This Row],[Date]])</f>
        <v>12</v>
      </c>
      <c r="F1551" t="s">
        <v>26</v>
      </c>
      <c r="G1551">
        <v>45</v>
      </c>
      <c r="H1551" s="3">
        <v>137.92982227055688</v>
      </c>
      <c r="I1551" s="3">
        <f>ProductLine[[#This Row],[Units]]*ProductLine[[#This Row],[Dollars]]</f>
        <v>6206.8420021750599</v>
      </c>
    </row>
    <row r="1552" spans="1:9" x14ac:dyDescent="0.35">
      <c r="A1552">
        <v>1551</v>
      </c>
      <c r="B1552" t="s">
        <v>15</v>
      </c>
      <c r="C1552" s="2">
        <v>38276</v>
      </c>
      <c r="D1552">
        <f>YEAR(ProductLine[[#This Row],[Date]])</f>
        <v>2004</v>
      </c>
      <c r="E1552">
        <f>MONTH(ProductLine[[#This Row],[Date]])</f>
        <v>10</v>
      </c>
      <c r="F1552" t="s">
        <v>23</v>
      </c>
      <c r="G1552">
        <v>26</v>
      </c>
      <c r="H1552" s="3">
        <v>80.031587793648399</v>
      </c>
      <c r="I1552" s="3">
        <f>ProductLine[[#This Row],[Units]]*ProductLine[[#This Row],[Dollars]]</f>
        <v>2080.8212826348586</v>
      </c>
    </row>
    <row r="1553" spans="1:9" x14ac:dyDescent="0.35">
      <c r="A1553">
        <v>1552</v>
      </c>
      <c r="B1553" t="s">
        <v>11</v>
      </c>
      <c r="C1553" s="2">
        <v>38012</v>
      </c>
      <c r="D1553">
        <f>YEAR(ProductLine[[#This Row],[Date]])</f>
        <v>2004</v>
      </c>
      <c r="E1553">
        <f>MONTH(ProductLine[[#This Row],[Date]])</f>
        <v>1</v>
      </c>
      <c r="F1553" t="s">
        <v>26</v>
      </c>
      <c r="G1553">
        <v>72</v>
      </c>
      <c r="H1553" s="3">
        <v>218.32830582807657</v>
      </c>
      <c r="I1553" s="3">
        <f>ProductLine[[#This Row],[Units]]*ProductLine[[#This Row],[Dollars]]</f>
        <v>15719.638019621512</v>
      </c>
    </row>
    <row r="1554" spans="1:9" x14ac:dyDescent="0.35">
      <c r="A1554">
        <v>1553</v>
      </c>
      <c r="B1554" t="s">
        <v>12</v>
      </c>
      <c r="C1554" s="2">
        <v>38925</v>
      </c>
      <c r="D1554">
        <f>YEAR(ProductLine[[#This Row],[Date]])</f>
        <v>2006</v>
      </c>
      <c r="E1554">
        <f>MONTH(ProductLine[[#This Row],[Date]])</f>
        <v>7</v>
      </c>
      <c r="F1554" t="s">
        <v>26</v>
      </c>
      <c r="G1554">
        <v>-5</v>
      </c>
      <c r="H1554" s="3">
        <v>-13.390709583317436</v>
      </c>
      <c r="I1554" s="3">
        <f>ProductLine[[#This Row],[Units]]*ProductLine[[#This Row],[Dollars]]</f>
        <v>66.953547916587183</v>
      </c>
    </row>
    <row r="1555" spans="1:9" x14ac:dyDescent="0.35">
      <c r="A1555">
        <v>1554</v>
      </c>
      <c r="B1555" t="s">
        <v>13</v>
      </c>
      <c r="C1555" s="2">
        <v>38067</v>
      </c>
      <c r="D1555">
        <f>YEAR(ProductLine[[#This Row],[Date]])</f>
        <v>2004</v>
      </c>
      <c r="E1555">
        <f>MONTH(ProductLine[[#This Row],[Date]])</f>
        <v>3</v>
      </c>
      <c r="F1555" t="s">
        <v>24</v>
      </c>
      <c r="G1555">
        <v>31</v>
      </c>
      <c r="H1555" s="3">
        <v>94.662914692651583</v>
      </c>
      <c r="I1555" s="3">
        <f>ProductLine[[#This Row],[Units]]*ProductLine[[#This Row],[Dollars]]</f>
        <v>2934.550355472199</v>
      </c>
    </row>
    <row r="1556" spans="1:9" x14ac:dyDescent="0.35">
      <c r="A1556">
        <v>1555</v>
      </c>
      <c r="B1556" t="s">
        <v>17</v>
      </c>
      <c r="C1556" s="2">
        <v>37990</v>
      </c>
      <c r="D1556">
        <f>YEAR(ProductLine[[#This Row],[Date]])</f>
        <v>2004</v>
      </c>
      <c r="E1556">
        <f>MONTH(ProductLine[[#This Row],[Date]])</f>
        <v>1</v>
      </c>
      <c r="F1556" t="s">
        <v>23</v>
      </c>
      <c r="G1556">
        <v>48</v>
      </c>
      <c r="H1556" s="3">
        <v>145.90859800554551</v>
      </c>
      <c r="I1556" s="3">
        <f>ProductLine[[#This Row],[Units]]*ProductLine[[#This Row],[Dollars]]</f>
        <v>7003.6127042661847</v>
      </c>
    </row>
    <row r="1557" spans="1:9" x14ac:dyDescent="0.35">
      <c r="A1557">
        <v>1556</v>
      </c>
      <c r="B1557" t="s">
        <v>13</v>
      </c>
      <c r="C1557" s="2">
        <v>39024</v>
      </c>
      <c r="D1557">
        <f>YEAR(ProductLine[[#This Row],[Date]])</f>
        <v>2006</v>
      </c>
      <c r="E1557">
        <f>MONTH(ProductLine[[#This Row],[Date]])</f>
        <v>11</v>
      </c>
      <c r="F1557" t="s">
        <v>27</v>
      </c>
      <c r="G1557">
        <v>84</v>
      </c>
      <c r="H1557" s="3">
        <v>253.59713370537463</v>
      </c>
      <c r="I1557" s="3">
        <f>ProductLine[[#This Row],[Units]]*ProductLine[[#This Row],[Dollars]]</f>
        <v>21302.159231251469</v>
      </c>
    </row>
    <row r="1558" spans="1:9" x14ac:dyDescent="0.35">
      <c r="A1558">
        <v>1557</v>
      </c>
      <c r="B1558" t="s">
        <v>12</v>
      </c>
      <c r="C1558" s="2">
        <v>38771</v>
      </c>
      <c r="D1558">
        <f>YEAR(ProductLine[[#This Row],[Date]])</f>
        <v>2006</v>
      </c>
      <c r="E1558">
        <f>MONTH(ProductLine[[#This Row],[Date]])</f>
        <v>2</v>
      </c>
      <c r="F1558" t="s">
        <v>26</v>
      </c>
      <c r="G1558">
        <v>54</v>
      </c>
      <c r="H1558" s="3">
        <v>163.89560832413773</v>
      </c>
      <c r="I1558" s="3">
        <f>ProductLine[[#This Row],[Units]]*ProductLine[[#This Row],[Dollars]]</f>
        <v>8850.3628495034372</v>
      </c>
    </row>
    <row r="1559" spans="1:9" x14ac:dyDescent="0.35">
      <c r="A1559">
        <v>1558</v>
      </c>
      <c r="B1559" t="s">
        <v>13</v>
      </c>
      <c r="C1559" s="2">
        <v>38001</v>
      </c>
      <c r="D1559">
        <f>YEAR(ProductLine[[#This Row],[Date]])</f>
        <v>2004</v>
      </c>
      <c r="E1559">
        <f>MONTH(ProductLine[[#This Row],[Date]])</f>
        <v>1</v>
      </c>
      <c r="F1559" t="s">
        <v>27</v>
      </c>
      <c r="G1559">
        <v>44</v>
      </c>
      <c r="H1559" s="3">
        <v>134.18925327531994</v>
      </c>
      <c r="I1559" s="3">
        <f>ProductLine[[#This Row],[Units]]*ProductLine[[#This Row],[Dollars]]</f>
        <v>5904.3271441140778</v>
      </c>
    </row>
    <row r="1560" spans="1:9" x14ac:dyDescent="0.35">
      <c r="A1560">
        <v>1559</v>
      </c>
      <c r="B1560" t="s">
        <v>14</v>
      </c>
      <c r="C1560" s="2">
        <v>38287</v>
      </c>
      <c r="D1560">
        <f>YEAR(ProductLine[[#This Row],[Date]])</f>
        <v>2004</v>
      </c>
      <c r="E1560">
        <f>MONTH(ProductLine[[#This Row],[Date]])</f>
        <v>10</v>
      </c>
      <c r="F1560" t="s">
        <v>23</v>
      </c>
      <c r="G1560">
        <v>40</v>
      </c>
      <c r="H1560" s="3">
        <v>122.05331563226824</v>
      </c>
      <c r="I1560" s="3">
        <f>ProductLine[[#This Row],[Units]]*ProductLine[[#This Row],[Dollars]]</f>
        <v>4882.1326252907293</v>
      </c>
    </row>
    <row r="1561" spans="1:9" x14ac:dyDescent="0.35">
      <c r="A1561">
        <v>1560</v>
      </c>
      <c r="B1561" t="s">
        <v>9</v>
      </c>
      <c r="C1561" s="2">
        <v>38595</v>
      </c>
      <c r="D1561">
        <f>YEAR(ProductLine[[#This Row],[Date]])</f>
        <v>2005</v>
      </c>
      <c r="E1561">
        <f>MONTH(ProductLine[[#This Row],[Date]])</f>
        <v>8</v>
      </c>
      <c r="F1561" t="s">
        <v>23</v>
      </c>
      <c r="G1561">
        <v>25</v>
      </c>
      <c r="H1561" s="3">
        <v>76.896265241705308</v>
      </c>
      <c r="I1561" s="3">
        <f>ProductLine[[#This Row],[Units]]*ProductLine[[#This Row],[Dollars]]</f>
        <v>1922.4066310426326</v>
      </c>
    </row>
    <row r="1562" spans="1:9" x14ac:dyDescent="0.35">
      <c r="A1562">
        <v>1561</v>
      </c>
      <c r="B1562" t="s">
        <v>15</v>
      </c>
      <c r="C1562" s="2">
        <v>38045</v>
      </c>
      <c r="D1562">
        <f>YEAR(ProductLine[[#This Row],[Date]])</f>
        <v>2004</v>
      </c>
      <c r="E1562">
        <f>MONTH(ProductLine[[#This Row],[Date]])</f>
        <v>2</v>
      </c>
      <c r="F1562" t="s">
        <v>23</v>
      </c>
      <c r="G1562">
        <v>-8</v>
      </c>
      <c r="H1562" s="3">
        <v>-21.481967764977714</v>
      </c>
      <c r="I1562" s="3">
        <f>ProductLine[[#This Row],[Units]]*ProductLine[[#This Row],[Dollars]]</f>
        <v>171.85574211982171</v>
      </c>
    </row>
    <row r="1563" spans="1:9" x14ac:dyDescent="0.35">
      <c r="A1563">
        <v>1562</v>
      </c>
      <c r="B1563" t="s">
        <v>14</v>
      </c>
      <c r="C1563" s="2">
        <v>38848</v>
      </c>
      <c r="D1563">
        <f>YEAR(ProductLine[[#This Row],[Date]])</f>
        <v>2006</v>
      </c>
      <c r="E1563">
        <f>MONTH(ProductLine[[#This Row],[Date]])</f>
        <v>5</v>
      </c>
      <c r="F1563" t="s">
        <v>26</v>
      </c>
      <c r="G1563">
        <v>59</v>
      </c>
      <c r="H1563" s="3">
        <v>178.70076770818625</v>
      </c>
      <c r="I1563" s="3">
        <f>ProductLine[[#This Row],[Units]]*ProductLine[[#This Row],[Dollars]]</f>
        <v>10543.345294782988</v>
      </c>
    </row>
    <row r="1564" spans="1:9" x14ac:dyDescent="0.35">
      <c r="A1564">
        <v>1563</v>
      </c>
      <c r="B1564" t="s">
        <v>12</v>
      </c>
      <c r="C1564" s="2">
        <v>38342</v>
      </c>
      <c r="D1564">
        <f>YEAR(ProductLine[[#This Row],[Date]])</f>
        <v>2004</v>
      </c>
      <c r="E1564">
        <f>MONTH(ProductLine[[#This Row],[Date]])</f>
        <v>12</v>
      </c>
      <c r="F1564" t="s">
        <v>26</v>
      </c>
      <c r="G1564">
        <v>59</v>
      </c>
      <c r="H1564" s="3">
        <v>179.09938274190853</v>
      </c>
      <c r="I1564" s="3">
        <f>ProductLine[[#This Row],[Units]]*ProductLine[[#This Row],[Dollars]]</f>
        <v>10566.863581772603</v>
      </c>
    </row>
    <row r="1565" spans="1:9" x14ac:dyDescent="0.35">
      <c r="A1565">
        <v>1564</v>
      </c>
      <c r="B1565" t="s">
        <v>15</v>
      </c>
      <c r="C1565" s="2">
        <v>38672</v>
      </c>
      <c r="D1565">
        <f>YEAR(ProductLine[[#This Row],[Date]])</f>
        <v>2005</v>
      </c>
      <c r="E1565">
        <f>MONTH(ProductLine[[#This Row],[Date]])</f>
        <v>11</v>
      </c>
      <c r="F1565" t="s">
        <v>24</v>
      </c>
      <c r="G1565">
        <v>34</v>
      </c>
      <c r="H1565" s="3">
        <v>103.72320973361035</v>
      </c>
      <c r="I1565" s="3">
        <f>ProductLine[[#This Row],[Units]]*ProductLine[[#This Row],[Dollars]]</f>
        <v>3526.5891309427516</v>
      </c>
    </row>
    <row r="1566" spans="1:9" x14ac:dyDescent="0.35">
      <c r="A1566">
        <v>1565</v>
      </c>
      <c r="B1566" t="s">
        <v>15</v>
      </c>
      <c r="C1566" s="2">
        <v>38320</v>
      </c>
      <c r="D1566">
        <f>YEAR(ProductLine[[#This Row],[Date]])</f>
        <v>2004</v>
      </c>
      <c r="E1566">
        <f>MONTH(ProductLine[[#This Row],[Date]])</f>
        <v>11</v>
      </c>
      <c r="F1566" t="s">
        <v>27</v>
      </c>
      <c r="G1566">
        <v>27</v>
      </c>
      <c r="H1566" s="3">
        <v>82.680755879941501</v>
      </c>
      <c r="I1566" s="3">
        <f>ProductLine[[#This Row],[Units]]*ProductLine[[#This Row],[Dollars]]</f>
        <v>2232.3804087584203</v>
      </c>
    </row>
    <row r="1567" spans="1:9" x14ac:dyDescent="0.35">
      <c r="A1567">
        <v>1566</v>
      </c>
      <c r="B1567" t="s">
        <v>17</v>
      </c>
      <c r="C1567" s="2">
        <v>39013</v>
      </c>
      <c r="D1567">
        <f>YEAR(ProductLine[[#This Row],[Date]])</f>
        <v>2006</v>
      </c>
      <c r="E1567">
        <f>MONTH(ProductLine[[#This Row],[Date]])</f>
        <v>10</v>
      </c>
      <c r="F1567" t="s">
        <v>24</v>
      </c>
      <c r="G1567">
        <v>3</v>
      </c>
      <c r="H1567" s="3">
        <v>10.695067513438698</v>
      </c>
      <c r="I1567" s="3">
        <f>ProductLine[[#This Row],[Units]]*ProductLine[[#This Row],[Dollars]]</f>
        <v>32.085202540316089</v>
      </c>
    </row>
    <row r="1568" spans="1:9" x14ac:dyDescent="0.35">
      <c r="A1568">
        <v>1567</v>
      </c>
      <c r="B1568" t="s">
        <v>10</v>
      </c>
      <c r="C1568" s="2">
        <v>38584</v>
      </c>
      <c r="D1568">
        <f>YEAR(ProductLine[[#This Row],[Date]])</f>
        <v>2005</v>
      </c>
      <c r="E1568">
        <f>MONTH(ProductLine[[#This Row],[Date]])</f>
        <v>8</v>
      </c>
      <c r="F1568" t="s">
        <v>27</v>
      </c>
      <c r="G1568">
        <v>89</v>
      </c>
      <c r="H1568" s="3">
        <v>269.11976111617605</v>
      </c>
      <c r="I1568" s="3">
        <f>ProductLine[[#This Row],[Units]]*ProductLine[[#This Row],[Dollars]]</f>
        <v>23951.658739339669</v>
      </c>
    </row>
    <row r="1569" spans="1:9" x14ac:dyDescent="0.35">
      <c r="A1569">
        <v>1568</v>
      </c>
      <c r="B1569" t="s">
        <v>10</v>
      </c>
      <c r="C1569" s="2">
        <v>38485</v>
      </c>
      <c r="D1569">
        <f>YEAR(ProductLine[[#This Row],[Date]])</f>
        <v>2005</v>
      </c>
      <c r="E1569">
        <f>MONTH(ProductLine[[#This Row],[Date]])</f>
        <v>5</v>
      </c>
      <c r="F1569" t="s">
        <v>26</v>
      </c>
      <c r="G1569">
        <v>58</v>
      </c>
      <c r="H1569" s="3">
        <v>175.98159998303569</v>
      </c>
      <c r="I1569" s="3">
        <f>ProductLine[[#This Row],[Units]]*ProductLine[[#This Row],[Dollars]]</f>
        <v>10206.932799016071</v>
      </c>
    </row>
    <row r="1570" spans="1:9" x14ac:dyDescent="0.35">
      <c r="A1570">
        <v>1569</v>
      </c>
      <c r="B1570" t="s">
        <v>17</v>
      </c>
      <c r="C1570" s="2">
        <v>38364</v>
      </c>
      <c r="D1570">
        <f>YEAR(ProductLine[[#This Row],[Date]])</f>
        <v>2005</v>
      </c>
      <c r="E1570">
        <f>MONTH(ProductLine[[#This Row],[Date]])</f>
        <v>1</v>
      </c>
      <c r="F1570" t="s">
        <v>25</v>
      </c>
      <c r="G1570">
        <v>52</v>
      </c>
      <c r="H1570" s="3">
        <v>158.04571793449091</v>
      </c>
      <c r="I1570" s="3">
        <f>ProductLine[[#This Row],[Units]]*ProductLine[[#This Row],[Dollars]]</f>
        <v>8218.3773325935272</v>
      </c>
    </row>
    <row r="1571" spans="1:9" x14ac:dyDescent="0.35">
      <c r="A1571">
        <v>1570</v>
      </c>
      <c r="B1571" t="s">
        <v>17</v>
      </c>
      <c r="C1571" s="2">
        <v>38925</v>
      </c>
      <c r="D1571">
        <f>YEAR(ProductLine[[#This Row],[Date]])</f>
        <v>2006</v>
      </c>
      <c r="E1571">
        <f>MONTH(ProductLine[[#This Row],[Date]])</f>
        <v>7</v>
      </c>
      <c r="F1571" t="s">
        <v>27</v>
      </c>
      <c r="G1571">
        <v>32</v>
      </c>
      <c r="H1571" s="3">
        <v>98.04752721295516</v>
      </c>
      <c r="I1571" s="3">
        <f>ProductLine[[#This Row],[Units]]*ProductLine[[#This Row],[Dollars]]</f>
        <v>3137.5208708145651</v>
      </c>
    </row>
    <row r="1572" spans="1:9" x14ac:dyDescent="0.35">
      <c r="A1572">
        <v>1571</v>
      </c>
      <c r="B1572" t="s">
        <v>14</v>
      </c>
      <c r="C1572" s="2">
        <v>38606</v>
      </c>
      <c r="D1572">
        <f>YEAR(ProductLine[[#This Row],[Date]])</f>
        <v>2005</v>
      </c>
      <c r="E1572">
        <f>MONTH(ProductLine[[#This Row],[Date]])</f>
        <v>9</v>
      </c>
      <c r="F1572" t="s">
        <v>27</v>
      </c>
      <c r="G1572">
        <v>3</v>
      </c>
      <c r="H1572" s="3">
        <v>10.584064694476611</v>
      </c>
      <c r="I1572" s="3">
        <f>ProductLine[[#This Row],[Units]]*ProductLine[[#This Row],[Dollars]]</f>
        <v>31.752194083429835</v>
      </c>
    </row>
    <row r="1573" spans="1:9" x14ac:dyDescent="0.35">
      <c r="A1573">
        <v>1572</v>
      </c>
      <c r="B1573" t="s">
        <v>12</v>
      </c>
      <c r="C1573" s="2">
        <v>38309</v>
      </c>
      <c r="D1573">
        <f>YEAR(ProductLine[[#This Row],[Date]])</f>
        <v>2004</v>
      </c>
      <c r="E1573">
        <f>MONTH(ProductLine[[#This Row],[Date]])</f>
        <v>11</v>
      </c>
      <c r="F1573" t="s">
        <v>26</v>
      </c>
      <c r="G1573">
        <v>45</v>
      </c>
      <c r="H1573" s="3">
        <v>137.07935411238626</v>
      </c>
      <c r="I1573" s="3">
        <f>ProductLine[[#This Row],[Units]]*ProductLine[[#This Row],[Dollars]]</f>
        <v>6168.5709350573816</v>
      </c>
    </row>
    <row r="1574" spans="1:9" x14ac:dyDescent="0.35">
      <c r="A1574">
        <v>1573</v>
      </c>
      <c r="B1574" t="s">
        <v>13</v>
      </c>
      <c r="C1574" s="2">
        <v>38320</v>
      </c>
      <c r="D1574">
        <f>YEAR(ProductLine[[#This Row],[Date]])</f>
        <v>2004</v>
      </c>
      <c r="E1574">
        <f>MONTH(ProductLine[[#This Row],[Date]])</f>
        <v>11</v>
      </c>
      <c r="F1574" t="s">
        <v>26</v>
      </c>
      <c r="G1574">
        <v>91</v>
      </c>
      <c r="H1574" s="3">
        <v>275.55805251311767</v>
      </c>
      <c r="I1574" s="3">
        <f>ProductLine[[#This Row],[Units]]*ProductLine[[#This Row],[Dollars]]</f>
        <v>25075.782778693709</v>
      </c>
    </row>
    <row r="1575" spans="1:9" x14ac:dyDescent="0.35">
      <c r="A1575">
        <v>1574</v>
      </c>
      <c r="B1575" t="s">
        <v>12</v>
      </c>
      <c r="C1575" s="2">
        <v>38760</v>
      </c>
      <c r="D1575">
        <f>YEAR(ProductLine[[#This Row],[Date]])</f>
        <v>2006</v>
      </c>
      <c r="E1575">
        <f>MONTH(ProductLine[[#This Row],[Date]])</f>
        <v>2</v>
      </c>
      <c r="F1575" t="s">
        <v>24</v>
      </c>
      <c r="G1575">
        <v>-8</v>
      </c>
      <c r="H1575" s="3">
        <v>-21.448768772248492</v>
      </c>
      <c r="I1575" s="3">
        <f>ProductLine[[#This Row],[Units]]*ProductLine[[#This Row],[Dollars]]</f>
        <v>171.59015017798794</v>
      </c>
    </row>
    <row r="1576" spans="1:9" x14ac:dyDescent="0.35">
      <c r="A1576">
        <v>1575</v>
      </c>
      <c r="B1576" t="s">
        <v>9</v>
      </c>
      <c r="C1576" s="2">
        <v>38430</v>
      </c>
      <c r="D1576">
        <f>YEAR(ProductLine[[#This Row],[Date]])</f>
        <v>2005</v>
      </c>
      <c r="E1576">
        <f>MONTH(ProductLine[[#This Row],[Date]])</f>
        <v>3</v>
      </c>
      <c r="F1576" t="s">
        <v>27</v>
      </c>
      <c r="G1576">
        <v>-7</v>
      </c>
      <c r="H1576" s="3">
        <v>-19.136046094162346</v>
      </c>
      <c r="I1576" s="3">
        <f>ProductLine[[#This Row],[Units]]*ProductLine[[#This Row],[Dollars]]</f>
        <v>133.95232265913643</v>
      </c>
    </row>
    <row r="1577" spans="1:9" x14ac:dyDescent="0.35">
      <c r="A1577">
        <v>1576</v>
      </c>
      <c r="B1577" t="s">
        <v>10</v>
      </c>
      <c r="C1577" s="2">
        <v>38661</v>
      </c>
      <c r="D1577">
        <f>YEAR(ProductLine[[#This Row],[Date]])</f>
        <v>2005</v>
      </c>
      <c r="E1577">
        <f>MONTH(ProductLine[[#This Row],[Date]])</f>
        <v>11</v>
      </c>
      <c r="F1577" t="s">
        <v>24</v>
      </c>
      <c r="G1577">
        <v>33</v>
      </c>
      <c r="H1577" s="3">
        <v>100.88649672562114</v>
      </c>
      <c r="I1577" s="3">
        <f>ProductLine[[#This Row],[Units]]*ProductLine[[#This Row],[Dollars]]</f>
        <v>3329.2543919454979</v>
      </c>
    </row>
    <row r="1578" spans="1:9" x14ac:dyDescent="0.35">
      <c r="A1578">
        <v>1577</v>
      </c>
      <c r="B1578" t="s">
        <v>13</v>
      </c>
      <c r="C1578" s="2">
        <v>38485</v>
      </c>
      <c r="D1578">
        <f>YEAR(ProductLine[[#This Row],[Date]])</f>
        <v>2005</v>
      </c>
      <c r="E1578">
        <f>MONTH(ProductLine[[#This Row],[Date]])</f>
        <v>5</v>
      </c>
      <c r="F1578" t="s">
        <v>23</v>
      </c>
      <c r="G1578">
        <v>-7</v>
      </c>
      <c r="H1578" s="3">
        <v>-18.807164790570987</v>
      </c>
      <c r="I1578" s="3">
        <f>ProductLine[[#This Row],[Units]]*ProductLine[[#This Row],[Dollars]]</f>
        <v>131.6501535339969</v>
      </c>
    </row>
    <row r="1579" spans="1:9" x14ac:dyDescent="0.35">
      <c r="A1579">
        <v>1578</v>
      </c>
      <c r="B1579" t="s">
        <v>13</v>
      </c>
      <c r="C1579" s="2">
        <v>39002</v>
      </c>
      <c r="D1579">
        <f>YEAR(ProductLine[[#This Row],[Date]])</f>
        <v>2006</v>
      </c>
      <c r="E1579">
        <f>MONTH(ProductLine[[#This Row],[Date]])</f>
        <v>10</v>
      </c>
      <c r="F1579" t="s">
        <v>24</v>
      </c>
      <c r="G1579">
        <v>82</v>
      </c>
      <c r="H1579" s="3">
        <v>248.42543228494586</v>
      </c>
      <c r="I1579" s="3">
        <f>ProductLine[[#This Row],[Units]]*ProductLine[[#This Row],[Dollars]]</f>
        <v>20370.885447365559</v>
      </c>
    </row>
    <row r="1580" spans="1:9" x14ac:dyDescent="0.35">
      <c r="A1580">
        <v>1579</v>
      </c>
      <c r="B1580" t="s">
        <v>11</v>
      </c>
      <c r="C1580" s="2">
        <v>38144</v>
      </c>
      <c r="D1580">
        <f>YEAR(ProductLine[[#This Row],[Date]])</f>
        <v>2004</v>
      </c>
      <c r="E1580">
        <f>MONTH(ProductLine[[#This Row],[Date]])</f>
        <v>6</v>
      </c>
      <c r="F1580" t="s">
        <v>26</v>
      </c>
      <c r="G1580">
        <v>87</v>
      </c>
      <c r="H1580" s="3">
        <v>262.84645942190497</v>
      </c>
      <c r="I1580" s="3">
        <f>ProductLine[[#This Row],[Units]]*ProductLine[[#This Row],[Dollars]]</f>
        <v>22867.641969705732</v>
      </c>
    </row>
    <row r="1581" spans="1:9" x14ac:dyDescent="0.35">
      <c r="A1581">
        <v>1580</v>
      </c>
      <c r="B1581" t="s">
        <v>17</v>
      </c>
      <c r="C1581" s="2">
        <v>38397</v>
      </c>
      <c r="D1581">
        <f>YEAR(ProductLine[[#This Row],[Date]])</f>
        <v>2005</v>
      </c>
      <c r="E1581">
        <f>MONTH(ProductLine[[#This Row],[Date]])</f>
        <v>2</v>
      </c>
      <c r="F1581" t="s">
        <v>27</v>
      </c>
      <c r="G1581">
        <v>93</v>
      </c>
      <c r="H1581" s="3">
        <v>281.52944446781271</v>
      </c>
      <c r="I1581" s="3">
        <f>ProductLine[[#This Row],[Units]]*ProductLine[[#This Row],[Dollars]]</f>
        <v>26182.238335506583</v>
      </c>
    </row>
    <row r="1582" spans="1:9" x14ac:dyDescent="0.35">
      <c r="A1582">
        <v>1581</v>
      </c>
      <c r="B1582" t="s">
        <v>14</v>
      </c>
      <c r="C1582" s="2">
        <v>38639</v>
      </c>
      <c r="D1582">
        <f>YEAR(ProductLine[[#This Row],[Date]])</f>
        <v>2005</v>
      </c>
      <c r="E1582">
        <f>MONTH(ProductLine[[#This Row],[Date]])</f>
        <v>10</v>
      </c>
      <c r="F1582" t="s">
        <v>24</v>
      </c>
      <c r="G1582">
        <v>72</v>
      </c>
      <c r="H1582" s="3">
        <v>218.16905589645697</v>
      </c>
      <c r="I1582" s="3">
        <f>ProductLine[[#This Row],[Units]]*ProductLine[[#This Row],[Dollars]]</f>
        <v>15708.172024544901</v>
      </c>
    </row>
    <row r="1583" spans="1:9" x14ac:dyDescent="0.35">
      <c r="A1583">
        <v>1582</v>
      </c>
      <c r="B1583" t="s">
        <v>16</v>
      </c>
      <c r="C1583" s="2">
        <v>38276</v>
      </c>
      <c r="D1583">
        <f>YEAR(ProductLine[[#This Row],[Date]])</f>
        <v>2004</v>
      </c>
      <c r="E1583">
        <f>MONTH(ProductLine[[#This Row],[Date]])</f>
        <v>10</v>
      </c>
      <c r="F1583" t="s">
        <v>27</v>
      </c>
      <c r="G1583">
        <v>11</v>
      </c>
      <c r="H1583" s="3">
        <v>35.116221937392133</v>
      </c>
      <c r="I1583" s="3">
        <f>ProductLine[[#This Row],[Units]]*ProductLine[[#This Row],[Dollars]]</f>
        <v>386.27844131131349</v>
      </c>
    </row>
    <row r="1584" spans="1:9" x14ac:dyDescent="0.35">
      <c r="A1584">
        <v>1583</v>
      </c>
      <c r="B1584" t="s">
        <v>13</v>
      </c>
      <c r="C1584" s="2">
        <v>38914</v>
      </c>
      <c r="D1584">
        <f>YEAR(ProductLine[[#This Row],[Date]])</f>
        <v>2006</v>
      </c>
      <c r="E1584">
        <f>MONTH(ProductLine[[#This Row],[Date]])</f>
        <v>7</v>
      </c>
      <c r="F1584" t="s">
        <v>23</v>
      </c>
      <c r="G1584">
        <v>18</v>
      </c>
      <c r="H1584" s="3">
        <v>55.780124801169777</v>
      </c>
      <c r="I1584" s="3">
        <f>ProductLine[[#This Row],[Units]]*ProductLine[[#This Row],[Dollars]]</f>
        <v>1004.042246421056</v>
      </c>
    </row>
    <row r="1585" spans="1:9" x14ac:dyDescent="0.35">
      <c r="A1585">
        <v>1584</v>
      </c>
      <c r="B1585" t="s">
        <v>9</v>
      </c>
      <c r="C1585" s="2">
        <v>38947</v>
      </c>
      <c r="D1585">
        <f>YEAR(ProductLine[[#This Row],[Date]])</f>
        <v>2006</v>
      </c>
      <c r="E1585">
        <f>MONTH(ProductLine[[#This Row],[Date]])</f>
        <v>8</v>
      </c>
      <c r="F1585" t="s">
        <v>24</v>
      </c>
      <c r="G1585">
        <v>93</v>
      </c>
      <c r="H1585" s="3">
        <v>281.25885991416516</v>
      </c>
      <c r="I1585" s="3">
        <f>ProductLine[[#This Row],[Units]]*ProductLine[[#This Row],[Dollars]]</f>
        <v>26157.073972017359</v>
      </c>
    </row>
    <row r="1586" spans="1:9" x14ac:dyDescent="0.35">
      <c r="A1586">
        <v>1585</v>
      </c>
      <c r="B1586" t="s">
        <v>10</v>
      </c>
      <c r="C1586" s="2">
        <v>38584</v>
      </c>
      <c r="D1586">
        <f>YEAR(ProductLine[[#This Row],[Date]])</f>
        <v>2005</v>
      </c>
      <c r="E1586">
        <f>MONTH(ProductLine[[#This Row],[Date]])</f>
        <v>8</v>
      </c>
      <c r="F1586" t="s">
        <v>24</v>
      </c>
      <c r="G1586">
        <v>56</v>
      </c>
      <c r="H1586" s="3">
        <v>170.42559015332697</v>
      </c>
      <c r="I1586" s="3">
        <f>ProductLine[[#This Row],[Units]]*ProductLine[[#This Row],[Dollars]]</f>
        <v>9543.8330485863098</v>
      </c>
    </row>
    <row r="1587" spans="1:9" x14ac:dyDescent="0.35">
      <c r="A1587">
        <v>1586</v>
      </c>
      <c r="B1587" t="s">
        <v>11</v>
      </c>
      <c r="C1587" s="2">
        <v>38254</v>
      </c>
      <c r="D1587">
        <f>YEAR(ProductLine[[#This Row],[Date]])</f>
        <v>2004</v>
      </c>
      <c r="E1587">
        <f>MONTH(ProductLine[[#This Row],[Date]])</f>
        <v>9</v>
      </c>
      <c r="F1587" t="s">
        <v>23</v>
      </c>
      <c r="G1587">
        <v>66</v>
      </c>
      <c r="H1587" s="3">
        <v>199.70274563442874</v>
      </c>
      <c r="I1587" s="3">
        <f>ProductLine[[#This Row],[Units]]*ProductLine[[#This Row],[Dollars]]</f>
        <v>13180.381211872296</v>
      </c>
    </row>
    <row r="1588" spans="1:9" x14ac:dyDescent="0.35">
      <c r="A1588">
        <v>1587</v>
      </c>
      <c r="B1588" t="s">
        <v>11</v>
      </c>
      <c r="C1588" s="2">
        <v>38364</v>
      </c>
      <c r="D1588">
        <f>YEAR(ProductLine[[#This Row],[Date]])</f>
        <v>2005</v>
      </c>
      <c r="E1588">
        <f>MONTH(ProductLine[[#This Row],[Date]])</f>
        <v>1</v>
      </c>
      <c r="F1588" t="s">
        <v>23</v>
      </c>
      <c r="G1588">
        <v>95</v>
      </c>
      <c r="H1588" s="3">
        <v>286.75530123408925</v>
      </c>
      <c r="I1588" s="3">
        <f>ProductLine[[#This Row],[Units]]*ProductLine[[#This Row],[Dollars]]</f>
        <v>27241.753617238479</v>
      </c>
    </row>
    <row r="1589" spans="1:9" x14ac:dyDescent="0.35">
      <c r="A1589">
        <v>1588</v>
      </c>
      <c r="B1589" t="s">
        <v>12</v>
      </c>
      <c r="C1589" s="2">
        <v>38540</v>
      </c>
      <c r="D1589">
        <f>YEAR(ProductLine[[#This Row],[Date]])</f>
        <v>2005</v>
      </c>
      <c r="E1589">
        <f>MONTH(ProductLine[[#This Row],[Date]])</f>
        <v>7</v>
      </c>
      <c r="F1589" t="s">
        <v>27</v>
      </c>
      <c r="G1589">
        <v>61</v>
      </c>
      <c r="H1589" s="3">
        <v>184.83908498989172</v>
      </c>
      <c r="I1589" s="3">
        <f>ProductLine[[#This Row],[Units]]*ProductLine[[#This Row],[Dollars]]</f>
        <v>11275.184184383395</v>
      </c>
    </row>
    <row r="1590" spans="1:9" x14ac:dyDescent="0.35">
      <c r="A1590">
        <v>1589</v>
      </c>
      <c r="B1590" t="s">
        <v>13</v>
      </c>
      <c r="C1590" s="2">
        <v>38914</v>
      </c>
      <c r="D1590">
        <f>YEAR(ProductLine[[#This Row],[Date]])</f>
        <v>2006</v>
      </c>
      <c r="E1590">
        <f>MONTH(ProductLine[[#This Row],[Date]])</f>
        <v>7</v>
      </c>
      <c r="F1590" t="s">
        <v>23</v>
      </c>
      <c r="G1590">
        <v>26</v>
      </c>
      <c r="H1590" s="3">
        <v>79.322466776997217</v>
      </c>
      <c r="I1590" s="3">
        <f>ProductLine[[#This Row],[Units]]*ProductLine[[#This Row],[Dollars]]</f>
        <v>2062.3841362019275</v>
      </c>
    </row>
    <row r="1591" spans="1:9" x14ac:dyDescent="0.35">
      <c r="A1591">
        <v>1590</v>
      </c>
      <c r="B1591" t="s">
        <v>15</v>
      </c>
      <c r="C1591" s="2">
        <v>38694</v>
      </c>
      <c r="D1591">
        <f>YEAR(ProductLine[[#This Row],[Date]])</f>
        <v>2005</v>
      </c>
      <c r="E1591">
        <f>MONTH(ProductLine[[#This Row],[Date]])</f>
        <v>12</v>
      </c>
      <c r="F1591" t="s">
        <v>27</v>
      </c>
      <c r="G1591">
        <v>29</v>
      </c>
      <c r="H1591" s="3">
        <v>89.116436100256237</v>
      </c>
      <c r="I1591" s="3">
        <f>ProductLine[[#This Row],[Units]]*ProductLine[[#This Row],[Dollars]]</f>
        <v>2584.3766469074308</v>
      </c>
    </row>
    <row r="1592" spans="1:9" x14ac:dyDescent="0.35">
      <c r="A1592">
        <v>1591</v>
      </c>
      <c r="B1592" t="s">
        <v>15</v>
      </c>
      <c r="C1592" s="2">
        <v>38397</v>
      </c>
      <c r="D1592">
        <f>YEAR(ProductLine[[#This Row],[Date]])</f>
        <v>2005</v>
      </c>
      <c r="E1592">
        <f>MONTH(ProductLine[[#This Row],[Date]])</f>
        <v>2</v>
      </c>
      <c r="F1592" t="s">
        <v>23</v>
      </c>
      <c r="G1592">
        <v>61</v>
      </c>
      <c r="H1592" s="3">
        <v>184.79269376899887</v>
      </c>
      <c r="I1592" s="3">
        <f>ProductLine[[#This Row],[Units]]*ProductLine[[#This Row],[Dollars]]</f>
        <v>11272.354319908931</v>
      </c>
    </row>
    <row r="1593" spans="1:9" x14ac:dyDescent="0.35">
      <c r="A1593">
        <v>1592</v>
      </c>
      <c r="B1593" t="s">
        <v>10</v>
      </c>
      <c r="C1593" s="2">
        <v>38881</v>
      </c>
      <c r="D1593">
        <f>YEAR(ProductLine[[#This Row],[Date]])</f>
        <v>2006</v>
      </c>
      <c r="E1593">
        <f>MONTH(ProductLine[[#This Row],[Date]])</f>
        <v>6</v>
      </c>
      <c r="F1593" t="s">
        <v>27</v>
      </c>
      <c r="G1593">
        <v>-3</v>
      </c>
      <c r="H1593" s="3">
        <v>-7.0063461933355882</v>
      </c>
      <c r="I1593" s="3">
        <f>ProductLine[[#This Row],[Units]]*ProductLine[[#This Row],[Dollars]]</f>
        <v>21.019038580006765</v>
      </c>
    </row>
    <row r="1594" spans="1:9" x14ac:dyDescent="0.35">
      <c r="A1594">
        <v>1593</v>
      </c>
      <c r="B1594" t="s">
        <v>17</v>
      </c>
      <c r="C1594" s="2">
        <v>38727</v>
      </c>
      <c r="D1594">
        <f>YEAR(ProductLine[[#This Row],[Date]])</f>
        <v>2006</v>
      </c>
      <c r="E1594">
        <f>MONTH(ProductLine[[#This Row],[Date]])</f>
        <v>1</v>
      </c>
      <c r="F1594" t="s">
        <v>24</v>
      </c>
      <c r="G1594">
        <v>40</v>
      </c>
      <c r="H1594" s="3">
        <v>122.05274122201725</v>
      </c>
      <c r="I1594" s="3">
        <f>ProductLine[[#This Row],[Units]]*ProductLine[[#This Row],[Dollars]]</f>
        <v>4882.1096488806897</v>
      </c>
    </row>
    <row r="1595" spans="1:9" x14ac:dyDescent="0.35">
      <c r="A1595">
        <v>1594</v>
      </c>
      <c r="B1595" t="s">
        <v>10</v>
      </c>
      <c r="C1595" s="2">
        <v>38914</v>
      </c>
      <c r="D1595">
        <f>YEAR(ProductLine[[#This Row],[Date]])</f>
        <v>2006</v>
      </c>
      <c r="E1595">
        <f>MONTH(ProductLine[[#This Row],[Date]])</f>
        <v>7</v>
      </c>
      <c r="F1595" t="s">
        <v>24</v>
      </c>
      <c r="G1595">
        <v>86</v>
      </c>
      <c r="H1595" s="3">
        <v>260.36699971588303</v>
      </c>
      <c r="I1595" s="3">
        <f>ProductLine[[#This Row],[Units]]*ProductLine[[#This Row],[Dollars]]</f>
        <v>22391.561975565939</v>
      </c>
    </row>
    <row r="1596" spans="1:9" x14ac:dyDescent="0.35">
      <c r="A1596">
        <v>1595</v>
      </c>
      <c r="B1596" t="s">
        <v>17</v>
      </c>
      <c r="C1596" s="2">
        <v>38507</v>
      </c>
      <c r="D1596">
        <f>YEAR(ProductLine[[#This Row],[Date]])</f>
        <v>2005</v>
      </c>
      <c r="E1596">
        <f>MONTH(ProductLine[[#This Row],[Date]])</f>
        <v>6</v>
      </c>
      <c r="F1596" t="s">
        <v>25</v>
      </c>
      <c r="G1596">
        <v>58</v>
      </c>
      <c r="H1596" s="3">
        <v>176.57900116326704</v>
      </c>
      <c r="I1596" s="3">
        <f>ProductLine[[#This Row],[Units]]*ProductLine[[#This Row],[Dollars]]</f>
        <v>10241.582067469488</v>
      </c>
    </row>
    <row r="1597" spans="1:9" x14ac:dyDescent="0.35">
      <c r="A1597">
        <v>1596</v>
      </c>
      <c r="B1597" t="s">
        <v>10</v>
      </c>
      <c r="C1597" s="2">
        <v>38397</v>
      </c>
      <c r="D1597">
        <f>YEAR(ProductLine[[#This Row],[Date]])</f>
        <v>2005</v>
      </c>
      <c r="E1597">
        <f>MONTH(ProductLine[[#This Row],[Date]])</f>
        <v>2</v>
      </c>
      <c r="F1597" t="s">
        <v>26</v>
      </c>
      <c r="G1597">
        <v>13</v>
      </c>
      <c r="H1597" s="3">
        <v>41.15897784518318</v>
      </c>
      <c r="I1597" s="3">
        <f>ProductLine[[#This Row],[Units]]*ProductLine[[#This Row],[Dollars]]</f>
        <v>535.06671198738138</v>
      </c>
    </row>
    <row r="1598" spans="1:9" x14ac:dyDescent="0.35">
      <c r="A1598">
        <v>1597</v>
      </c>
      <c r="B1598" t="s">
        <v>17</v>
      </c>
      <c r="C1598" s="2">
        <v>39079</v>
      </c>
      <c r="D1598">
        <f>YEAR(ProductLine[[#This Row],[Date]])</f>
        <v>2006</v>
      </c>
      <c r="E1598">
        <f>MONTH(ProductLine[[#This Row],[Date]])</f>
        <v>12</v>
      </c>
      <c r="F1598" t="s">
        <v>26</v>
      </c>
      <c r="G1598">
        <v>14</v>
      </c>
      <c r="H1598" s="3">
        <v>44.433583210085722</v>
      </c>
      <c r="I1598" s="3">
        <f>ProductLine[[#This Row],[Units]]*ProductLine[[#This Row],[Dollars]]</f>
        <v>622.07016494120012</v>
      </c>
    </row>
    <row r="1599" spans="1:9" x14ac:dyDescent="0.35">
      <c r="A1599">
        <v>1598</v>
      </c>
      <c r="B1599" t="s">
        <v>15</v>
      </c>
      <c r="C1599" s="2">
        <v>38463</v>
      </c>
      <c r="D1599">
        <f>YEAR(ProductLine[[#This Row],[Date]])</f>
        <v>2005</v>
      </c>
      <c r="E1599">
        <f>MONTH(ProductLine[[#This Row],[Date]])</f>
        <v>4</v>
      </c>
      <c r="F1599" t="s">
        <v>27</v>
      </c>
      <c r="G1599">
        <v>85</v>
      </c>
      <c r="H1599" s="3">
        <v>256.67637583501136</v>
      </c>
      <c r="I1599" s="3">
        <f>ProductLine[[#This Row],[Units]]*ProductLine[[#This Row],[Dollars]]</f>
        <v>21817.491945975966</v>
      </c>
    </row>
    <row r="1600" spans="1:9" x14ac:dyDescent="0.35">
      <c r="A1600">
        <v>1599</v>
      </c>
      <c r="B1600" t="s">
        <v>14</v>
      </c>
      <c r="C1600" s="2">
        <v>38749</v>
      </c>
      <c r="D1600">
        <f>YEAR(ProductLine[[#This Row],[Date]])</f>
        <v>2006</v>
      </c>
      <c r="E1600">
        <f>MONTH(ProductLine[[#This Row],[Date]])</f>
        <v>2</v>
      </c>
      <c r="F1600" t="s">
        <v>23</v>
      </c>
      <c r="G1600">
        <v>42</v>
      </c>
      <c r="H1600" s="3">
        <v>127.6000829370011</v>
      </c>
      <c r="I1600" s="3">
        <f>ProductLine[[#This Row],[Units]]*ProductLine[[#This Row],[Dollars]]</f>
        <v>5359.2034833540465</v>
      </c>
    </row>
    <row r="1601" spans="1:9" x14ac:dyDescent="0.35">
      <c r="A1601">
        <v>1600</v>
      </c>
      <c r="B1601" t="s">
        <v>17</v>
      </c>
      <c r="C1601" s="2">
        <v>39035</v>
      </c>
      <c r="D1601">
        <f>YEAR(ProductLine[[#This Row],[Date]])</f>
        <v>2006</v>
      </c>
      <c r="E1601">
        <f>MONTH(ProductLine[[#This Row],[Date]])</f>
        <v>11</v>
      </c>
      <c r="F1601" t="s">
        <v>25</v>
      </c>
      <c r="G1601">
        <v>11</v>
      </c>
      <c r="H1601" s="3">
        <v>35.427503831280553</v>
      </c>
      <c r="I1601" s="3">
        <f>ProductLine[[#This Row],[Units]]*ProductLine[[#This Row],[Dollars]]</f>
        <v>389.70254214408607</v>
      </c>
    </row>
    <row r="1602" spans="1:9" x14ac:dyDescent="0.35">
      <c r="A1602">
        <v>1601</v>
      </c>
      <c r="B1602" t="s">
        <v>16</v>
      </c>
      <c r="C1602" s="2">
        <v>38012</v>
      </c>
      <c r="D1602">
        <f>YEAR(ProductLine[[#This Row],[Date]])</f>
        <v>2004</v>
      </c>
      <c r="E1602">
        <f>MONTH(ProductLine[[#This Row],[Date]])</f>
        <v>1</v>
      </c>
      <c r="F1602" t="s">
        <v>23</v>
      </c>
      <c r="G1602">
        <v>32</v>
      </c>
      <c r="H1602" s="3">
        <v>98.405028744773347</v>
      </c>
      <c r="I1602" s="3">
        <f>ProductLine[[#This Row],[Units]]*ProductLine[[#This Row],[Dollars]]</f>
        <v>3148.9609198327471</v>
      </c>
    </row>
    <row r="1603" spans="1:9" x14ac:dyDescent="0.35">
      <c r="A1603">
        <v>1602</v>
      </c>
      <c r="B1603" t="s">
        <v>10</v>
      </c>
      <c r="C1603" s="2">
        <v>38375</v>
      </c>
      <c r="D1603">
        <f>YEAR(ProductLine[[#This Row],[Date]])</f>
        <v>2005</v>
      </c>
      <c r="E1603">
        <f>MONTH(ProductLine[[#This Row],[Date]])</f>
        <v>1</v>
      </c>
      <c r="F1603" t="s">
        <v>23</v>
      </c>
      <c r="G1603">
        <v>79</v>
      </c>
      <c r="H1603" s="3">
        <v>239.26463824341167</v>
      </c>
      <c r="I1603" s="3">
        <f>ProductLine[[#This Row],[Units]]*ProductLine[[#This Row],[Dollars]]</f>
        <v>18901.906421229523</v>
      </c>
    </row>
    <row r="1604" spans="1:9" x14ac:dyDescent="0.35">
      <c r="A1604">
        <v>1603</v>
      </c>
      <c r="B1604" t="s">
        <v>15</v>
      </c>
      <c r="C1604" s="2">
        <v>38155</v>
      </c>
      <c r="D1604">
        <f>YEAR(ProductLine[[#This Row],[Date]])</f>
        <v>2004</v>
      </c>
      <c r="E1604">
        <f>MONTH(ProductLine[[#This Row],[Date]])</f>
        <v>6</v>
      </c>
      <c r="F1604" t="s">
        <v>23</v>
      </c>
      <c r="G1604">
        <v>25</v>
      </c>
      <c r="H1604" s="3">
        <v>77.046747006624841</v>
      </c>
      <c r="I1604" s="3">
        <f>ProductLine[[#This Row],[Units]]*ProductLine[[#This Row],[Dollars]]</f>
        <v>1926.1686751656209</v>
      </c>
    </row>
    <row r="1605" spans="1:9" x14ac:dyDescent="0.35">
      <c r="A1605">
        <v>1604</v>
      </c>
      <c r="B1605" t="s">
        <v>14</v>
      </c>
      <c r="C1605" s="2">
        <v>38683</v>
      </c>
      <c r="D1605">
        <f>YEAR(ProductLine[[#This Row],[Date]])</f>
        <v>2005</v>
      </c>
      <c r="E1605">
        <f>MONTH(ProductLine[[#This Row],[Date]])</f>
        <v>11</v>
      </c>
      <c r="F1605" t="s">
        <v>24</v>
      </c>
      <c r="G1605">
        <v>94</v>
      </c>
      <c r="H1605" s="3">
        <v>284.06034486899824</v>
      </c>
      <c r="I1605" s="3">
        <f>ProductLine[[#This Row],[Units]]*ProductLine[[#This Row],[Dollars]]</f>
        <v>26701.672417685833</v>
      </c>
    </row>
    <row r="1606" spans="1:9" x14ac:dyDescent="0.35">
      <c r="A1606">
        <v>1605</v>
      </c>
      <c r="B1606" t="s">
        <v>13</v>
      </c>
      <c r="C1606" s="2">
        <v>39035</v>
      </c>
      <c r="D1606">
        <f>YEAR(ProductLine[[#This Row],[Date]])</f>
        <v>2006</v>
      </c>
      <c r="E1606">
        <f>MONTH(ProductLine[[#This Row],[Date]])</f>
        <v>11</v>
      </c>
      <c r="F1606" t="s">
        <v>26</v>
      </c>
      <c r="G1606">
        <v>6</v>
      </c>
      <c r="H1606" s="3">
        <v>20.057205766736782</v>
      </c>
      <c r="I1606" s="3">
        <f>ProductLine[[#This Row],[Units]]*ProductLine[[#This Row],[Dollars]]</f>
        <v>120.34323460042069</v>
      </c>
    </row>
    <row r="1607" spans="1:9" x14ac:dyDescent="0.35">
      <c r="A1607">
        <v>1606</v>
      </c>
      <c r="B1607" t="s">
        <v>12</v>
      </c>
      <c r="C1607" s="2">
        <v>38518</v>
      </c>
      <c r="D1607">
        <f>YEAR(ProductLine[[#This Row],[Date]])</f>
        <v>2005</v>
      </c>
      <c r="E1607">
        <f>MONTH(ProductLine[[#This Row],[Date]])</f>
        <v>6</v>
      </c>
      <c r="F1607" t="s">
        <v>25</v>
      </c>
      <c r="G1607">
        <v>15</v>
      </c>
      <c r="H1607" s="3">
        <v>46.567063375670365</v>
      </c>
      <c r="I1607" s="3">
        <f>ProductLine[[#This Row],[Units]]*ProductLine[[#This Row],[Dollars]]</f>
        <v>698.50595063505546</v>
      </c>
    </row>
    <row r="1608" spans="1:9" x14ac:dyDescent="0.35">
      <c r="A1608">
        <v>1607</v>
      </c>
      <c r="B1608" t="s">
        <v>14</v>
      </c>
      <c r="C1608" s="2">
        <v>38166</v>
      </c>
      <c r="D1608">
        <f>YEAR(ProductLine[[#This Row],[Date]])</f>
        <v>2004</v>
      </c>
      <c r="E1608">
        <f>MONTH(ProductLine[[#This Row],[Date]])</f>
        <v>6</v>
      </c>
      <c r="F1608" t="s">
        <v>26</v>
      </c>
      <c r="G1608">
        <v>15</v>
      </c>
      <c r="H1608" s="3">
        <v>47.252520248890754</v>
      </c>
      <c r="I1608" s="3">
        <f>ProductLine[[#This Row],[Units]]*ProductLine[[#This Row],[Dollars]]</f>
        <v>708.78780373336133</v>
      </c>
    </row>
    <row r="1609" spans="1:9" x14ac:dyDescent="0.35">
      <c r="A1609">
        <v>1608</v>
      </c>
      <c r="B1609" t="s">
        <v>15</v>
      </c>
      <c r="C1609" s="2">
        <v>38056</v>
      </c>
      <c r="D1609">
        <f>YEAR(ProductLine[[#This Row],[Date]])</f>
        <v>2004</v>
      </c>
      <c r="E1609">
        <f>MONTH(ProductLine[[#This Row],[Date]])</f>
        <v>3</v>
      </c>
      <c r="F1609" t="s">
        <v>24</v>
      </c>
      <c r="G1609">
        <v>81</v>
      </c>
      <c r="H1609" s="3">
        <v>244.70980660248637</v>
      </c>
      <c r="I1609" s="3">
        <f>ProductLine[[#This Row],[Units]]*ProductLine[[#This Row],[Dollars]]</f>
        <v>19821.494334801395</v>
      </c>
    </row>
    <row r="1610" spans="1:9" x14ac:dyDescent="0.35">
      <c r="A1610">
        <v>1609</v>
      </c>
      <c r="B1610" t="s">
        <v>9</v>
      </c>
      <c r="C1610" s="2">
        <v>38452</v>
      </c>
      <c r="D1610">
        <f>YEAR(ProductLine[[#This Row],[Date]])</f>
        <v>2005</v>
      </c>
      <c r="E1610">
        <f>MONTH(ProductLine[[#This Row],[Date]])</f>
        <v>4</v>
      </c>
      <c r="F1610" t="s">
        <v>26</v>
      </c>
      <c r="G1610">
        <v>94</v>
      </c>
      <c r="H1610" s="3">
        <v>283.45878652006695</v>
      </c>
      <c r="I1610" s="3">
        <f>ProductLine[[#This Row],[Units]]*ProductLine[[#This Row],[Dollars]]</f>
        <v>26645.125932886294</v>
      </c>
    </row>
    <row r="1611" spans="1:9" x14ac:dyDescent="0.35">
      <c r="A1611">
        <v>1610</v>
      </c>
      <c r="B1611" t="s">
        <v>12</v>
      </c>
      <c r="C1611" s="2">
        <v>38001</v>
      </c>
      <c r="D1611">
        <f>YEAR(ProductLine[[#This Row],[Date]])</f>
        <v>2004</v>
      </c>
      <c r="E1611">
        <f>MONTH(ProductLine[[#This Row],[Date]])</f>
        <v>1</v>
      </c>
      <c r="F1611" t="s">
        <v>27</v>
      </c>
      <c r="G1611">
        <v>11</v>
      </c>
      <c r="H1611" s="3">
        <v>35.187328425003173</v>
      </c>
      <c r="I1611" s="3">
        <f>ProductLine[[#This Row],[Units]]*ProductLine[[#This Row],[Dollars]]</f>
        <v>387.06061267503492</v>
      </c>
    </row>
    <row r="1612" spans="1:9" x14ac:dyDescent="0.35">
      <c r="A1612">
        <v>1611</v>
      </c>
      <c r="B1612" t="s">
        <v>13</v>
      </c>
      <c r="C1612" s="2">
        <v>38078</v>
      </c>
      <c r="D1612">
        <f>YEAR(ProductLine[[#This Row],[Date]])</f>
        <v>2004</v>
      </c>
      <c r="E1612">
        <f>MONTH(ProductLine[[#This Row],[Date]])</f>
        <v>4</v>
      </c>
      <c r="F1612" t="s">
        <v>26</v>
      </c>
      <c r="G1612">
        <v>12</v>
      </c>
      <c r="H1612" s="3">
        <v>38.183005482105493</v>
      </c>
      <c r="I1612" s="3">
        <f>ProductLine[[#This Row],[Units]]*ProductLine[[#This Row],[Dollars]]</f>
        <v>458.19606578526589</v>
      </c>
    </row>
    <row r="1613" spans="1:9" x14ac:dyDescent="0.35">
      <c r="A1613">
        <v>1612</v>
      </c>
      <c r="B1613" t="s">
        <v>10</v>
      </c>
      <c r="C1613" s="2">
        <v>38595</v>
      </c>
      <c r="D1613">
        <f>YEAR(ProductLine[[#This Row],[Date]])</f>
        <v>2005</v>
      </c>
      <c r="E1613">
        <f>MONTH(ProductLine[[#This Row],[Date]])</f>
        <v>8</v>
      </c>
      <c r="F1613" t="s">
        <v>26</v>
      </c>
      <c r="G1613">
        <v>85</v>
      </c>
      <c r="H1613" s="3">
        <v>257.13848470493929</v>
      </c>
      <c r="I1613" s="3">
        <f>ProductLine[[#This Row],[Units]]*ProductLine[[#This Row],[Dollars]]</f>
        <v>21856.77119991984</v>
      </c>
    </row>
    <row r="1614" spans="1:9" x14ac:dyDescent="0.35">
      <c r="A1614">
        <v>1613</v>
      </c>
      <c r="B1614" t="s">
        <v>12</v>
      </c>
      <c r="C1614" s="2">
        <v>39046</v>
      </c>
      <c r="D1614">
        <f>YEAR(ProductLine[[#This Row],[Date]])</f>
        <v>2006</v>
      </c>
      <c r="E1614">
        <f>MONTH(ProductLine[[#This Row],[Date]])</f>
        <v>11</v>
      </c>
      <c r="F1614" t="s">
        <v>26</v>
      </c>
      <c r="G1614">
        <v>39</v>
      </c>
      <c r="H1614" s="3">
        <v>119.05508877849219</v>
      </c>
      <c r="I1614" s="3">
        <f>ProductLine[[#This Row],[Units]]*ProductLine[[#This Row],[Dollars]]</f>
        <v>4643.148462361195</v>
      </c>
    </row>
    <row r="1615" spans="1:9" x14ac:dyDescent="0.35">
      <c r="A1615">
        <v>1614</v>
      </c>
      <c r="B1615" t="s">
        <v>12</v>
      </c>
      <c r="C1615" s="2">
        <v>38177</v>
      </c>
      <c r="D1615">
        <f>YEAR(ProductLine[[#This Row],[Date]])</f>
        <v>2004</v>
      </c>
      <c r="E1615">
        <f>MONTH(ProductLine[[#This Row],[Date]])</f>
        <v>7</v>
      </c>
      <c r="F1615" t="s">
        <v>24</v>
      </c>
      <c r="G1615">
        <v>9</v>
      </c>
      <c r="H1615" s="3">
        <v>29.108535014212187</v>
      </c>
      <c r="I1615" s="3">
        <f>ProductLine[[#This Row],[Units]]*ProductLine[[#This Row],[Dollars]]</f>
        <v>261.97681512790967</v>
      </c>
    </row>
    <row r="1616" spans="1:9" x14ac:dyDescent="0.35">
      <c r="A1616">
        <v>1615</v>
      </c>
      <c r="B1616" t="s">
        <v>12</v>
      </c>
      <c r="C1616" s="2">
        <v>38386</v>
      </c>
      <c r="D1616">
        <f>YEAR(ProductLine[[#This Row],[Date]])</f>
        <v>2005</v>
      </c>
      <c r="E1616">
        <f>MONTH(ProductLine[[#This Row],[Date]])</f>
        <v>2</v>
      </c>
      <c r="F1616" t="s">
        <v>27</v>
      </c>
      <c r="G1616">
        <v>25</v>
      </c>
      <c r="H1616" s="3">
        <v>77.542041967509959</v>
      </c>
      <c r="I1616" s="3">
        <f>ProductLine[[#This Row],[Units]]*ProductLine[[#This Row],[Dollars]]</f>
        <v>1938.551049187749</v>
      </c>
    </row>
    <row r="1617" spans="1:9" x14ac:dyDescent="0.35">
      <c r="A1617">
        <v>1616</v>
      </c>
      <c r="B1617" t="s">
        <v>16</v>
      </c>
      <c r="C1617" s="2">
        <v>38144</v>
      </c>
      <c r="D1617">
        <f>YEAR(ProductLine[[#This Row],[Date]])</f>
        <v>2004</v>
      </c>
      <c r="E1617">
        <f>MONTH(ProductLine[[#This Row],[Date]])</f>
        <v>6</v>
      </c>
      <c r="F1617" t="s">
        <v>26</v>
      </c>
      <c r="G1617">
        <v>79</v>
      </c>
      <c r="H1617" s="3">
        <v>239.89003921274065</v>
      </c>
      <c r="I1617" s="3">
        <f>ProductLine[[#This Row],[Units]]*ProductLine[[#This Row],[Dollars]]</f>
        <v>18951.313097806513</v>
      </c>
    </row>
    <row r="1618" spans="1:9" x14ac:dyDescent="0.35">
      <c r="A1618">
        <v>1617</v>
      </c>
      <c r="B1618" t="s">
        <v>10</v>
      </c>
      <c r="C1618" s="2">
        <v>38133</v>
      </c>
      <c r="D1618">
        <f>YEAR(ProductLine[[#This Row],[Date]])</f>
        <v>2004</v>
      </c>
      <c r="E1618">
        <f>MONTH(ProductLine[[#This Row],[Date]])</f>
        <v>5</v>
      </c>
      <c r="F1618" t="s">
        <v>26</v>
      </c>
      <c r="G1618">
        <v>83</v>
      </c>
      <c r="H1618" s="3">
        <v>250.62172213757762</v>
      </c>
      <c r="I1618" s="3">
        <f>ProductLine[[#This Row],[Units]]*ProductLine[[#This Row],[Dollars]]</f>
        <v>20801.602937418942</v>
      </c>
    </row>
    <row r="1619" spans="1:9" x14ac:dyDescent="0.35">
      <c r="A1619">
        <v>1618</v>
      </c>
      <c r="B1619" t="s">
        <v>10</v>
      </c>
      <c r="C1619" s="2">
        <v>38694</v>
      </c>
      <c r="D1619">
        <f>YEAR(ProductLine[[#This Row],[Date]])</f>
        <v>2005</v>
      </c>
      <c r="E1619">
        <f>MONTH(ProductLine[[#This Row],[Date]])</f>
        <v>12</v>
      </c>
      <c r="F1619" t="s">
        <v>24</v>
      </c>
      <c r="G1619">
        <v>-3</v>
      </c>
      <c r="H1619" s="3">
        <v>-6.4441526293000173</v>
      </c>
      <c r="I1619" s="3">
        <f>ProductLine[[#This Row],[Units]]*ProductLine[[#This Row],[Dollars]]</f>
        <v>19.332457887900052</v>
      </c>
    </row>
    <row r="1620" spans="1:9" x14ac:dyDescent="0.35">
      <c r="A1620">
        <v>1619</v>
      </c>
      <c r="B1620" t="s">
        <v>17</v>
      </c>
      <c r="C1620" s="2">
        <v>38771</v>
      </c>
      <c r="D1620">
        <f>YEAR(ProductLine[[#This Row],[Date]])</f>
        <v>2006</v>
      </c>
      <c r="E1620">
        <f>MONTH(ProductLine[[#This Row],[Date]])</f>
        <v>2</v>
      </c>
      <c r="F1620" t="s">
        <v>27</v>
      </c>
      <c r="G1620">
        <v>62</v>
      </c>
      <c r="H1620" s="3">
        <v>188.23625463241646</v>
      </c>
      <c r="I1620" s="3">
        <f>ProductLine[[#This Row],[Units]]*ProductLine[[#This Row],[Dollars]]</f>
        <v>11670.64778720982</v>
      </c>
    </row>
    <row r="1621" spans="1:9" x14ac:dyDescent="0.35">
      <c r="A1621">
        <v>1620</v>
      </c>
      <c r="B1621" t="s">
        <v>17</v>
      </c>
      <c r="C1621" s="2">
        <v>38023</v>
      </c>
      <c r="D1621">
        <f>YEAR(ProductLine[[#This Row],[Date]])</f>
        <v>2004</v>
      </c>
      <c r="E1621">
        <f>MONTH(ProductLine[[#This Row],[Date]])</f>
        <v>2</v>
      </c>
      <c r="F1621" t="s">
        <v>26</v>
      </c>
      <c r="G1621">
        <v>6</v>
      </c>
      <c r="H1621" s="3">
        <v>19.315165106288639</v>
      </c>
      <c r="I1621" s="3">
        <f>ProductLine[[#This Row],[Units]]*ProductLine[[#This Row],[Dollars]]</f>
        <v>115.89099063773183</v>
      </c>
    </row>
    <row r="1622" spans="1:9" x14ac:dyDescent="0.35">
      <c r="A1622">
        <v>1621</v>
      </c>
      <c r="B1622" t="s">
        <v>11</v>
      </c>
      <c r="C1622" s="2">
        <v>38815</v>
      </c>
      <c r="D1622">
        <f>YEAR(ProductLine[[#This Row],[Date]])</f>
        <v>2006</v>
      </c>
      <c r="E1622">
        <f>MONTH(ProductLine[[#This Row],[Date]])</f>
        <v>4</v>
      </c>
      <c r="F1622" t="s">
        <v>27</v>
      </c>
      <c r="G1622">
        <v>13</v>
      </c>
      <c r="H1622" s="3">
        <v>41.394747641625173</v>
      </c>
      <c r="I1622" s="3">
        <f>ProductLine[[#This Row],[Units]]*ProductLine[[#This Row],[Dollars]]</f>
        <v>538.13171934112722</v>
      </c>
    </row>
    <row r="1623" spans="1:9" x14ac:dyDescent="0.35">
      <c r="A1623">
        <v>1622</v>
      </c>
      <c r="B1623" t="s">
        <v>15</v>
      </c>
      <c r="C1623" s="2">
        <v>38617</v>
      </c>
      <c r="D1623">
        <f>YEAR(ProductLine[[#This Row],[Date]])</f>
        <v>2005</v>
      </c>
      <c r="E1623">
        <f>MONTH(ProductLine[[#This Row],[Date]])</f>
        <v>9</v>
      </c>
      <c r="F1623" t="s">
        <v>26</v>
      </c>
      <c r="G1623">
        <v>88</v>
      </c>
      <c r="H1623" s="3">
        <v>266.15306975216902</v>
      </c>
      <c r="I1623" s="3">
        <f>ProductLine[[#This Row],[Units]]*ProductLine[[#This Row],[Dollars]]</f>
        <v>23421.470138190874</v>
      </c>
    </row>
    <row r="1624" spans="1:9" x14ac:dyDescent="0.35">
      <c r="A1624">
        <v>1623</v>
      </c>
      <c r="B1624" t="s">
        <v>15</v>
      </c>
      <c r="C1624" s="2">
        <v>38089</v>
      </c>
      <c r="D1624">
        <f>YEAR(ProductLine[[#This Row],[Date]])</f>
        <v>2004</v>
      </c>
      <c r="E1624">
        <f>MONTH(ProductLine[[#This Row],[Date]])</f>
        <v>4</v>
      </c>
      <c r="F1624" t="s">
        <v>26</v>
      </c>
      <c r="G1624">
        <v>35</v>
      </c>
      <c r="H1624" s="3">
        <v>106.7048352932988</v>
      </c>
      <c r="I1624" s="3">
        <f>ProductLine[[#This Row],[Units]]*ProductLine[[#This Row],[Dollars]]</f>
        <v>3734.6692352654582</v>
      </c>
    </row>
    <row r="1625" spans="1:9" x14ac:dyDescent="0.35">
      <c r="A1625">
        <v>1624</v>
      </c>
      <c r="B1625" t="s">
        <v>14</v>
      </c>
      <c r="C1625" s="2">
        <v>38276</v>
      </c>
      <c r="D1625">
        <f>YEAR(ProductLine[[#This Row],[Date]])</f>
        <v>2004</v>
      </c>
      <c r="E1625">
        <f>MONTH(ProductLine[[#This Row],[Date]])</f>
        <v>10</v>
      </c>
      <c r="F1625" t="s">
        <v>26</v>
      </c>
      <c r="G1625">
        <v>61</v>
      </c>
      <c r="H1625" s="3">
        <v>185.38182854142642</v>
      </c>
      <c r="I1625" s="3">
        <f>ProductLine[[#This Row],[Units]]*ProductLine[[#This Row],[Dollars]]</f>
        <v>11308.291541027011</v>
      </c>
    </row>
    <row r="1626" spans="1:9" x14ac:dyDescent="0.35">
      <c r="A1626">
        <v>1625</v>
      </c>
      <c r="B1626" t="s">
        <v>10</v>
      </c>
      <c r="C1626" s="2">
        <v>38562</v>
      </c>
      <c r="D1626">
        <f>YEAR(ProductLine[[#This Row],[Date]])</f>
        <v>2005</v>
      </c>
      <c r="E1626">
        <f>MONTH(ProductLine[[#This Row],[Date]])</f>
        <v>7</v>
      </c>
      <c r="F1626" t="s">
        <v>26</v>
      </c>
      <c r="G1626">
        <v>95</v>
      </c>
      <c r="H1626" s="3">
        <v>287.15467709700755</v>
      </c>
      <c r="I1626" s="3">
        <f>ProductLine[[#This Row],[Units]]*ProductLine[[#This Row],[Dollars]]</f>
        <v>27279.694324215718</v>
      </c>
    </row>
    <row r="1627" spans="1:9" x14ac:dyDescent="0.35">
      <c r="A1627">
        <v>1626</v>
      </c>
      <c r="B1627" t="s">
        <v>15</v>
      </c>
      <c r="C1627" s="2">
        <v>38353</v>
      </c>
      <c r="D1627">
        <f>YEAR(ProductLine[[#This Row],[Date]])</f>
        <v>2005</v>
      </c>
      <c r="E1627">
        <f>MONTH(ProductLine[[#This Row],[Date]])</f>
        <v>1</v>
      </c>
      <c r="F1627" t="s">
        <v>26</v>
      </c>
      <c r="G1627">
        <v>30</v>
      </c>
      <c r="H1627" s="3">
        <v>92.417025758970482</v>
      </c>
      <c r="I1627" s="3">
        <f>ProductLine[[#This Row],[Units]]*ProductLine[[#This Row],[Dollars]]</f>
        <v>2772.5107727691143</v>
      </c>
    </row>
    <row r="1628" spans="1:9" x14ac:dyDescent="0.35">
      <c r="A1628">
        <v>1627</v>
      </c>
      <c r="B1628" t="s">
        <v>15</v>
      </c>
      <c r="C1628" s="2">
        <v>38914</v>
      </c>
      <c r="D1628">
        <f>YEAR(ProductLine[[#This Row],[Date]])</f>
        <v>2006</v>
      </c>
      <c r="E1628">
        <f>MONTH(ProductLine[[#This Row],[Date]])</f>
        <v>7</v>
      </c>
      <c r="F1628" t="s">
        <v>26</v>
      </c>
      <c r="G1628">
        <v>-1</v>
      </c>
      <c r="H1628" s="3">
        <v>-1.6370674232788498</v>
      </c>
      <c r="I1628" s="3">
        <f>ProductLine[[#This Row],[Units]]*ProductLine[[#This Row],[Dollars]]</f>
        <v>1.6370674232788498</v>
      </c>
    </row>
    <row r="1629" spans="1:9" x14ac:dyDescent="0.35">
      <c r="A1629">
        <v>1628</v>
      </c>
      <c r="B1629" t="s">
        <v>9</v>
      </c>
      <c r="C1629" s="2">
        <v>38353</v>
      </c>
      <c r="D1629">
        <f>YEAR(ProductLine[[#This Row],[Date]])</f>
        <v>2005</v>
      </c>
      <c r="E1629">
        <f>MONTH(ProductLine[[#This Row],[Date]])</f>
        <v>1</v>
      </c>
      <c r="F1629" t="s">
        <v>25</v>
      </c>
      <c r="G1629">
        <v>5</v>
      </c>
      <c r="H1629" s="3">
        <v>16.92808141657132</v>
      </c>
      <c r="I1629" s="3">
        <f>ProductLine[[#This Row],[Units]]*ProductLine[[#This Row],[Dollars]]</f>
        <v>84.640407082856598</v>
      </c>
    </row>
    <row r="1630" spans="1:9" x14ac:dyDescent="0.35">
      <c r="A1630">
        <v>1629</v>
      </c>
      <c r="B1630" t="s">
        <v>9</v>
      </c>
      <c r="C1630" s="2">
        <v>38419</v>
      </c>
      <c r="D1630">
        <f>YEAR(ProductLine[[#This Row],[Date]])</f>
        <v>2005</v>
      </c>
      <c r="E1630">
        <f>MONTH(ProductLine[[#This Row],[Date]])</f>
        <v>3</v>
      </c>
      <c r="F1630" t="s">
        <v>24</v>
      </c>
      <c r="G1630">
        <v>42</v>
      </c>
      <c r="H1630" s="3">
        <v>127.31651996144141</v>
      </c>
      <c r="I1630" s="3">
        <f>ProductLine[[#This Row],[Units]]*ProductLine[[#This Row],[Dollars]]</f>
        <v>5347.2938383805395</v>
      </c>
    </row>
    <row r="1631" spans="1:9" x14ac:dyDescent="0.35">
      <c r="A1631">
        <v>1630</v>
      </c>
      <c r="B1631" t="s">
        <v>12</v>
      </c>
      <c r="C1631" s="2">
        <v>38474</v>
      </c>
      <c r="D1631">
        <f>YEAR(ProductLine[[#This Row],[Date]])</f>
        <v>2005</v>
      </c>
      <c r="E1631">
        <f>MONTH(ProductLine[[#This Row],[Date]])</f>
        <v>5</v>
      </c>
      <c r="F1631" t="s">
        <v>26</v>
      </c>
      <c r="G1631">
        <v>14</v>
      </c>
      <c r="H1631" s="3">
        <v>44.540640710887878</v>
      </c>
      <c r="I1631" s="3">
        <f>ProductLine[[#This Row],[Units]]*ProductLine[[#This Row],[Dollars]]</f>
        <v>623.56896995243028</v>
      </c>
    </row>
    <row r="1632" spans="1:9" x14ac:dyDescent="0.35">
      <c r="A1632">
        <v>1631</v>
      </c>
      <c r="B1632" t="s">
        <v>14</v>
      </c>
      <c r="C1632" s="2">
        <v>38573</v>
      </c>
      <c r="D1632">
        <f>YEAR(ProductLine[[#This Row],[Date]])</f>
        <v>2005</v>
      </c>
      <c r="E1632">
        <f>MONTH(ProductLine[[#This Row],[Date]])</f>
        <v>8</v>
      </c>
      <c r="F1632" t="s">
        <v>26</v>
      </c>
      <c r="G1632">
        <v>-4</v>
      </c>
      <c r="H1632" s="3">
        <v>-10.005990967007831</v>
      </c>
      <c r="I1632" s="3">
        <f>ProductLine[[#This Row],[Units]]*ProductLine[[#This Row],[Dollars]]</f>
        <v>40.023963868031323</v>
      </c>
    </row>
    <row r="1633" spans="1:9" x14ac:dyDescent="0.35">
      <c r="A1633">
        <v>1632</v>
      </c>
      <c r="B1633" t="s">
        <v>17</v>
      </c>
      <c r="C1633" s="2">
        <v>38738</v>
      </c>
      <c r="D1633">
        <f>YEAR(ProductLine[[#This Row],[Date]])</f>
        <v>2006</v>
      </c>
      <c r="E1633">
        <f>MONTH(ProductLine[[#This Row],[Date]])</f>
        <v>1</v>
      </c>
      <c r="F1633" t="s">
        <v>24</v>
      </c>
      <c r="G1633">
        <v>27</v>
      </c>
      <c r="H1633" s="3">
        <v>82.256344701253937</v>
      </c>
      <c r="I1633" s="3">
        <f>ProductLine[[#This Row],[Units]]*ProductLine[[#This Row],[Dollars]]</f>
        <v>2220.9213069338562</v>
      </c>
    </row>
    <row r="1634" spans="1:9" x14ac:dyDescent="0.35">
      <c r="A1634">
        <v>1633</v>
      </c>
      <c r="B1634" t="s">
        <v>17</v>
      </c>
      <c r="C1634" s="2">
        <v>38111</v>
      </c>
      <c r="D1634">
        <f>YEAR(ProductLine[[#This Row],[Date]])</f>
        <v>2004</v>
      </c>
      <c r="E1634">
        <f>MONTH(ProductLine[[#This Row],[Date]])</f>
        <v>5</v>
      </c>
      <c r="F1634" t="s">
        <v>27</v>
      </c>
      <c r="G1634">
        <v>5</v>
      </c>
      <c r="H1634" s="3">
        <v>17.11095820057195</v>
      </c>
      <c r="I1634" s="3">
        <f>ProductLine[[#This Row],[Units]]*ProductLine[[#This Row],[Dollars]]</f>
        <v>85.554791002859758</v>
      </c>
    </row>
    <row r="1635" spans="1:9" x14ac:dyDescent="0.35">
      <c r="A1635">
        <v>1634</v>
      </c>
      <c r="B1635" t="s">
        <v>11</v>
      </c>
      <c r="C1635" s="2">
        <v>38430</v>
      </c>
      <c r="D1635">
        <f>YEAR(ProductLine[[#This Row],[Date]])</f>
        <v>2005</v>
      </c>
      <c r="E1635">
        <f>MONTH(ProductLine[[#This Row],[Date]])</f>
        <v>3</v>
      </c>
      <c r="F1635" t="s">
        <v>27</v>
      </c>
      <c r="G1635">
        <v>57</v>
      </c>
      <c r="H1635" s="3">
        <v>173.29644937565891</v>
      </c>
      <c r="I1635" s="3">
        <f>ProductLine[[#This Row],[Units]]*ProductLine[[#This Row],[Dollars]]</f>
        <v>9877.8976144125572</v>
      </c>
    </row>
    <row r="1636" spans="1:9" x14ac:dyDescent="0.35">
      <c r="A1636">
        <v>1635</v>
      </c>
      <c r="B1636" t="s">
        <v>10</v>
      </c>
      <c r="C1636" s="2">
        <v>38265</v>
      </c>
      <c r="D1636">
        <f>YEAR(ProductLine[[#This Row],[Date]])</f>
        <v>2004</v>
      </c>
      <c r="E1636">
        <f>MONTH(ProductLine[[#This Row],[Date]])</f>
        <v>10</v>
      </c>
      <c r="F1636" t="s">
        <v>23</v>
      </c>
      <c r="G1636">
        <v>78</v>
      </c>
      <c r="H1636" s="3">
        <v>235.61102661696142</v>
      </c>
      <c r="I1636" s="3">
        <f>ProductLine[[#This Row],[Units]]*ProductLine[[#This Row],[Dollars]]</f>
        <v>18377.660076122993</v>
      </c>
    </row>
    <row r="1637" spans="1:9" x14ac:dyDescent="0.35">
      <c r="A1637">
        <v>1636</v>
      </c>
      <c r="B1637" t="s">
        <v>17</v>
      </c>
      <c r="C1637" s="2">
        <v>38969</v>
      </c>
      <c r="D1637">
        <f>YEAR(ProductLine[[#This Row],[Date]])</f>
        <v>2006</v>
      </c>
      <c r="E1637">
        <f>MONTH(ProductLine[[#This Row],[Date]])</f>
        <v>9</v>
      </c>
      <c r="F1637" t="s">
        <v>27</v>
      </c>
      <c r="G1637">
        <v>11</v>
      </c>
      <c r="H1637" s="3">
        <v>35.303927193880931</v>
      </c>
      <c r="I1637" s="3">
        <f>ProductLine[[#This Row],[Units]]*ProductLine[[#This Row],[Dollars]]</f>
        <v>388.34319913269024</v>
      </c>
    </row>
    <row r="1638" spans="1:9" x14ac:dyDescent="0.35">
      <c r="A1638">
        <v>1637</v>
      </c>
      <c r="B1638" t="s">
        <v>14</v>
      </c>
      <c r="C1638" s="2">
        <v>38265</v>
      </c>
      <c r="D1638">
        <f>YEAR(ProductLine[[#This Row],[Date]])</f>
        <v>2004</v>
      </c>
      <c r="E1638">
        <f>MONTH(ProductLine[[#This Row],[Date]])</f>
        <v>10</v>
      </c>
      <c r="F1638" t="s">
        <v>23</v>
      </c>
      <c r="G1638">
        <v>55</v>
      </c>
      <c r="H1638" s="3">
        <v>166.9336198966493</v>
      </c>
      <c r="I1638" s="3">
        <f>ProductLine[[#This Row],[Units]]*ProductLine[[#This Row],[Dollars]]</f>
        <v>9181.3490943157121</v>
      </c>
    </row>
    <row r="1639" spans="1:9" x14ac:dyDescent="0.35">
      <c r="A1639">
        <v>1638</v>
      </c>
      <c r="B1639" t="s">
        <v>11</v>
      </c>
      <c r="C1639" s="2">
        <v>38265</v>
      </c>
      <c r="D1639">
        <f>YEAR(ProductLine[[#This Row],[Date]])</f>
        <v>2004</v>
      </c>
      <c r="E1639">
        <f>MONTH(ProductLine[[#This Row],[Date]])</f>
        <v>10</v>
      </c>
      <c r="F1639" t="s">
        <v>27</v>
      </c>
      <c r="G1639">
        <v>15</v>
      </c>
      <c r="H1639" s="3">
        <v>46.988168377437937</v>
      </c>
      <c r="I1639" s="3">
        <f>ProductLine[[#This Row],[Units]]*ProductLine[[#This Row],[Dollars]]</f>
        <v>704.8225256615691</v>
      </c>
    </row>
    <row r="1640" spans="1:9" x14ac:dyDescent="0.35">
      <c r="A1640">
        <v>1639</v>
      </c>
      <c r="B1640" t="s">
        <v>14</v>
      </c>
      <c r="C1640" s="2">
        <v>38023</v>
      </c>
      <c r="D1640">
        <f>YEAR(ProductLine[[#This Row],[Date]])</f>
        <v>2004</v>
      </c>
      <c r="E1640">
        <f>MONTH(ProductLine[[#This Row],[Date]])</f>
        <v>2</v>
      </c>
      <c r="F1640" t="s">
        <v>26</v>
      </c>
      <c r="G1640">
        <v>53</v>
      </c>
      <c r="H1640" s="3">
        <v>161.39224032948613</v>
      </c>
      <c r="I1640" s="3">
        <f>ProductLine[[#This Row],[Units]]*ProductLine[[#This Row],[Dollars]]</f>
        <v>8553.7887374627644</v>
      </c>
    </row>
    <row r="1641" spans="1:9" x14ac:dyDescent="0.35">
      <c r="A1641">
        <v>1640</v>
      </c>
      <c r="B1641" t="s">
        <v>12</v>
      </c>
      <c r="C1641" s="2">
        <v>38584</v>
      </c>
      <c r="D1641">
        <f>YEAR(ProductLine[[#This Row],[Date]])</f>
        <v>2005</v>
      </c>
      <c r="E1641">
        <f>MONTH(ProductLine[[#This Row],[Date]])</f>
        <v>8</v>
      </c>
      <c r="F1641" t="s">
        <v>23</v>
      </c>
      <c r="G1641">
        <v>70</v>
      </c>
      <c r="H1641" s="3">
        <v>212.01090684722931</v>
      </c>
      <c r="I1641" s="3">
        <f>ProductLine[[#This Row],[Units]]*ProductLine[[#This Row],[Dollars]]</f>
        <v>14840.763479306052</v>
      </c>
    </row>
    <row r="1642" spans="1:9" x14ac:dyDescent="0.35">
      <c r="A1642">
        <v>1641</v>
      </c>
      <c r="B1642" t="s">
        <v>17</v>
      </c>
      <c r="C1642" s="2">
        <v>38947</v>
      </c>
      <c r="D1642">
        <f>YEAR(ProductLine[[#This Row],[Date]])</f>
        <v>2006</v>
      </c>
      <c r="E1642">
        <f>MONTH(ProductLine[[#This Row],[Date]])</f>
        <v>8</v>
      </c>
      <c r="F1642" t="s">
        <v>24</v>
      </c>
      <c r="G1642">
        <v>56</v>
      </c>
      <c r="H1642" s="3">
        <v>170.03159669706065</v>
      </c>
      <c r="I1642" s="3">
        <f>ProductLine[[#This Row],[Units]]*ProductLine[[#This Row],[Dollars]]</f>
        <v>9521.7694150353964</v>
      </c>
    </row>
    <row r="1643" spans="1:9" x14ac:dyDescent="0.35">
      <c r="A1643">
        <v>1642</v>
      </c>
      <c r="B1643" t="s">
        <v>12</v>
      </c>
      <c r="C1643" s="2">
        <v>38859</v>
      </c>
      <c r="D1643">
        <f>YEAR(ProductLine[[#This Row],[Date]])</f>
        <v>2006</v>
      </c>
      <c r="E1643">
        <f>MONTH(ProductLine[[#This Row],[Date]])</f>
        <v>5</v>
      </c>
      <c r="F1643" t="s">
        <v>26</v>
      </c>
      <c r="G1643">
        <v>91</v>
      </c>
      <c r="H1643" s="3">
        <v>275.47209572369957</v>
      </c>
      <c r="I1643" s="3">
        <f>ProductLine[[#This Row],[Units]]*ProductLine[[#This Row],[Dollars]]</f>
        <v>25067.96071085666</v>
      </c>
    </row>
    <row r="1644" spans="1:9" x14ac:dyDescent="0.35">
      <c r="A1644">
        <v>1643</v>
      </c>
      <c r="B1644" t="s">
        <v>16</v>
      </c>
      <c r="C1644" s="2">
        <v>38342</v>
      </c>
      <c r="D1644">
        <f>YEAR(ProductLine[[#This Row],[Date]])</f>
        <v>2004</v>
      </c>
      <c r="E1644">
        <f>MONTH(ProductLine[[#This Row],[Date]])</f>
        <v>12</v>
      </c>
      <c r="F1644" t="s">
        <v>25</v>
      </c>
      <c r="G1644">
        <v>55</v>
      </c>
      <c r="H1644" s="3">
        <v>167.80569976811464</v>
      </c>
      <c r="I1644" s="3">
        <f>ProductLine[[#This Row],[Units]]*ProductLine[[#This Row],[Dollars]]</f>
        <v>9229.3134872463052</v>
      </c>
    </row>
    <row r="1645" spans="1:9" x14ac:dyDescent="0.35">
      <c r="A1645">
        <v>1644</v>
      </c>
      <c r="B1645" t="s">
        <v>14</v>
      </c>
      <c r="C1645" s="2">
        <v>38650</v>
      </c>
      <c r="D1645">
        <f>YEAR(ProductLine[[#This Row],[Date]])</f>
        <v>2005</v>
      </c>
      <c r="E1645">
        <f>MONTH(ProductLine[[#This Row],[Date]])</f>
        <v>10</v>
      </c>
      <c r="F1645" t="s">
        <v>27</v>
      </c>
      <c r="G1645">
        <v>1</v>
      </c>
      <c r="H1645" s="3">
        <v>4.7067653474104088</v>
      </c>
      <c r="I1645" s="3">
        <f>ProductLine[[#This Row],[Units]]*ProductLine[[#This Row],[Dollars]]</f>
        <v>4.7067653474104088</v>
      </c>
    </row>
    <row r="1646" spans="1:9" x14ac:dyDescent="0.35">
      <c r="A1646">
        <v>1645</v>
      </c>
      <c r="B1646" t="s">
        <v>14</v>
      </c>
      <c r="C1646" s="2">
        <v>38386</v>
      </c>
      <c r="D1646">
        <f>YEAR(ProductLine[[#This Row],[Date]])</f>
        <v>2005</v>
      </c>
      <c r="E1646">
        <f>MONTH(ProductLine[[#This Row],[Date]])</f>
        <v>2</v>
      </c>
      <c r="F1646" t="s">
        <v>26</v>
      </c>
      <c r="G1646">
        <v>23</v>
      </c>
      <c r="H1646" s="3">
        <v>70.736237537390394</v>
      </c>
      <c r="I1646" s="3">
        <f>ProductLine[[#This Row],[Units]]*ProductLine[[#This Row],[Dollars]]</f>
        <v>1626.933463359979</v>
      </c>
    </row>
    <row r="1647" spans="1:9" x14ac:dyDescent="0.35">
      <c r="A1647">
        <v>1646</v>
      </c>
      <c r="B1647" t="s">
        <v>10</v>
      </c>
      <c r="C1647" s="2">
        <v>38705</v>
      </c>
      <c r="D1647">
        <f>YEAR(ProductLine[[#This Row],[Date]])</f>
        <v>2005</v>
      </c>
      <c r="E1647">
        <f>MONTH(ProductLine[[#This Row],[Date]])</f>
        <v>12</v>
      </c>
      <c r="F1647" t="s">
        <v>23</v>
      </c>
      <c r="G1647">
        <v>0</v>
      </c>
      <c r="H1647" s="3">
        <v>2.2998593901546056</v>
      </c>
      <c r="I1647" s="3">
        <f>ProductLine[[#This Row],[Units]]*ProductLine[[#This Row],[Dollars]]</f>
        <v>0</v>
      </c>
    </row>
    <row r="1648" spans="1:9" x14ac:dyDescent="0.35">
      <c r="A1648">
        <v>1647</v>
      </c>
      <c r="B1648" t="s">
        <v>14</v>
      </c>
      <c r="C1648" s="2">
        <v>38342</v>
      </c>
      <c r="D1648">
        <f>YEAR(ProductLine[[#This Row],[Date]])</f>
        <v>2004</v>
      </c>
      <c r="E1648">
        <f>MONTH(ProductLine[[#This Row],[Date]])</f>
        <v>12</v>
      </c>
      <c r="F1648" t="s">
        <v>27</v>
      </c>
      <c r="G1648">
        <v>86</v>
      </c>
      <c r="H1648" s="3">
        <v>259.96491478210521</v>
      </c>
      <c r="I1648" s="3">
        <f>ProductLine[[#This Row],[Units]]*ProductLine[[#This Row],[Dollars]]</f>
        <v>22356.982671261048</v>
      </c>
    </row>
    <row r="1649" spans="1:9" x14ac:dyDescent="0.35">
      <c r="A1649">
        <v>1648</v>
      </c>
      <c r="B1649" t="s">
        <v>13</v>
      </c>
      <c r="C1649" s="2">
        <v>38078</v>
      </c>
      <c r="D1649">
        <f>YEAR(ProductLine[[#This Row],[Date]])</f>
        <v>2004</v>
      </c>
      <c r="E1649">
        <f>MONTH(ProductLine[[#This Row],[Date]])</f>
        <v>4</v>
      </c>
      <c r="F1649" t="s">
        <v>26</v>
      </c>
      <c r="G1649">
        <v>13</v>
      </c>
      <c r="H1649" s="3">
        <v>40.990045684129242</v>
      </c>
      <c r="I1649" s="3">
        <f>ProductLine[[#This Row],[Units]]*ProductLine[[#This Row],[Dollars]]</f>
        <v>532.87059389368017</v>
      </c>
    </row>
    <row r="1650" spans="1:9" x14ac:dyDescent="0.35">
      <c r="A1650">
        <v>1649</v>
      </c>
      <c r="B1650" t="s">
        <v>11</v>
      </c>
      <c r="C1650" s="2">
        <v>38826</v>
      </c>
      <c r="D1650">
        <f>YEAR(ProductLine[[#This Row],[Date]])</f>
        <v>2006</v>
      </c>
      <c r="E1650">
        <f>MONTH(ProductLine[[#This Row],[Date]])</f>
        <v>4</v>
      </c>
      <c r="F1650" t="s">
        <v>27</v>
      </c>
      <c r="G1650">
        <v>54</v>
      </c>
      <c r="H1650" s="3">
        <v>163.68855299520598</v>
      </c>
      <c r="I1650" s="3">
        <f>ProductLine[[#This Row],[Units]]*ProductLine[[#This Row],[Dollars]]</f>
        <v>8839.1818617411227</v>
      </c>
    </row>
    <row r="1651" spans="1:9" x14ac:dyDescent="0.35">
      <c r="A1651">
        <v>1650</v>
      </c>
      <c r="B1651" t="s">
        <v>13</v>
      </c>
      <c r="C1651" s="2">
        <v>38056</v>
      </c>
      <c r="D1651">
        <f>YEAR(ProductLine[[#This Row],[Date]])</f>
        <v>2004</v>
      </c>
      <c r="E1651">
        <f>MONTH(ProductLine[[#This Row],[Date]])</f>
        <v>3</v>
      </c>
      <c r="F1651" t="s">
        <v>27</v>
      </c>
      <c r="G1651">
        <v>82</v>
      </c>
      <c r="H1651" s="3">
        <v>247.65702123487802</v>
      </c>
      <c r="I1651" s="3">
        <f>ProductLine[[#This Row],[Units]]*ProductLine[[#This Row],[Dollars]]</f>
        <v>20307.875741259999</v>
      </c>
    </row>
    <row r="1652" spans="1:9" x14ac:dyDescent="0.35">
      <c r="A1652">
        <v>1651</v>
      </c>
      <c r="B1652" t="s">
        <v>15</v>
      </c>
      <c r="C1652" s="2">
        <v>38397</v>
      </c>
      <c r="D1652">
        <f>YEAR(ProductLine[[#This Row],[Date]])</f>
        <v>2005</v>
      </c>
      <c r="E1652">
        <f>MONTH(ProductLine[[#This Row],[Date]])</f>
        <v>2</v>
      </c>
      <c r="F1652" t="s">
        <v>24</v>
      </c>
      <c r="G1652">
        <v>27</v>
      </c>
      <c r="H1652" s="3">
        <v>82.646392449751019</v>
      </c>
      <c r="I1652" s="3">
        <f>ProductLine[[#This Row],[Units]]*ProductLine[[#This Row],[Dollars]]</f>
        <v>2231.4525961432773</v>
      </c>
    </row>
    <row r="1653" spans="1:9" x14ac:dyDescent="0.35">
      <c r="A1653">
        <v>1652</v>
      </c>
      <c r="B1653" t="s">
        <v>12</v>
      </c>
      <c r="C1653" s="2">
        <v>39002</v>
      </c>
      <c r="D1653">
        <f>YEAR(ProductLine[[#This Row],[Date]])</f>
        <v>2006</v>
      </c>
      <c r="E1653">
        <f>MONTH(ProductLine[[#This Row],[Date]])</f>
        <v>10</v>
      </c>
      <c r="F1653" t="s">
        <v>25</v>
      </c>
      <c r="G1653">
        <v>84</v>
      </c>
      <c r="H1653" s="3">
        <v>254.58342526964253</v>
      </c>
      <c r="I1653" s="3">
        <f>ProductLine[[#This Row],[Units]]*ProductLine[[#This Row],[Dollars]]</f>
        <v>21385.007722649974</v>
      </c>
    </row>
    <row r="1654" spans="1:9" x14ac:dyDescent="0.35">
      <c r="A1654">
        <v>1653</v>
      </c>
      <c r="B1654" t="s">
        <v>11</v>
      </c>
      <c r="C1654" s="2">
        <v>38111</v>
      </c>
      <c r="D1654">
        <f>YEAR(ProductLine[[#This Row],[Date]])</f>
        <v>2004</v>
      </c>
      <c r="E1654">
        <f>MONTH(ProductLine[[#This Row],[Date]])</f>
        <v>5</v>
      </c>
      <c r="F1654" t="s">
        <v>26</v>
      </c>
      <c r="G1654">
        <v>56</v>
      </c>
      <c r="H1654" s="3">
        <v>170.24926391624365</v>
      </c>
      <c r="I1654" s="3">
        <f>ProductLine[[#This Row],[Units]]*ProductLine[[#This Row],[Dollars]]</f>
        <v>9533.9587793096434</v>
      </c>
    </row>
    <row r="1655" spans="1:9" x14ac:dyDescent="0.35">
      <c r="A1655">
        <v>1654</v>
      </c>
      <c r="B1655" t="s">
        <v>9</v>
      </c>
      <c r="C1655" s="2">
        <v>38045</v>
      </c>
      <c r="D1655">
        <f>YEAR(ProductLine[[#This Row],[Date]])</f>
        <v>2004</v>
      </c>
      <c r="E1655">
        <f>MONTH(ProductLine[[#This Row],[Date]])</f>
        <v>2</v>
      </c>
      <c r="F1655" t="s">
        <v>25</v>
      </c>
      <c r="G1655">
        <v>92</v>
      </c>
      <c r="H1655" s="3">
        <v>277.26934431778176</v>
      </c>
      <c r="I1655" s="3">
        <f>ProductLine[[#This Row],[Units]]*ProductLine[[#This Row],[Dollars]]</f>
        <v>25508.779677235922</v>
      </c>
    </row>
    <row r="1656" spans="1:9" x14ac:dyDescent="0.35">
      <c r="A1656">
        <v>1655</v>
      </c>
      <c r="B1656" t="s">
        <v>9</v>
      </c>
      <c r="C1656" s="2">
        <v>38001</v>
      </c>
      <c r="D1656">
        <f>YEAR(ProductLine[[#This Row],[Date]])</f>
        <v>2004</v>
      </c>
      <c r="E1656">
        <f>MONTH(ProductLine[[#This Row],[Date]])</f>
        <v>1</v>
      </c>
      <c r="F1656" t="s">
        <v>23</v>
      </c>
      <c r="G1656">
        <v>25</v>
      </c>
      <c r="H1656" s="3">
        <v>77.553918573002605</v>
      </c>
      <c r="I1656" s="3">
        <f>ProductLine[[#This Row],[Units]]*ProductLine[[#This Row],[Dollars]]</f>
        <v>1938.847964325065</v>
      </c>
    </row>
    <row r="1657" spans="1:9" x14ac:dyDescent="0.35">
      <c r="A1657">
        <v>1656</v>
      </c>
      <c r="B1657" t="s">
        <v>9</v>
      </c>
      <c r="C1657" s="2">
        <v>38353</v>
      </c>
      <c r="D1657">
        <f>YEAR(ProductLine[[#This Row],[Date]])</f>
        <v>2005</v>
      </c>
      <c r="E1657">
        <f>MONTH(ProductLine[[#This Row],[Date]])</f>
        <v>1</v>
      </c>
      <c r="F1657" t="s">
        <v>26</v>
      </c>
      <c r="G1657">
        <v>67</v>
      </c>
      <c r="H1657" s="3">
        <v>203.0044570204021</v>
      </c>
      <c r="I1657" s="3">
        <f>ProductLine[[#This Row],[Units]]*ProductLine[[#This Row],[Dollars]]</f>
        <v>13601.298620366941</v>
      </c>
    </row>
    <row r="1658" spans="1:9" x14ac:dyDescent="0.35">
      <c r="A1658">
        <v>1657</v>
      </c>
      <c r="B1658" t="s">
        <v>17</v>
      </c>
      <c r="C1658" s="2">
        <v>38089</v>
      </c>
      <c r="D1658">
        <f>YEAR(ProductLine[[#This Row],[Date]])</f>
        <v>2004</v>
      </c>
      <c r="E1658">
        <f>MONTH(ProductLine[[#This Row],[Date]])</f>
        <v>4</v>
      </c>
      <c r="F1658" t="s">
        <v>25</v>
      </c>
      <c r="G1658">
        <v>75</v>
      </c>
      <c r="H1658" s="3">
        <v>226.86441343955028</v>
      </c>
      <c r="I1658" s="3">
        <f>ProductLine[[#This Row],[Units]]*ProductLine[[#This Row],[Dollars]]</f>
        <v>17014.83100796627</v>
      </c>
    </row>
    <row r="1659" spans="1:9" x14ac:dyDescent="0.35">
      <c r="A1659">
        <v>1658</v>
      </c>
      <c r="B1659" t="s">
        <v>15</v>
      </c>
      <c r="C1659" s="2">
        <v>38617</v>
      </c>
      <c r="D1659">
        <f>YEAR(ProductLine[[#This Row],[Date]])</f>
        <v>2005</v>
      </c>
      <c r="E1659">
        <f>MONTH(ProductLine[[#This Row],[Date]])</f>
        <v>9</v>
      </c>
      <c r="F1659" t="s">
        <v>26</v>
      </c>
      <c r="G1659">
        <v>14</v>
      </c>
      <c r="H1659" s="3">
        <v>44.140520464612329</v>
      </c>
      <c r="I1659" s="3">
        <f>ProductLine[[#This Row],[Units]]*ProductLine[[#This Row],[Dollars]]</f>
        <v>617.9672865045726</v>
      </c>
    </row>
    <row r="1660" spans="1:9" x14ac:dyDescent="0.35">
      <c r="A1660">
        <v>1659</v>
      </c>
      <c r="B1660" t="s">
        <v>14</v>
      </c>
      <c r="C1660" s="2">
        <v>38705</v>
      </c>
      <c r="D1660">
        <f>YEAR(ProductLine[[#This Row],[Date]])</f>
        <v>2005</v>
      </c>
      <c r="E1660">
        <f>MONTH(ProductLine[[#This Row],[Date]])</f>
        <v>12</v>
      </c>
      <c r="F1660" t="s">
        <v>23</v>
      </c>
      <c r="G1660">
        <v>48</v>
      </c>
      <c r="H1660" s="3">
        <v>145.81129384316213</v>
      </c>
      <c r="I1660" s="3">
        <f>ProductLine[[#This Row],[Units]]*ProductLine[[#This Row],[Dollars]]</f>
        <v>6998.9421044717819</v>
      </c>
    </row>
    <row r="1661" spans="1:9" x14ac:dyDescent="0.35">
      <c r="A1661">
        <v>1660</v>
      </c>
      <c r="B1661" t="s">
        <v>13</v>
      </c>
      <c r="C1661" s="2">
        <v>38122</v>
      </c>
      <c r="D1661">
        <f>YEAR(ProductLine[[#This Row],[Date]])</f>
        <v>2004</v>
      </c>
      <c r="E1661">
        <f>MONTH(ProductLine[[#This Row],[Date]])</f>
        <v>5</v>
      </c>
      <c r="F1661" t="s">
        <v>24</v>
      </c>
      <c r="G1661">
        <v>73</v>
      </c>
      <c r="H1661" s="3">
        <v>221.16800423559653</v>
      </c>
      <c r="I1661" s="3">
        <f>ProductLine[[#This Row],[Units]]*ProductLine[[#This Row],[Dollars]]</f>
        <v>16145.264309198546</v>
      </c>
    </row>
    <row r="1662" spans="1:9" x14ac:dyDescent="0.35">
      <c r="A1662">
        <v>1661</v>
      </c>
      <c r="B1662" t="s">
        <v>10</v>
      </c>
      <c r="C1662" s="2">
        <v>38507</v>
      </c>
      <c r="D1662">
        <f>YEAR(ProductLine[[#This Row],[Date]])</f>
        <v>2005</v>
      </c>
      <c r="E1662">
        <f>MONTH(ProductLine[[#This Row],[Date]])</f>
        <v>6</v>
      </c>
      <c r="F1662" t="s">
        <v>24</v>
      </c>
      <c r="G1662">
        <v>28</v>
      </c>
      <c r="H1662" s="3">
        <v>85.646088345809403</v>
      </c>
      <c r="I1662" s="3">
        <f>ProductLine[[#This Row],[Units]]*ProductLine[[#This Row],[Dollars]]</f>
        <v>2398.0904736826633</v>
      </c>
    </row>
    <row r="1663" spans="1:9" x14ac:dyDescent="0.35">
      <c r="A1663">
        <v>1662</v>
      </c>
      <c r="B1663" t="s">
        <v>11</v>
      </c>
      <c r="C1663" s="2">
        <v>38683</v>
      </c>
      <c r="D1663">
        <f>YEAR(ProductLine[[#This Row],[Date]])</f>
        <v>2005</v>
      </c>
      <c r="E1663">
        <f>MONTH(ProductLine[[#This Row],[Date]])</f>
        <v>11</v>
      </c>
      <c r="F1663" t="s">
        <v>26</v>
      </c>
      <c r="G1663">
        <v>12</v>
      </c>
      <c r="H1663" s="3">
        <v>38.543998121108487</v>
      </c>
      <c r="I1663" s="3">
        <f>ProductLine[[#This Row],[Units]]*ProductLine[[#This Row],[Dollars]]</f>
        <v>462.52797745330184</v>
      </c>
    </row>
    <row r="1664" spans="1:9" x14ac:dyDescent="0.35">
      <c r="A1664">
        <v>1663</v>
      </c>
      <c r="B1664" t="s">
        <v>17</v>
      </c>
      <c r="C1664" s="2">
        <v>38474</v>
      </c>
      <c r="D1664">
        <f>YEAR(ProductLine[[#This Row],[Date]])</f>
        <v>2005</v>
      </c>
      <c r="E1664">
        <f>MONTH(ProductLine[[#This Row],[Date]])</f>
        <v>5</v>
      </c>
      <c r="F1664" t="s">
        <v>23</v>
      </c>
      <c r="G1664">
        <v>50</v>
      </c>
      <c r="H1664" s="3">
        <v>152.11340525555411</v>
      </c>
      <c r="I1664" s="3">
        <f>ProductLine[[#This Row],[Units]]*ProductLine[[#This Row],[Dollars]]</f>
        <v>7605.6702627777058</v>
      </c>
    </row>
    <row r="1665" spans="1:9" x14ac:dyDescent="0.35">
      <c r="A1665">
        <v>1664</v>
      </c>
      <c r="B1665" t="s">
        <v>14</v>
      </c>
      <c r="C1665" s="2">
        <v>38991</v>
      </c>
      <c r="D1665">
        <f>YEAR(ProductLine[[#This Row],[Date]])</f>
        <v>2006</v>
      </c>
      <c r="E1665">
        <f>MONTH(ProductLine[[#This Row],[Date]])</f>
        <v>10</v>
      </c>
      <c r="F1665" t="s">
        <v>24</v>
      </c>
      <c r="G1665">
        <v>-5</v>
      </c>
      <c r="H1665" s="3">
        <v>-12.64098802195692</v>
      </c>
      <c r="I1665" s="3">
        <f>ProductLine[[#This Row],[Units]]*ProductLine[[#This Row],[Dollars]]</f>
        <v>63.204940109784602</v>
      </c>
    </row>
    <row r="1666" spans="1:9" x14ac:dyDescent="0.35">
      <c r="A1666">
        <v>1665</v>
      </c>
      <c r="B1666" t="s">
        <v>10</v>
      </c>
      <c r="C1666" s="2">
        <v>38375</v>
      </c>
      <c r="D1666">
        <f>YEAR(ProductLine[[#This Row],[Date]])</f>
        <v>2005</v>
      </c>
      <c r="E1666">
        <f>MONTH(ProductLine[[#This Row],[Date]])</f>
        <v>1</v>
      </c>
      <c r="F1666" t="s">
        <v>23</v>
      </c>
      <c r="G1666">
        <v>6</v>
      </c>
      <c r="H1666" s="3">
        <v>19.476233913607583</v>
      </c>
      <c r="I1666" s="3">
        <f>ProductLine[[#This Row],[Units]]*ProductLine[[#This Row],[Dollars]]</f>
        <v>116.85740348164549</v>
      </c>
    </row>
    <row r="1667" spans="1:9" x14ac:dyDescent="0.35">
      <c r="A1667">
        <v>1666</v>
      </c>
      <c r="B1667" t="s">
        <v>10</v>
      </c>
      <c r="C1667" s="2">
        <v>38408</v>
      </c>
      <c r="D1667">
        <f>YEAR(ProductLine[[#This Row],[Date]])</f>
        <v>2005</v>
      </c>
      <c r="E1667">
        <f>MONTH(ProductLine[[#This Row],[Date]])</f>
        <v>2</v>
      </c>
      <c r="F1667" t="s">
        <v>24</v>
      </c>
      <c r="G1667">
        <v>63</v>
      </c>
      <c r="H1667" s="3">
        <v>190.56862486239569</v>
      </c>
      <c r="I1667" s="3">
        <f>ProductLine[[#This Row],[Units]]*ProductLine[[#This Row],[Dollars]]</f>
        <v>12005.823366330929</v>
      </c>
    </row>
    <row r="1668" spans="1:9" x14ac:dyDescent="0.35">
      <c r="A1668">
        <v>1667</v>
      </c>
      <c r="B1668" t="s">
        <v>15</v>
      </c>
      <c r="C1668" s="2">
        <v>38881</v>
      </c>
      <c r="D1668">
        <f>YEAR(ProductLine[[#This Row],[Date]])</f>
        <v>2006</v>
      </c>
      <c r="E1668">
        <f>MONTH(ProductLine[[#This Row],[Date]])</f>
        <v>6</v>
      </c>
      <c r="F1668" t="s">
        <v>24</v>
      </c>
      <c r="G1668">
        <v>33</v>
      </c>
      <c r="H1668" s="3">
        <v>100.75324427531469</v>
      </c>
      <c r="I1668" s="3">
        <f>ProductLine[[#This Row],[Units]]*ProductLine[[#This Row],[Dollars]]</f>
        <v>3324.8570610853844</v>
      </c>
    </row>
    <row r="1669" spans="1:9" x14ac:dyDescent="0.35">
      <c r="A1669">
        <v>1668</v>
      </c>
      <c r="B1669" t="s">
        <v>17</v>
      </c>
      <c r="C1669" s="2">
        <v>38254</v>
      </c>
      <c r="D1669">
        <f>YEAR(ProductLine[[#This Row],[Date]])</f>
        <v>2004</v>
      </c>
      <c r="E1669">
        <f>MONTH(ProductLine[[#This Row],[Date]])</f>
        <v>9</v>
      </c>
      <c r="F1669" t="s">
        <v>26</v>
      </c>
      <c r="G1669">
        <v>61</v>
      </c>
      <c r="H1669" s="3">
        <v>185.16541785072013</v>
      </c>
      <c r="I1669" s="3">
        <f>ProductLine[[#This Row],[Units]]*ProductLine[[#This Row],[Dollars]]</f>
        <v>11295.090488893928</v>
      </c>
    </row>
    <row r="1670" spans="1:9" x14ac:dyDescent="0.35">
      <c r="A1670">
        <v>1669</v>
      </c>
      <c r="B1670" t="s">
        <v>13</v>
      </c>
      <c r="C1670" s="2">
        <v>38331</v>
      </c>
      <c r="D1670">
        <f>YEAR(ProductLine[[#This Row],[Date]])</f>
        <v>2004</v>
      </c>
      <c r="E1670">
        <f>MONTH(ProductLine[[#This Row],[Date]])</f>
        <v>12</v>
      </c>
      <c r="F1670" t="s">
        <v>24</v>
      </c>
      <c r="G1670">
        <v>16</v>
      </c>
      <c r="H1670" s="3">
        <v>50.709076483884871</v>
      </c>
      <c r="I1670" s="3">
        <f>ProductLine[[#This Row],[Units]]*ProductLine[[#This Row],[Dollars]]</f>
        <v>811.34522374215794</v>
      </c>
    </row>
    <row r="1671" spans="1:9" x14ac:dyDescent="0.35">
      <c r="A1671">
        <v>1670</v>
      </c>
      <c r="B1671" t="s">
        <v>16</v>
      </c>
      <c r="C1671" s="2">
        <v>38870</v>
      </c>
      <c r="D1671">
        <f>YEAR(ProductLine[[#This Row],[Date]])</f>
        <v>2006</v>
      </c>
      <c r="E1671">
        <f>MONTH(ProductLine[[#This Row],[Date]])</f>
        <v>6</v>
      </c>
      <c r="F1671" t="s">
        <v>26</v>
      </c>
      <c r="G1671">
        <v>15</v>
      </c>
      <c r="H1671" s="3">
        <v>47.142751278135883</v>
      </c>
      <c r="I1671" s="3">
        <f>ProductLine[[#This Row],[Units]]*ProductLine[[#This Row],[Dollars]]</f>
        <v>707.14126917203828</v>
      </c>
    </row>
    <row r="1672" spans="1:9" x14ac:dyDescent="0.35">
      <c r="A1672">
        <v>1671</v>
      </c>
      <c r="B1672" t="s">
        <v>13</v>
      </c>
      <c r="C1672" s="2">
        <v>38925</v>
      </c>
      <c r="D1672">
        <f>YEAR(ProductLine[[#This Row],[Date]])</f>
        <v>2006</v>
      </c>
      <c r="E1672">
        <f>MONTH(ProductLine[[#This Row],[Date]])</f>
        <v>7</v>
      </c>
      <c r="F1672" t="s">
        <v>26</v>
      </c>
      <c r="G1672">
        <v>-1</v>
      </c>
      <c r="H1672" s="3">
        <v>-0.59949529532525503</v>
      </c>
      <c r="I1672" s="3">
        <f>ProductLine[[#This Row],[Units]]*ProductLine[[#This Row],[Dollars]]</f>
        <v>0.59949529532525503</v>
      </c>
    </row>
    <row r="1673" spans="1:9" x14ac:dyDescent="0.35">
      <c r="A1673">
        <v>1672</v>
      </c>
      <c r="B1673" t="s">
        <v>10</v>
      </c>
      <c r="C1673" s="2">
        <v>38507</v>
      </c>
      <c r="D1673">
        <f>YEAR(ProductLine[[#This Row],[Date]])</f>
        <v>2005</v>
      </c>
      <c r="E1673">
        <f>MONTH(ProductLine[[#This Row],[Date]])</f>
        <v>6</v>
      </c>
      <c r="F1673" t="s">
        <v>23</v>
      </c>
      <c r="G1673">
        <v>28</v>
      </c>
      <c r="H1673" s="3">
        <v>85.359164284772746</v>
      </c>
      <c r="I1673" s="3">
        <f>ProductLine[[#This Row],[Units]]*ProductLine[[#This Row],[Dollars]]</f>
        <v>2390.0565999736368</v>
      </c>
    </row>
    <row r="1674" spans="1:9" x14ac:dyDescent="0.35">
      <c r="A1674">
        <v>1673</v>
      </c>
      <c r="B1674" t="s">
        <v>16</v>
      </c>
      <c r="C1674" s="2">
        <v>38991</v>
      </c>
      <c r="D1674">
        <f>YEAR(ProductLine[[#This Row],[Date]])</f>
        <v>2006</v>
      </c>
      <c r="E1674">
        <f>MONTH(ProductLine[[#This Row],[Date]])</f>
        <v>10</v>
      </c>
      <c r="F1674" t="s">
        <v>24</v>
      </c>
      <c r="G1674">
        <v>74</v>
      </c>
      <c r="H1674" s="3">
        <v>223.5358944867458</v>
      </c>
      <c r="I1674" s="3">
        <f>ProductLine[[#This Row],[Units]]*ProductLine[[#This Row],[Dollars]]</f>
        <v>16541.656192019189</v>
      </c>
    </row>
    <row r="1675" spans="1:9" x14ac:dyDescent="0.35">
      <c r="A1675">
        <v>1674</v>
      </c>
      <c r="B1675" t="s">
        <v>15</v>
      </c>
      <c r="C1675" s="2">
        <v>38089</v>
      </c>
      <c r="D1675">
        <f>YEAR(ProductLine[[#This Row],[Date]])</f>
        <v>2004</v>
      </c>
      <c r="E1675">
        <f>MONTH(ProductLine[[#This Row],[Date]])</f>
        <v>4</v>
      </c>
      <c r="F1675" t="s">
        <v>23</v>
      </c>
      <c r="G1675">
        <v>60</v>
      </c>
      <c r="H1675" s="3">
        <v>182.52957283898829</v>
      </c>
      <c r="I1675" s="3">
        <f>ProductLine[[#This Row],[Units]]*ProductLine[[#This Row],[Dollars]]</f>
        <v>10951.774370339297</v>
      </c>
    </row>
    <row r="1676" spans="1:9" x14ac:dyDescent="0.35">
      <c r="A1676">
        <v>1675</v>
      </c>
      <c r="B1676" t="s">
        <v>14</v>
      </c>
      <c r="C1676" s="2">
        <v>38474</v>
      </c>
      <c r="D1676">
        <f>YEAR(ProductLine[[#This Row],[Date]])</f>
        <v>2005</v>
      </c>
      <c r="E1676">
        <f>MONTH(ProductLine[[#This Row],[Date]])</f>
        <v>5</v>
      </c>
      <c r="F1676" t="s">
        <v>27</v>
      </c>
      <c r="G1676">
        <v>26</v>
      </c>
      <c r="H1676" s="3">
        <v>79.644787892751594</v>
      </c>
      <c r="I1676" s="3">
        <f>ProductLine[[#This Row],[Units]]*ProductLine[[#This Row],[Dollars]]</f>
        <v>2070.7644852115413</v>
      </c>
    </row>
    <row r="1677" spans="1:9" x14ac:dyDescent="0.35">
      <c r="A1677">
        <v>1676</v>
      </c>
      <c r="B1677" t="s">
        <v>10</v>
      </c>
      <c r="C1677" s="2">
        <v>38045</v>
      </c>
      <c r="D1677">
        <f>YEAR(ProductLine[[#This Row],[Date]])</f>
        <v>2004</v>
      </c>
      <c r="E1677">
        <f>MONTH(ProductLine[[#This Row],[Date]])</f>
        <v>2</v>
      </c>
      <c r="F1677" t="s">
        <v>24</v>
      </c>
      <c r="G1677">
        <v>41</v>
      </c>
      <c r="H1677" s="3">
        <v>124.80546413554566</v>
      </c>
      <c r="I1677" s="3">
        <f>ProductLine[[#This Row],[Units]]*ProductLine[[#This Row],[Dollars]]</f>
        <v>5117.0240295573722</v>
      </c>
    </row>
    <row r="1678" spans="1:9" x14ac:dyDescent="0.35">
      <c r="A1678">
        <v>1677</v>
      </c>
      <c r="B1678" t="s">
        <v>11</v>
      </c>
      <c r="C1678" s="2">
        <v>38122</v>
      </c>
      <c r="D1678">
        <f>YEAR(ProductLine[[#This Row],[Date]])</f>
        <v>2004</v>
      </c>
      <c r="E1678">
        <f>MONTH(ProductLine[[#This Row],[Date]])</f>
        <v>5</v>
      </c>
      <c r="F1678" t="s">
        <v>23</v>
      </c>
      <c r="G1678">
        <v>-1</v>
      </c>
      <c r="H1678" s="3">
        <v>-0.72875697552539753</v>
      </c>
      <c r="I1678" s="3">
        <f>ProductLine[[#This Row],[Units]]*ProductLine[[#This Row],[Dollars]]</f>
        <v>0.72875697552539753</v>
      </c>
    </row>
    <row r="1679" spans="1:9" x14ac:dyDescent="0.35">
      <c r="A1679">
        <v>1678</v>
      </c>
      <c r="B1679" t="s">
        <v>11</v>
      </c>
      <c r="C1679" s="2">
        <v>38903</v>
      </c>
      <c r="D1679">
        <f>YEAR(ProductLine[[#This Row],[Date]])</f>
        <v>2006</v>
      </c>
      <c r="E1679">
        <f>MONTH(ProductLine[[#This Row],[Date]])</f>
        <v>7</v>
      </c>
      <c r="F1679" t="s">
        <v>23</v>
      </c>
      <c r="G1679">
        <v>89</v>
      </c>
      <c r="H1679" s="3">
        <v>268.71620455118574</v>
      </c>
      <c r="I1679" s="3">
        <f>ProductLine[[#This Row],[Units]]*ProductLine[[#This Row],[Dollars]]</f>
        <v>23915.742205055532</v>
      </c>
    </row>
    <row r="1680" spans="1:9" x14ac:dyDescent="0.35">
      <c r="A1680">
        <v>1679</v>
      </c>
      <c r="B1680" t="s">
        <v>10</v>
      </c>
      <c r="C1680" s="2">
        <v>38144</v>
      </c>
      <c r="D1680">
        <f>YEAR(ProductLine[[#This Row],[Date]])</f>
        <v>2004</v>
      </c>
      <c r="E1680">
        <f>MONTH(ProductLine[[#This Row],[Date]])</f>
        <v>6</v>
      </c>
      <c r="F1680" t="s">
        <v>27</v>
      </c>
      <c r="G1680">
        <v>12</v>
      </c>
      <c r="H1680" s="3">
        <v>38.034373617715126</v>
      </c>
      <c r="I1680" s="3">
        <f>ProductLine[[#This Row],[Units]]*ProductLine[[#This Row],[Dollars]]</f>
        <v>456.41248341258154</v>
      </c>
    </row>
    <row r="1681" spans="1:9" x14ac:dyDescent="0.35">
      <c r="A1681">
        <v>1680</v>
      </c>
      <c r="B1681" t="s">
        <v>14</v>
      </c>
      <c r="C1681" s="2">
        <v>38276</v>
      </c>
      <c r="D1681">
        <f>YEAR(ProductLine[[#This Row],[Date]])</f>
        <v>2004</v>
      </c>
      <c r="E1681">
        <f>MONTH(ProductLine[[#This Row],[Date]])</f>
        <v>10</v>
      </c>
      <c r="F1681" t="s">
        <v>26</v>
      </c>
      <c r="G1681">
        <v>21</v>
      </c>
      <c r="H1681" s="3">
        <v>65.91159641394708</v>
      </c>
      <c r="I1681" s="3">
        <f>ProductLine[[#This Row],[Units]]*ProductLine[[#This Row],[Dollars]]</f>
        <v>1384.1435246928886</v>
      </c>
    </row>
    <row r="1682" spans="1:9" x14ac:dyDescent="0.35">
      <c r="A1682">
        <v>1681</v>
      </c>
      <c r="B1682" t="s">
        <v>16</v>
      </c>
      <c r="C1682" s="2">
        <v>38892</v>
      </c>
      <c r="D1682">
        <f>YEAR(ProductLine[[#This Row],[Date]])</f>
        <v>2006</v>
      </c>
      <c r="E1682">
        <f>MONTH(ProductLine[[#This Row],[Date]])</f>
        <v>6</v>
      </c>
      <c r="F1682" t="s">
        <v>27</v>
      </c>
      <c r="G1682">
        <v>23</v>
      </c>
      <c r="H1682" s="3">
        <v>71.518171146886857</v>
      </c>
      <c r="I1682" s="3">
        <f>ProductLine[[#This Row],[Units]]*ProductLine[[#This Row],[Dollars]]</f>
        <v>1644.9179363783978</v>
      </c>
    </row>
    <row r="1683" spans="1:9" x14ac:dyDescent="0.35">
      <c r="A1683">
        <v>1682</v>
      </c>
      <c r="B1683" t="s">
        <v>17</v>
      </c>
      <c r="C1683" s="2">
        <v>38441</v>
      </c>
      <c r="D1683">
        <f>YEAR(ProductLine[[#This Row],[Date]])</f>
        <v>2005</v>
      </c>
      <c r="E1683">
        <f>MONTH(ProductLine[[#This Row],[Date]])</f>
        <v>3</v>
      </c>
      <c r="F1683" t="s">
        <v>24</v>
      </c>
      <c r="G1683">
        <v>-7</v>
      </c>
      <c r="H1683" s="3">
        <v>-18.640973323270995</v>
      </c>
      <c r="I1683" s="3">
        <f>ProductLine[[#This Row],[Units]]*ProductLine[[#This Row],[Dollars]]</f>
        <v>130.48681326289696</v>
      </c>
    </row>
    <row r="1684" spans="1:9" x14ac:dyDescent="0.35">
      <c r="A1684">
        <v>1683</v>
      </c>
      <c r="B1684" t="s">
        <v>9</v>
      </c>
      <c r="C1684" s="2">
        <v>38056</v>
      </c>
      <c r="D1684">
        <f>YEAR(ProductLine[[#This Row],[Date]])</f>
        <v>2004</v>
      </c>
      <c r="E1684">
        <f>MONTH(ProductLine[[#This Row],[Date]])</f>
        <v>3</v>
      </c>
      <c r="F1684" t="s">
        <v>24</v>
      </c>
      <c r="G1684">
        <v>35</v>
      </c>
      <c r="H1684" s="3">
        <v>106.65095335657088</v>
      </c>
      <c r="I1684" s="3">
        <f>ProductLine[[#This Row],[Units]]*ProductLine[[#This Row],[Dollars]]</f>
        <v>3732.7833674799808</v>
      </c>
    </row>
    <row r="1685" spans="1:9" x14ac:dyDescent="0.35">
      <c r="A1685">
        <v>1684</v>
      </c>
      <c r="B1685" t="s">
        <v>11</v>
      </c>
      <c r="C1685" s="2">
        <v>38243</v>
      </c>
      <c r="D1685">
        <f>YEAR(ProductLine[[#This Row],[Date]])</f>
        <v>2004</v>
      </c>
      <c r="E1685">
        <f>MONTH(ProductLine[[#This Row],[Date]])</f>
        <v>9</v>
      </c>
      <c r="F1685" t="s">
        <v>27</v>
      </c>
      <c r="G1685">
        <v>94</v>
      </c>
      <c r="H1685" s="3">
        <v>283.7951382741839</v>
      </c>
      <c r="I1685" s="3">
        <f>ProductLine[[#This Row],[Units]]*ProductLine[[#This Row],[Dollars]]</f>
        <v>26676.742997773286</v>
      </c>
    </row>
    <row r="1686" spans="1:9" x14ac:dyDescent="0.35">
      <c r="A1686">
        <v>1685</v>
      </c>
      <c r="B1686" t="s">
        <v>11</v>
      </c>
      <c r="C1686" s="2">
        <v>38661</v>
      </c>
      <c r="D1686">
        <f>YEAR(ProductLine[[#This Row],[Date]])</f>
        <v>2005</v>
      </c>
      <c r="E1686">
        <f>MONTH(ProductLine[[#This Row],[Date]])</f>
        <v>11</v>
      </c>
      <c r="F1686" t="s">
        <v>26</v>
      </c>
      <c r="G1686">
        <v>88</v>
      </c>
      <c r="H1686" s="3">
        <v>265.96151267807471</v>
      </c>
      <c r="I1686" s="3">
        <f>ProductLine[[#This Row],[Units]]*ProductLine[[#This Row],[Dollars]]</f>
        <v>23404.613115670574</v>
      </c>
    </row>
    <row r="1687" spans="1:9" x14ac:dyDescent="0.35">
      <c r="A1687">
        <v>1686</v>
      </c>
      <c r="B1687" t="s">
        <v>11</v>
      </c>
      <c r="C1687" s="2">
        <v>38056</v>
      </c>
      <c r="D1687">
        <f>YEAR(ProductLine[[#This Row],[Date]])</f>
        <v>2004</v>
      </c>
      <c r="E1687">
        <f>MONTH(ProductLine[[#This Row],[Date]])</f>
        <v>3</v>
      </c>
      <c r="F1687" t="s">
        <v>25</v>
      </c>
      <c r="G1687">
        <v>26</v>
      </c>
      <c r="H1687" s="3">
        <v>79.798393656893168</v>
      </c>
      <c r="I1687" s="3">
        <f>ProductLine[[#This Row],[Units]]*ProductLine[[#This Row],[Dollars]]</f>
        <v>2074.7582350792222</v>
      </c>
    </row>
    <row r="1688" spans="1:9" x14ac:dyDescent="0.35">
      <c r="A1688">
        <v>1687</v>
      </c>
      <c r="B1688" t="s">
        <v>17</v>
      </c>
      <c r="C1688" s="2">
        <v>38177</v>
      </c>
      <c r="D1688">
        <f>YEAR(ProductLine[[#This Row],[Date]])</f>
        <v>2004</v>
      </c>
      <c r="E1688">
        <f>MONTH(ProductLine[[#This Row],[Date]])</f>
        <v>7</v>
      </c>
      <c r="F1688" t="s">
        <v>24</v>
      </c>
      <c r="G1688">
        <v>83</v>
      </c>
      <c r="H1688" s="3">
        <v>250.98698082020448</v>
      </c>
      <c r="I1688" s="3">
        <f>ProductLine[[#This Row],[Units]]*ProductLine[[#This Row],[Dollars]]</f>
        <v>20831.91940807697</v>
      </c>
    </row>
    <row r="1689" spans="1:9" x14ac:dyDescent="0.35">
      <c r="A1689">
        <v>1688</v>
      </c>
      <c r="B1689" t="s">
        <v>15</v>
      </c>
      <c r="C1689" s="2">
        <v>38870</v>
      </c>
      <c r="D1689">
        <f>YEAR(ProductLine[[#This Row],[Date]])</f>
        <v>2006</v>
      </c>
      <c r="E1689">
        <f>MONTH(ProductLine[[#This Row],[Date]])</f>
        <v>6</v>
      </c>
      <c r="F1689" t="s">
        <v>27</v>
      </c>
      <c r="G1689">
        <v>11</v>
      </c>
      <c r="H1689" s="3">
        <v>34.677474217404566</v>
      </c>
      <c r="I1689" s="3">
        <f>ProductLine[[#This Row],[Units]]*ProductLine[[#This Row],[Dollars]]</f>
        <v>381.45221639145024</v>
      </c>
    </row>
    <row r="1690" spans="1:9" x14ac:dyDescent="0.35">
      <c r="A1690">
        <v>1689</v>
      </c>
      <c r="B1690" t="s">
        <v>13</v>
      </c>
      <c r="C1690" s="2">
        <v>38980</v>
      </c>
      <c r="D1690">
        <f>YEAR(ProductLine[[#This Row],[Date]])</f>
        <v>2006</v>
      </c>
      <c r="E1690">
        <f>MONTH(ProductLine[[#This Row],[Date]])</f>
        <v>9</v>
      </c>
      <c r="F1690" t="s">
        <v>24</v>
      </c>
      <c r="G1690">
        <v>18</v>
      </c>
      <c r="H1690" s="3">
        <v>56.570167419014545</v>
      </c>
      <c r="I1690" s="3">
        <f>ProductLine[[#This Row],[Units]]*ProductLine[[#This Row],[Dollars]]</f>
        <v>1018.2630135422618</v>
      </c>
    </row>
    <row r="1691" spans="1:9" x14ac:dyDescent="0.35">
      <c r="A1691">
        <v>1690</v>
      </c>
      <c r="B1691" t="s">
        <v>12</v>
      </c>
      <c r="C1691" s="2">
        <v>38430</v>
      </c>
      <c r="D1691">
        <f>YEAR(ProductLine[[#This Row],[Date]])</f>
        <v>2005</v>
      </c>
      <c r="E1691">
        <f>MONTH(ProductLine[[#This Row],[Date]])</f>
        <v>3</v>
      </c>
      <c r="F1691" t="s">
        <v>26</v>
      </c>
      <c r="G1691">
        <v>90</v>
      </c>
      <c r="H1691" s="3">
        <v>272.35988641044867</v>
      </c>
      <c r="I1691" s="3">
        <f>ProductLine[[#This Row],[Units]]*ProductLine[[#This Row],[Dollars]]</f>
        <v>24512.389776940381</v>
      </c>
    </row>
    <row r="1692" spans="1:9" x14ac:dyDescent="0.35">
      <c r="A1692">
        <v>1691</v>
      </c>
      <c r="B1692" t="s">
        <v>13</v>
      </c>
      <c r="C1692" s="2">
        <v>38628</v>
      </c>
      <c r="D1692">
        <f>YEAR(ProductLine[[#This Row],[Date]])</f>
        <v>2005</v>
      </c>
      <c r="E1692">
        <f>MONTH(ProductLine[[#This Row],[Date]])</f>
        <v>10</v>
      </c>
      <c r="F1692" t="s">
        <v>27</v>
      </c>
      <c r="G1692">
        <v>12</v>
      </c>
      <c r="H1692" s="3">
        <v>38.358567090515102</v>
      </c>
      <c r="I1692" s="3">
        <f>ProductLine[[#This Row],[Units]]*ProductLine[[#This Row],[Dollars]]</f>
        <v>460.30280508618125</v>
      </c>
    </row>
    <row r="1693" spans="1:9" x14ac:dyDescent="0.35">
      <c r="A1693">
        <v>1692</v>
      </c>
      <c r="B1693" t="s">
        <v>13</v>
      </c>
      <c r="C1693" s="2">
        <v>38012</v>
      </c>
      <c r="D1693">
        <f>YEAR(ProductLine[[#This Row],[Date]])</f>
        <v>2004</v>
      </c>
      <c r="E1693">
        <f>MONTH(ProductLine[[#This Row],[Date]])</f>
        <v>1</v>
      </c>
      <c r="F1693" t="s">
        <v>23</v>
      </c>
      <c r="G1693">
        <v>39</v>
      </c>
      <c r="H1693" s="3">
        <v>118.63508946594906</v>
      </c>
      <c r="I1693" s="3">
        <f>ProductLine[[#This Row],[Units]]*ProductLine[[#This Row],[Dollars]]</f>
        <v>4626.7684891720137</v>
      </c>
    </row>
    <row r="1694" spans="1:9" x14ac:dyDescent="0.35">
      <c r="A1694">
        <v>1693</v>
      </c>
      <c r="B1694" t="s">
        <v>13</v>
      </c>
      <c r="C1694" s="2">
        <v>38034</v>
      </c>
      <c r="D1694">
        <f>YEAR(ProductLine[[#This Row],[Date]])</f>
        <v>2004</v>
      </c>
      <c r="E1694">
        <f>MONTH(ProductLine[[#This Row],[Date]])</f>
        <v>2</v>
      </c>
      <c r="F1694" t="s">
        <v>25</v>
      </c>
      <c r="G1694">
        <v>45</v>
      </c>
      <c r="H1694" s="3">
        <v>137.71025367694813</v>
      </c>
      <c r="I1694" s="3">
        <f>ProductLine[[#This Row],[Units]]*ProductLine[[#This Row],[Dollars]]</f>
        <v>6196.9614154626661</v>
      </c>
    </row>
    <row r="1695" spans="1:9" x14ac:dyDescent="0.35">
      <c r="A1695">
        <v>1694</v>
      </c>
      <c r="B1695" t="s">
        <v>12</v>
      </c>
      <c r="C1695" s="2">
        <v>39057</v>
      </c>
      <c r="D1695">
        <f>YEAR(ProductLine[[#This Row],[Date]])</f>
        <v>2006</v>
      </c>
      <c r="E1695">
        <f>MONTH(ProductLine[[#This Row],[Date]])</f>
        <v>12</v>
      </c>
      <c r="F1695" t="s">
        <v>24</v>
      </c>
      <c r="G1695">
        <v>74</v>
      </c>
      <c r="H1695" s="3">
        <v>223.24261767904073</v>
      </c>
      <c r="I1695" s="3">
        <f>ProductLine[[#This Row],[Units]]*ProductLine[[#This Row],[Dollars]]</f>
        <v>16519.953708249013</v>
      </c>
    </row>
    <row r="1696" spans="1:9" x14ac:dyDescent="0.35">
      <c r="A1696">
        <v>1695</v>
      </c>
      <c r="B1696" t="s">
        <v>13</v>
      </c>
      <c r="C1696" s="2">
        <v>38551</v>
      </c>
      <c r="D1696">
        <f>YEAR(ProductLine[[#This Row],[Date]])</f>
        <v>2005</v>
      </c>
      <c r="E1696">
        <f>MONTH(ProductLine[[#This Row],[Date]])</f>
        <v>7</v>
      </c>
      <c r="F1696" t="s">
        <v>24</v>
      </c>
      <c r="G1696">
        <v>95</v>
      </c>
      <c r="H1696" s="3">
        <v>286.97940760158696</v>
      </c>
      <c r="I1696" s="3">
        <f>ProductLine[[#This Row],[Units]]*ProductLine[[#This Row],[Dollars]]</f>
        <v>27263.04372215076</v>
      </c>
    </row>
    <row r="1697" spans="1:9" x14ac:dyDescent="0.35">
      <c r="A1697">
        <v>1696</v>
      </c>
      <c r="B1697" t="s">
        <v>10</v>
      </c>
      <c r="C1697" s="2">
        <v>38144</v>
      </c>
      <c r="D1697">
        <f>YEAR(ProductLine[[#This Row],[Date]])</f>
        <v>2004</v>
      </c>
      <c r="E1697">
        <f>MONTH(ProductLine[[#This Row],[Date]])</f>
        <v>6</v>
      </c>
      <c r="F1697" t="s">
        <v>23</v>
      </c>
      <c r="G1697">
        <v>48</v>
      </c>
      <c r="H1697" s="3">
        <v>145.47941837398358</v>
      </c>
      <c r="I1697" s="3">
        <f>ProductLine[[#This Row],[Units]]*ProductLine[[#This Row],[Dollars]]</f>
        <v>6983.0120819512122</v>
      </c>
    </row>
    <row r="1698" spans="1:9" x14ac:dyDescent="0.35">
      <c r="A1698">
        <v>1697</v>
      </c>
      <c r="B1698" t="s">
        <v>9</v>
      </c>
      <c r="C1698" s="2">
        <v>38276</v>
      </c>
      <c r="D1698">
        <f>YEAR(ProductLine[[#This Row],[Date]])</f>
        <v>2004</v>
      </c>
      <c r="E1698">
        <f>MONTH(ProductLine[[#This Row],[Date]])</f>
        <v>10</v>
      </c>
      <c r="F1698" t="s">
        <v>27</v>
      </c>
      <c r="G1698">
        <v>-3</v>
      </c>
      <c r="H1698" s="3">
        <v>-7.0556984383694044</v>
      </c>
      <c r="I1698" s="3">
        <f>ProductLine[[#This Row],[Units]]*ProductLine[[#This Row],[Dollars]]</f>
        <v>21.167095315108213</v>
      </c>
    </row>
    <row r="1699" spans="1:9" x14ac:dyDescent="0.35">
      <c r="A1699">
        <v>1698</v>
      </c>
      <c r="B1699" t="s">
        <v>14</v>
      </c>
      <c r="C1699" s="2">
        <v>38496</v>
      </c>
      <c r="D1699">
        <f>YEAR(ProductLine[[#This Row],[Date]])</f>
        <v>2005</v>
      </c>
      <c r="E1699">
        <f>MONTH(ProductLine[[#This Row],[Date]])</f>
        <v>5</v>
      </c>
      <c r="F1699" t="s">
        <v>25</v>
      </c>
      <c r="G1699">
        <v>92</v>
      </c>
      <c r="H1699" s="3">
        <v>278.51510126549795</v>
      </c>
      <c r="I1699" s="3">
        <f>ProductLine[[#This Row],[Units]]*ProductLine[[#This Row],[Dollars]]</f>
        <v>25623.389316425812</v>
      </c>
    </row>
    <row r="1700" spans="1:9" x14ac:dyDescent="0.35">
      <c r="A1700">
        <v>1699</v>
      </c>
      <c r="B1700" t="s">
        <v>12</v>
      </c>
      <c r="C1700" s="2">
        <v>38419</v>
      </c>
      <c r="D1700">
        <f>YEAR(ProductLine[[#This Row],[Date]])</f>
        <v>2005</v>
      </c>
      <c r="E1700">
        <f>MONTH(ProductLine[[#This Row],[Date]])</f>
        <v>3</v>
      </c>
      <c r="F1700" t="s">
        <v>27</v>
      </c>
      <c r="G1700">
        <v>17</v>
      </c>
      <c r="H1700" s="3">
        <v>53.278847558385984</v>
      </c>
      <c r="I1700" s="3">
        <f>ProductLine[[#This Row],[Units]]*ProductLine[[#This Row],[Dollars]]</f>
        <v>905.74040849256176</v>
      </c>
    </row>
    <row r="1701" spans="1:9" x14ac:dyDescent="0.35">
      <c r="A1701">
        <v>1700</v>
      </c>
      <c r="B1701" t="s">
        <v>10</v>
      </c>
      <c r="C1701" s="2">
        <v>38287</v>
      </c>
      <c r="D1701">
        <f>YEAR(ProductLine[[#This Row],[Date]])</f>
        <v>2004</v>
      </c>
      <c r="E1701">
        <f>MONTH(ProductLine[[#This Row],[Date]])</f>
        <v>10</v>
      </c>
      <c r="F1701" t="s">
        <v>23</v>
      </c>
      <c r="G1701">
        <v>45</v>
      </c>
      <c r="H1701" s="3">
        <v>136.31233370896607</v>
      </c>
      <c r="I1701" s="3">
        <f>ProductLine[[#This Row],[Units]]*ProductLine[[#This Row],[Dollars]]</f>
        <v>6134.0550169034732</v>
      </c>
    </row>
    <row r="1702" spans="1:9" x14ac:dyDescent="0.35">
      <c r="A1702">
        <v>1701</v>
      </c>
      <c r="B1702" t="s">
        <v>14</v>
      </c>
      <c r="C1702" s="2">
        <v>39002</v>
      </c>
      <c r="D1702">
        <f>YEAR(ProductLine[[#This Row],[Date]])</f>
        <v>2006</v>
      </c>
      <c r="E1702">
        <f>MONTH(ProductLine[[#This Row],[Date]])</f>
        <v>10</v>
      </c>
      <c r="F1702" t="s">
        <v>25</v>
      </c>
      <c r="G1702">
        <v>62</v>
      </c>
      <c r="H1702" s="3">
        <v>187.97208926447612</v>
      </c>
      <c r="I1702" s="3">
        <f>ProductLine[[#This Row],[Units]]*ProductLine[[#This Row],[Dollars]]</f>
        <v>11654.269534397519</v>
      </c>
    </row>
    <row r="1703" spans="1:9" x14ac:dyDescent="0.35">
      <c r="A1703">
        <v>1702</v>
      </c>
      <c r="B1703" t="s">
        <v>12</v>
      </c>
      <c r="C1703" s="2">
        <v>38287</v>
      </c>
      <c r="D1703">
        <f>YEAR(ProductLine[[#This Row],[Date]])</f>
        <v>2004</v>
      </c>
      <c r="E1703">
        <f>MONTH(ProductLine[[#This Row],[Date]])</f>
        <v>10</v>
      </c>
      <c r="F1703" t="s">
        <v>24</v>
      </c>
      <c r="G1703">
        <v>52</v>
      </c>
      <c r="H1703" s="3">
        <v>158.0460445332865</v>
      </c>
      <c r="I1703" s="3">
        <f>ProductLine[[#This Row],[Units]]*ProductLine[[#This Row],[Dollars]]</f>
        <v>8218.3943157308986</v>
      </c>
    </row>
    <row r="1704" spans="1:9" x14ac:dyDescent="0.35">
      <c r="A1704">
        <v>1703</v>
      </c>
      <c r="B1704" t="s">
        <v>10</v>
      </c>
      <c r="C1704" s="2">
        <v>38133</v>
      </c>
      <c r="D1704">
        <f>YEAR(ProductLine[[#This Row],[Date]])</f>
        <v>2004</v>
      </c>
      <c r="E1704">
        <f>MONTH(ProductLine[[#This Row],[Date]])</f>
        <v>5</v>
      </c>
      <c r="F1704" t="s">
        <v>25</v>
      </c>
      <c r="G1704">
        <v>73</v>
      </c>
      <c r="H1704" s="3">
        <v>221.23952830258372</v>
      </c>
      <c r="I1704" s="3">
        <f>ProductLine[[#This Row],[Units]]*ProductLine[[#This Row],[Dollars]]</f>
        <v>16150.485566088611</v>
      </c>
    </row>
    <row r="1705" spans="1:9" x14ac:dyDescent="0.35">
      <c r="A1705">
        <v>1704</v>
      </c>
      <c r="B1705" t="s">
        <v>17</v>
      </c>
      <c r="C1705" s="2">
        <v>38551</v>
      </c>
      <c r="D1705">
        <f>YEAR(ProductLine[[#This Row],[Date]])</f>
        <v>2005</v>
      </c>
      <c r="E1705">
        <f>MONTH(ProductLine[[#This Row],[Date]])</f>
        <v>7</v>
      </c>
      <c r="F1705" t="s">
        <v>25</v>
      </c>
      <c r="G1705">
        <v>38</v>
      </c>
      <c r="H1705" s="3">
        <v>116.53981147745662</v>
      </c>
      <c r="I1705" s="3">
        <f>ProductLine[[#This Row],[Units]]*ProductLine[[#This Row],[Dollars]]</f>
        <v>4428.5128361433517</v>
      </c>
    </row>
    <row r="1706" spans="1:9" x14ac:dyDescent="0.35">
      <c r="A1706">
        <v>1705</v>
      </c>
      <c r="B1706" t="s">
        <v>10</v>
      </c>
      <c r="C1706" s="2">
        <v>38705</v>
      </c>
      <c r="D1706">
        <f>YEAR(ProductLine[[#This Row],[Date]])</f>
        <v>2005</v>
      </c>
      <c r="E1706">
        <f>MONTH(ProductLine[[#This Row],[Date]])</f>
        <v>12</v>
      </c>
      <c r="F1706" t="s">
        <v>26</v>
      </c>
      <c r="G1706">
        <v>0</v>
      </c>
      <c r="H1706" s="3">
        <v>1.7059716699737852</v>
      </c>
      <c r="I1706" s="3">
        <f>ProductLine[[#This Row],[Units]]*ProductLine[[#This Row],[Dollars]]</f>
        <v>0</v>
      </c>
    </row>
    <row r="1707" spans="1:9" x14ac:dyDescent="0.35">
      <c r="A1707">
        <v>1706</v>
      </c>
      <c r="B1707" t="s">
        <v>16</v>
      </c>
      <c r="C1707" s="2">
        <v>38276</v>
      </c>
      <c r="D1707">
        <f>YEAR(ProductLine[[#This Row],[Date]])</f>
        <v>2004</v>
      </c>
      <c r="E1707">
        <f>MONTH(ProductLine[[#This Row],[Date]])</f>
        <v>10</v>
      </c>
      <c r="F1707" t="s">
        <v>26</v>
      </c>
      <c r="G1707">
        <v>70</v>
      </c>
      <c r="H1707" s="3">
        <v>211.80942925062229</v>
      </c>
      <c r="I1707" s="3">
        <f>ProductLine[[#This Row],[Units]]*ProductLine[[#This Row],[Dollars]]</f>
        <v>14826.660047543561</v>
      </c>
    </row>
    <row r="1708" spans="1:9" x14ac:dyDescent="0.35">
      <c r="A1708">
        <v>1707</v>
      </c>
      <c r="B1708" t="s">
        <v>17</v>
      </c>
      <c r="C1708" s="2">
        <v>38485</v>
      </c>
      <c r="D1708">
        <f>YEAR(ProductLine[[#This Row],[Date]])</f>
        <v>2005</v>
      </c>
      <c r="E1708">
        <f>MONTH(ProductLine[[#This Row],[Date]])</f>
        <v>5</v>
      </c>
      <c r="F1708" t="s">
        <v>24</v>
      </c>
      <c r="G1708">
        <v>-8</v>
      </c>
      <c r="H1708" s="3">
        <v>-22.16452981425434</v>
      </c>
      <c r="I1708" s="3">
        <f>ProductLine[[#This Row],[Units]]*ProductLine[[#This Row],[Dollars]]</f>
        <v>177.31623851403472</v>
      </c>
    </row>
    <row r="1709" spans="1:9" x14ac:dyDescent="0.35">
      <c r="A1709">
        <v>1708</v>
      </c>
      <c r="B1709" t="s">
        <v>17</v>
      </c>
      <c r="C1709" s="2">
        <v>38837</v>
      </c>
      <c r="D1709">
        <f>YEAR(ProductLine[[#This Row],[Date]])</f>
        <v>2006</v>
      </c>
      <c r="E1709">
        <f>MONTH(ProductLine[[#This Row],[Date]])</f>
        <v>4</v>
      </c>
      <c r="F1709" t="s">
        <v>26</v>
      </c>
      <c r="G1709">
        <v>65</v>
      </c>
      <c r="H1709" s="3">
        <v>196.94966457435572</v>
      </c>
      <c r="I1709" s="3">
        <f>ProductLine[[#This Row],[Units]]*ProductLine[[#This Row],[Dollars]]</f>
        <v>12801.728197333123</v>
      </c>
    </row>
    <row r="1710" spans="1:9" x14ac:dyDescent="0.35">
      <c r="A1710">
        <v>1709</v>
      </c>
      <c r="B1710" t="s">
        <v>17</v>
      </c>
      <c r="C1710" s="2">
        <v>39046</v>
      </c>
      <c r="D1710">
        <f>YEAR(ProductLine[[#This Row],[Date]])</f>
        <v>2006</v>
      </c>
      <c r="E1710">
        <f>MONTH(ProductLine[[#This Row],[Date]])</f>
        <v>11</v>
      </c>
      <c r="F1710" t="s">
        <v>23</v>
      </c>
      <c r="G1710">
        <v>-5</v>
      </c>
      <c r="H1710" s="3">
        <v>-12.235172213399022</v>
      </c>
      <c r="I1710" s="3">
        <f>ProductLine[[#This Row],[Units]]*ProductLine[[#This Row],[Dollars]]</f>
        <v>61.175861066995111</v>
      </c>
    </row>
    <row r="1711" spans="1:9" x14ac:dyDescent="0.35">
      <c r="A1711">
        <v>1710</v>
      </c>
      <c r="B1711" t="s">
        <v>17</v>
      </c>
      <c r="C1711" s="2">
        <v>38562</v>
      </c>
      <c r="D1711">
        <f>YEAR(ProductLine[[#This Row],[Date]])</f>
        <v>2005</v>
      </c>
      <c r="E1711">
        <f>MONTH(ProductLine[[#This Row],[Date]])</f>
        <v>7</v>
      </c>
      <c r="F1711" t="s">
        <v>24</v>
      </c>
      <c r="G1711">
        <v>34</v>
      </c>
      <c r="H1711" s="3">
        <v>104.46148815266854</v>
      </c>
      <c r="I1711" s="3">
        <f>ProductLine[[#This Row],[Units]]*ProductLine[[#This Row],[Dollars]]</f>
        <v>3551.6905971907304</v>
      </c>
    </row>
    <row r="1712" spans="1:9" x14ac:dyDescent="0.35">
      <c r="A1712">
        <v>1711</v>
      </c>
      <c r="B1712" t="s">
        <v>13</v>
      </c>
      <c r="C1712" s="2">
        <v>38804</v>
      </c>
      <c r="D1712">
        <f>YEAR(ProductLine[[#This Row],[Date]])</f>
        <v>2006</v>
      </c>
      <c r="E1712">
        <f>MONTH(ProductLine[[#This Row],[Date]])</f>
        <v>3</v>
      </c>
      <c r="F1712" t="s">
        <v>23</v>
      </c>
      <c r="G1712">
        <v>72</v>
      </c>
      <c r="H1712" s="3">
        <v>217.88587173222501</v>
      </c>
      <c r="I1712" s="3">
        <f>ProductLine[[#This Row],[Units]]*ProductLine[[#This Row],[Dollars]]</f>
        <v>15687.782764720201</v>
      </c>
    </row>
    <row r="1713" spans="1:9" x14ac:dyDescent="0.35">
      <c r="A1713">
        <v>1712</v>
      </c>
      <c r="B1713" t="s">
        <v>16</v>
      </c>
      <c r="C1713" s="2">
        <v>38386</v>
      </c>
      <c r="D1713">
        <f>YEAR(ProductLine[[#This Row],[Date]])</f>
        <v>2005</v>
      </c>
      <c r="E1713">
        <f>MONTH(ProductLine[[#This Row],[Date]])</f>
        <v>2</v>
      </c>
      <c r="F1713" t="s">
        <v>26</v>
      </c>
      <c r="G1713">
        <v>-1</v>
      </c>
      <c r="H1713" s="3">
        <v>-0.65444775995364735</v>
      </c>
      <c r="I1713" s="3">
        <f>ProductLine[[#This Row],[Units]]*ProductLine[[#This Row],[Dollars]]</f>
        <v>0.65444775995364735</v>
      </c>
    </row>
    <row r="1714" spans="1:9" x14ac:dyDescent="0.35">
      <c r="A1714">
        <v>1713</v>
      </c>
      <c r="B1714" t="s">
        <v>15</v>
      </c>
      <c r="C1714" s="2">
        <v>38694</v>
      </c>
      <c r="D1714">
        <f>YEAR(ProductLine[[#This Row],[Date]])</f>
        <v>2005</v>
      </c>
      <c r="E1714">
        <f>MONTH(ProductLine[[#This Row],[Date]])</f>
        <v>12</v>
      </c>
      <c r="F1714" t="s">
        <v>23</v>
      </c>
      <c r="G1714">
        <v>40</v>
      </c>
      <c r="H1714" s="3">
        <v>122.14268476291653</v>
      </c>
      <c r="I1714" s="3">
        <f>ProductLine[[#This Row],[Units]]*ProductLine[[#This Row],[Dollars]]</f>
        <v>4885.7073905166617</v>
      </c>
    </row>
    <row r="1715" spans="1:9" x14ac:dyDescent="0.35">
      <c r="A1715">
        <v>1714</v>
      </c>
      <c r="B1715" t="s">
        <v>10</v>
      </c>
      <c r="C1715" s="2">
        <v>38969</v>
      </c>
      <c r="D1715">
        <f>YEAR(ProductLine[[#This Row],[Date]])</f>
        <v>2006</v>
      </c>
      <c r="E1715">
        <f>MONTH(ProductLine[[#This Row],[Date]])</f>
        <v>9</v>
      </c>
      <c r="F1715" t="s">
        <v>27</v>
      </c>
      <c r="G1715">
        <v>65</v>
      </c>
      <c r="H1715" s="3">
        <v>196.70486780051661</v>
      </c>
      <c r="I1715" s="3">
        <f>ProductLine[[#This Row],[Units]]*ProductLine[[#This Row],[Dollars]]</f>
        <v>12785.816407033579</v>
      </c>
    </row>
    <row r="1716" spans="1:9" x14ac:dyDescent="0.35">
      <c r="A1716">
        <v>1715</v>
      </c>
      <c r="B1716" t="s">
        <v>17</v>
      </c>
      <c r="C1716" s="2">
        <v>38903</v>
      </c>
      <c r="D1716">
        <f>YEAR(ProductLine[[#This Row],[Date]])</f>
        <v>2006</v>
      </c>
      <c r="E1716">
        <f>MONTH(ProductLine[[#This Row],[Date]])</f>
        <v>7</v>
      </c>
      <c r="F1716" t="s">
        <v>23</v>
      </c>
      <c r="G1716">
        <v>77</v>
      </c>
      <c r="H1716" s="3">
        <v>232.41740522130286</v>
      </c>
      <c r="I1716" s="3">
        <f>ProductLine[[#This Row],[Units]]*ProductLine[[#This Row],[Dollars]]</f>
        <v>17896.140202040318</v>
      </c>
    </row>
    <row r="1717" spans="1:9" x14ac:dyDescent="0.35">
      <c r="A1717">
        <v>1716</v>
      </c>
      <c r="B1717" t="s">
        <v>16</v>
      </c>
      <c r="C1717" s="2">
        <v>38826</v>
      </c>
      <c r="D1717">
        <f>YEAR(ProductLine[[#This Row],[Date]])</f>
        <v>2006</v>
      </c>
      <c r="E1717">
        <f>MONTH(ProductLine[[#This Row],[Date]])</f>
        <v>4</v>
      </c>
      <c r="F1717" t="s">
        <v>27</v>
      </c>
      <c r="G1717">
        <v>51</v>
      </c>
      <c r="H1717" s="3">
        <v>155.00139731564644</v>
      </c>
      <c r="I1717" s="3">
        <f>ProductLine[[#This Row],[Units]]*ProductLine[[#This Row],[Dollars]]</f>
        <v>7905.0712630979688</v>
      </c>
    </row>
    <row r="1718" spans="1:9" x14ac:dyDescent="0.35">
      <c r="A1718">
        <v>1717</v>
      </c>
      <c r="B1718" t="s">
        <v>12</v>
      </c>
      <c r="C1718" s="2">
        <v>38452</v>
      </c>
      <c r="D1718">
        <f>YEAR(ProductLine[[#This Row],[Date]])</f>
        <v>2005</v>
      </c>
      <c r="E1718">
        <f>MONTH(ProductLine[[#This Row],[Date]])</f>
        <v>4</v>
      </c>
      <c r="F1718" t="s">
        <v>24</v>
      </c>
      <c r="G1718">
        <v>-9</v>
      </c>
      <c r="H1718" s="3">
        <v>-25.103275559538364</v>
      </c>
      <c r="I1718" s="3">
        <f>ProductLine[[#This Row],[Units]]*ProductLine[[#This Row],[Dollars]]</f>
        <v>225.92948003584527</v>
      </c>
    </row>
    <row r="1719" spans="1:9" x14ac:dyDescent="0.35">
      <c r="A1719">
        <v>1718</v>
      </c>
      <c r="B1719" t="s">
        <v>16</v>
      </c>
      <c r="C1719" s="2">
        <v>38441</v>
      </c>
      <c r="D1719">
        <f>YEAR(ProductLine[[#This Row],[Date]])</f>
        <v>2005</v>
      </c>
      <c r="E1719">
        <f>MONTH(ProductLine[[#This Row],[Date]])</f>
        <v>3</v>
      </c>
      <c r="F1719" t="s">
        <v>27</v>
      </c>
      <c r="G1719">
        <v>17</v>
      </c>
      <c r="H1719" s="3">
        <v>52.732870933394423</v>
      </c>
      <c r="I1719" s="3">
        <f>ProductLine[[#This Row],[Units]]*ProductLine[[#This Row],[Dollars]]</f>
        <v>896.45880586770522</v>
      </c>
    </row>
    <row r="1720" spans="1:9" x14ac:dyDescent="0.35">
      <c r="A1720">
        <v>1719</v>
      </c>
      <c r="B1720" t="s">
        <v>11</v>
      </c>
      <c r="C1720" s="2">
        <v>38452</v>
      </c>
      <c r="D1720">
        <f>YEAR(ProductLine[[#This Row],[Date]])</f>
        <v>2005</v>
      </c>
      <c r="E1720">
        <f>MONTH(ProductLine[[#This Row],[Date]])</f>
        <v>4</v>
      </c>
      <c r="F1720" t="s">
        <v>26</v>
      </c>
      <c r="G1720">
        <v>11</v>
      </c>
      <c r="H1720" s="3">
        <v>34.806777506140598</v>
      </c>
      <c r="I1720" s="3">
        <f>ProductLine[[#This Row],[Units]]*ProductLine[[#This Row],[Dollars]]</f>
        <v>382.87455256754657</v>
      </c>
    </row>
    <row r="1721" spans="1:9" x14ac:dyDescent="0.35">
      <c r="A1721">
        <v>1720</v>
      </c>
      <c r="B1721" t="s">
        <v>15</v>
      </c>
      <c r="C1721" s="2">
        <v>38892</v>
      </c>
      <c r="D1721">
        <f>YEAR(ProductLine[[#This Row],[Date]])</f>
        <v>2006</v>
      </c>
      <c r="E1721">
        <f>MONTH(ProductLine[[#This Row],[Date]])</f>
        <v>6</v>
      </c>
      <c r="F1721" t="s">
        <v>23</v>
      </c>
      <c r="G1721">
        <v>40</v>
      </c>
      <c r="H1721" s="3">
        <v>121.64869809891456</v>
      </c>
      <c r="I1721" s="3">
        <f>ProductLine[[#This Row],[Units]]*ProductLine[[#This Row],[Dollars]]</f>
        <v>4865.9479239565826</v>
      </c>
    </row>
    <row r="1722" spans="1:9" x14ac:dyDescent="0.35">
      <c r="A1722">
        <v>1721</v>
      </c>
      <c r="B1722" t="s">
        <v>11</v>
      </c>
      <c r="C1722" s="2">
        <v>38584</v>
      </c>
      <c r="D1722">
        <f>YEAR(ProductLine[[#This Row],[Date]])</f>
        <v>2005</v>
      </c>
      <c r="E1722">
        <f>MONTH(ProductLine[[#This Row],[Date]])</f>
        <v>8</v>
      </c>
      <c r="F1722" t="s">
        <v>24</v>
      </c>
      <c r="G1722">
        <v>67</v>
      </c>
      <c r="H1722" s="3">
        <v>202.72483169959665</v>
      </c>
      <c r="I1722" s="3">
        <f>ProductLine[[#This Row],[Units]]*ProductLine[[#This Row],[Dollars]]</f>
        <v>13582.563723872976</v>
      </c>
    </row>
    <row r="1723" spans="1:9" x14ac:dyDescent="0.35">
      <c r="A1723">
        <v>1722</v>
      </c>
      <c r="B1723" t="s">
        <v>17</v>
      </c>
      <c r="C1723" s="2">
        <v>38562</v>
      </c>
      <c r="D1723">
        <f>YEAR(ProductLine[[#This Row],[Date]])</f>
        <v>2005</v>
      </c>
      <c r="E1723">
        <f>MONTH(ProductLine[[#This Row],[Date]])</f>
        <v>7</v>
      </c>
      <c r="F1723" t="s">
        <v>25</v>
      </c>
      <c r="G1723">
        <v>79</v>
      </c>
      <c r="H1723" s="3">
        <v>239.25066766148794</v>
      </c>
      <c r="I1723" s="3">
        <f>ProductLine[[#This Row],[Units]]*ProductLine[[#This Row],[Dollars]]</f>
        <v>18900.802745257548</v>
      </c>
    </row>
    <row r="1724" spans="1:9" x14ac:dyDescent="0.35">
      <c r="A1724">
        <v>1723</v>
      </c>
      <c r="B1724" t="s">
        <v>12</v>
      </c>
      <c r="C1724" s="2">
        <v>38122</v>
      </c>
      <c r="D1724">
        <f>YEAR(ProductLine[[#This Row],[Date]])</f>
        <v>2004</v>
      </c>
      <c r="E1724">
        <f>MONTH(ProductLine[[#This Row],[Date]])</f>
        <v>5</v>
      </c>
      <c r="F1724" t="s">
        <v>24</v>
      </c>
      <c r="G1724">
        <v>-7</v>
      </c>
      <c r="H1724" s="3">
        <v>-19.159862376296054</v>
      </c>
      <c r="I1724" s="3">
        <f>ProductLine[[#This Row],[Units]]*ProductLine[[#This Row],[Dollars]]</f>
        <v>134.11903663407239</v>
      </c>
    </row>
    <row r="1725" spans="1:9" x14ac:dyDescent="0.35">
      <c r="A1725">
        <v>1724</v>
      </c>
      <c r="B1725" t="s">
        <v>12</v>
      </c>
      <c r="C1725" s="2">
        <v>38496</v>
      </c>
      <c r="D1725">
        <f>YEAR(ProductLine[[#This Row],[Date]])</f>
        <v>2005</v>
      </c>
      <c r="E1725">
        <f>MONTH(ProductLine[[#This Row],[Date]])</f>
        <v>5</v>
      </c>
      <c r="F1725" t="s">
        <v>27</v>
      </c>
      <c r="G1725">
        <v>72</v>
      </c>
      <c r="H1725" s="3">
        <v>218.05969697818949</v>
      </c>
      <c r="I1725" s="3">
        <f>ProductLine[[#This Row],[Units]]*ProductLine[[#This Row],[Dollars]]</f>
        <v>15700.298182429644</v>
      </c>
    </row>
    <row r="1726" spans="1:9" x14ac:dyDescent="0.35">
      <c r="A1726">
        <v>1725</v>
      </c>
      <c r="B1726" t="s">
        <v>13</v>
      </c>
      <c r="C1726" s="2">
        <v>38562</v>
      </c>
      <c r="D1726">
        <f>YEAR(ProductLine[[#This Row],[Date]])</f>
        <v>2005</v>
      </c>
      <c r="E1726">
        <f>MONTH(ProductLine[[#This Row],[Date]])</f>
        <v>7</v>
      </c>
      <c r="F1726" t="s">
        <v>26</v>
      </c>
      <c r="G1726">
        <v>53</v>
      </c>
      <c r="H1726" s="3">
        <v>160.76900841046421</v>
      </c>
      <c r="I1726" s="3">
        <f>ProductLine[[#This Row],[Units]]*ProductLine[[#This Row],[Dollars]]</f>
        <v>8520.7574457546034</v>
      </c>
    </row>
    <row r="1727" spans="1:9" x14ac:dyDescent="0.35">
      <c r="A1727">
        <v>1726</v>
      </c>
      <c r="B1727" t="s">
        <v>15</v>
      </c>
      <c r="C1727" s="2">
        <v>38903</v>
      </c>
      <c r="D1727">
        <f>YEAR(ProductLine[[#This Row],[Date]])</f>
        <v>2006</v>
      </c>
      <c r="E1727">
        <f>MONTH(ProductLine[[#This Row],[Date]])</f>
        <v>7</v>
      </c>
      <c r="F1727" t="s">
        <v>26</v>
      </c>
      <c r="G1727">
        <v>35</v>
      </c>
      <c r="H1727" s="3">
        <v>107.40939275823844</v>
      </c>
      <c r="I1727" s="3">
        <f>ProductLine[[#This Row],[Units]]*ProductLine[[#This Row],[Dollars]]</f>
        <v>3759.3287465383455</v>
      </c>
    </row>
    <row r="1728" spans="1:9" x14ac:dyDescent="0.35">
      <c r="A1728">
        <v>1727</v>
      </c>
      <c r="B1728" t="s">
        <v>11</v>
      </c>
      <c r="C1728" s="2">
        <v>39024</v>
      </c>
      <c r="D1728">
        <f>YEAR(ProductLine[[#This Row],[Date]])</f>
        <v>2006</v>
      </c>
      <c r="E1728">
        <f>MONTH(ProductLine[[#This Row],[Date]])</f>
        <v>11</v>
      </c>
      <c r="F1728" t="s">
        <v>23</v>
      </c>
      <c r="G1728">
        <v>39</v>
      </c>
      <c r="H1728" s="3">
        <v>118.67053890819109</v>
      </c>
      <c r="I1728" s="3">
        <f>ProductLine[[#This Row],[Units]]*ProductLine[[#This Row],[Dollars]]</f>
        <v>4628.1510174194527</v>
      </c>
    </row>
    <row r="1729" spans="1:9" x14ac:dyDescent="0.35">
      <c r="A1729">
        <v>1728</v>
      </c>
      <c r="B1729" t="s">
        <v>13</v>
      </c>
      <c r="C1729" s="2">
        <v>38177</v>
      </c>
      <c r="D1729">
        <f>YEAR(ProductLine[[#This Row],[Date]])</f>
        <v>2004</v>
      </c>
      <c r="E1729">
        <f>MONTH(ProductLine[[#This Row],[Date]])</f>
        <v>7</v>
      </c>
      <c r="F1729" t="s">
        <v>27</v>
      </c>
      <c r="G1729">
        <v>-7</v>
      </c>
      <c r="H1729" s="3">
        <v>-19.354078968263273</v>
      </c>
      <c r="I1729" s="3">
        <f>ProductLine[[#This Row],[Units]]*ProductLine[[#This Row],[Dollars]]</f>
        <v>135.47855277784291</v>
      </c>
    </row>
    <row r="1730" spans="1:9" x14ac:dyDescent="0.35">
      <c r="A1730">
        <v>1729</v>
      </c>
      <c r="B1730" t="s">
        <v>14</v>
      </c>
      <c r="C1730" s="2">
        <v>38155</v>
      </c>
      <c r="D1730">
        <f>YEAR(ProductLine[[#This Row],[Date]])</f>
        <v>2004</v>
      </c>
      <c r="E1730">
        <f>MONTH(ProductLine[[#This Row],[Date]])</f>
        <v>6</v>
      </c>
      <c r="F1730" t="s">
        <v>26</v>
      </c>
      <c r="G1730">
        <v>68</v>
      </c>
      <c r="H1730" s="3">
        <v>206.3442384317722</v>
      </c>
      <c r="I1730" s="3">
        <f>ProductLine[[#This Row],[Units]]*ProductLine[[#This Row],[Dollars]]</f>
        <v>14031.40821336051</v>
      </c>
    </row>
    <row r="1731" spans="1:9" x14ac:dyDescent="0.35">
      <c r="A1731">
        <v>1730</v>
      </c>
      <c r="B1731" t="s">
        <v>15</v>
      </c>
      <c r="C1731" s="2">
        <v>38287</v>
      </c>
      <c r="D1731">
        <f>YEAR(ProductLine[[#This Row],[Date]])</f>
        <v>2004</v>
      </c>
      <c r="E1731">
        <f>MONTH(ProductLine[[#This Row],[Date]])</f>
        <v>10</v>
      </c>
      <c r="F1731" t="s">
        <v>26</v>
      </c>
      <c r="G1731">
        <v>86</v>
      </c>
      <c r="H1731" s="3">
        <v>260.29001268034375</v>
      </c>
      <c r="I1731" s="3">
        <f>ProductLine[[#This Row],[Units]]*ProductLine[[#This Row],[Dollars]]</f>
        <v>22384.941090509561</v>
      </c>
    </row>
    <row r="1732" spans="1:9" x14ac:dyDescent="0.35">
      <c r="A1732">
        <v>1731</v>
      </c>
      <c r="B1732" t="s">
        <v>9</v>
      </c>
      <c r="C1732" s="2">
        <v>38595</v>
      </c>
      <c r="D1732">
        <f>YEAR(ProductLine[[#This Row],[Date]])</f>
        <v>2005</v>
      </c>
      <c r="E1732">
        <f>MONTH(ProductLine[[#This Row],[Date]])</f>
        <v>8</v>
      </c>
      <c r="F1732" t="s">
        <v>25</v>
      </c>
      <c r="G1732">
        <v>84</v>
      </c>
      <c r="H1732" s="3">
        <v>254.77631099529688</v>
      </c>
      <c r="I1732" s="3">
        <f>ProductLine[[#This Row],[Units]]*ProductLine[[#This Row],[Dollars]]</f>
        <v>21401.210123604938</v>
      </c>
    </row>
    <row r="1733" spans="1:9" x14ac:dyDescent="0.35">
      <c r="A1733">
        <v>1732</v>
      </c>
      <c r="B1733" t="s">
        <v>14</v>
      </c>
      <c r="C1733" s="2">
        <v>39046</v>
      </c>
      <c r="D1733">
        <f>YEAR(ProductLine[[#This Row],[Date]])</f>
        <v>2006</v>
      </c>
      <c r="E1733">
        <f>MONTH(ProductLine[[#This Row],[Date]])</f>
        <v>11</v>
      </c>
      <c r="F1733" t="s">
        <v>27</v>
      </c>
      <c r="G1733">
        <v>6</v>
      </c>
      <c r="H1733" s="3">
        <v>19.965040351983745</v>
      </c>
      <c r="I1733" s="3">
        <f>ProductLine[[#This Row],[Units]]*ProductLine[[#This Row],[Dollars]]</f>
        <v>119.79024211190247</v>
      </c>
    </row>
    <row r="1734" spans="1:9" x14ac:dyDescent="0.35">
      <c r="A1734">
        <v>1733</v>
      </c>
      <c r="B1734" t="s">
        <v>9</v>
      </c>
      <c r="C1734" s="2">
        <v>38727</v>
      </c>
      <c r="D1734">
        <f>YEAR(ProductLine[[#This Row],[Date]])</f>
        <v>2006</v>
      </c>
      <c r="E1734">
        <f>MONTH(ProductLine[[#This Row],[Date]])</f>
        <v>1</v>
      </c>
      <c r="F1734" t="s">
        <v>25</v>
      </c>
      <c r="G1734">
        <v>-5</v>
      </c>
      <c r="H1734" s="3">
        <v>-12.772394146444128</v>
      </c>
      <c r="I1734" s="3">
        <f>ProductLine[[#This Row],[Units]]*ProductLine[[#This Row],[Dollars]]</f>
        <v>63.861970732220641</v>
      </c>
    </row>
    <row r="1735" spans="1:9" x14ac:dyDescent="0.35">
      <c r="A1735">
        <v>1734</v>
      </c>
      <c r="B1735" t="s">
        <v>14</v>
      </c>
      <c r="C1735" s="2">
        <v>38815</v>
      </c>
      <c r="D1735">
        <f>YEAR(ProductLine[[#This Row],[Date]])</f>
        <v>2006</v>
      </c>
      <c r="E1735">
        <f>MONTH(ProductLine[[#This Row],[Date]])</f>
        <v>4</v>
      </c>
      <c r="F1735" t="s">
        <v>23</v>
      </c>
      <c r="G1735">
        <v>22</v>
      </c>
      <c r="H1735" s="3">
        <v>67.936736058497871</v>
      </c>
      <c r="I1735" s="3">
        <f>ProductLine[[#This Row],[Units]]*ProductLine[[#This Row],[Dollars]]</f>
        <v>1494.6081932869531</v>
      </c>
    </row>
    <row r="1736" spans="1:9" x14ac:dyDescent="0.35">
      <c r="A1736">
        <v>1735</v>
      </c>
      <c r="B1736" t="s">
        <v>9</v>
      </c>
      <c r="C1736" s="2">
        <v>38694</v>
      </c>
      <c r="D1736">
        <f>YEAR(ProductLine[[#This Row],[Date]])</f>
        <v>2005</v>
      </c>
      <c r="E1736">
        <f>MONTH(ProductLine[[#This Row],[Date]])</f>
        <v>12</v>
      </c>
      <c r="F1736" t="s">
        <v>26</v>
      </c>
      <c r="G1736">
        <v>29</v>
      </c>
      <c r="H1736" s="3">
        <v>89.114636106343568</v>
      </c>
      <c r="I1736" s="3">
        <f>ProductLine[[#This Row],[Units]]*ProductLine[[#This Row],[Dollars]]</f>
        <v>2584.3244470839636</v>
      </c>
    </row>
    <row r="1737" spans="1:9" x14ac:dyDescent="0.35">
      <c r="A1737">
        <v>1736</v>
      </c>
      <c r="B1737" t="s">
        <v>17</v>
      </c>
      <c r="C1737" s="2">
        <v>38298</v>
      </c>
      <c r="D1737">
        <f>YEAR(ProductLine[[#This Row],[Date]])</f>
        <v>2004</v>
      </c>
      <c r="E1737">
        <f>MONTH(ProductLine[[#This Row],[Date]])</f>
        <v>11</v>
      </c>
      <c r="F1737" t="s">
        <v>23</v>
      </c>
      <c r="G1737">
        <v>3</v>
      </c>
      <c r="H1737" s="3">
        <v>10.889833668586128</v>
      </c>
      <c r="I1737" s="3">
        <f>ProductLine[[#This Row],[Units]]*ProductLine[[#This Row],[Dollars]]</f>
        <v>32.669501005758384</v>
      </c>
    </row>
    <row r="1738" spans="1:9" x14ac:dyDescent="0.35">
      <c r="A1738">
        <v>1737</v>
      </c>
      <c r="B1738" t="s">
        <v>11</v>
      </c>
      <c r="C1738" s="2">
        <v>38804</v>
      </c>
      <c r="D1738">
        <f>YEAR(ProductLine[[#This Row],[Date]])</f>
        <v>2006</v>
      </c>
      <c r="E1738">
        <f>MONTH(ProductLine[[#This Row],[Date]])</f>
        <v>3</v>
      </c>
      <c r="F1738" t="s">
        <v>26</v>
      </c>
      <c r="G1738">
        <v>88</v>
      </c>
      <c r="H1738" s="3">
        <v>265.52523967441095</v>
      </c>
      <c r="I1738" s="3">
        <f>ProductLine[[#This Row],[Units]]*ProductLine[[#This Row],[Dollars]]</f>
        <v>23366.221091348165</v>
      </c>
    </row>
    <row r="1739" spans="1:9" x14ac:dyDescent="0.35">
      <c r="A1739">
        <v>1738</v>
      </c>
      <c r="B1739" t="s">
        <v>15</v>
      </c>
      <c r="C1739" s="2">
        <v>38408</v>
      </c>
      <c r="D1739">
        <f>YEAR(ProductLine[[#This Row],[Date]])</f>
        <v>2005</v>
      </c>
      <c r="E1739">
        <f>MONTH(ProductLine[[#This Row],[Date]])</f>
        <v>2</v>
      </c>
      <c r="F1739" t="s">
        <v>26</v>
      </c>
      <c r="G1739">
        <v>41</v>
      </c>
      <c r="H1739" s="3">
        <v>124.98924123949018</v>
      </c>
      <c r="I1739" s="3">
        <f>ProductLine[[#This Row],[Units]]*ProductLine[[#This Row],[Dollars]]</f>
        <v>5124.5588908190975</v>
      </c>
    </row>
    <row r="1740" spans="1:9" x14ac:dyDescent="0.35">
      <c r="A1740">
        <v>1739</v>
      </c>
      <c r="B1740" t="s">
        <v>16</v>
      </c>
      <c r="C1740" s="2">
        <v>38397</v>
      </c>
      <c r="D1740">
        <f>YEAR(ProductLine[[#This Row],[Date]])</f>
        <v>2005</v>
      </c>
      <c r="E1740">
        <f>MONTH(ProductLine[[#This Row],[Date]])</f>
        <v>2</v>
      </c>
      <c r="F1740" t="s">
        <v>24</v>
      </c>
      <c r="G1740">
        <v>59</v>
      </c>
      <c r="H1740" s="3">
        <v>178.83628019769552</v>
      </c>
      <c r="I1740" s="3">
        <f>ProductLine[[#This Row],[Units]]*ProductLine[[#This Row],[Dollars]]</f>
        <v>10551.340531664035</v>
      </c>
    </row>
    <row r="1741" spans="1:9" x14ac:dyDescent="0.35">
      <c r="A1741">
        <v>1740</v>
      </c>
      <c r="B1741" t="s">
        <v>16</v>
      </c>
      <c r="C1741" s="2">
        <v>38265</v>
      </c>
      <c r="D1741">
        <f>YEAR(ProductLine[[#This Row],[Date]])</f>
        <v>2004</v>
      </c>
      <c r="E1741">
        <f>MONTH(ProductLine[[#This Row],[Date]])</f>
        <v>10</v>
      </c>
      <c r="F1741" t="s">
        <v>27</v>
      </c>
      <c r="G1741">
        <v>29</v>
      </c>
      <c r="H1741" s="3">
        <v>89.261658607480399</v>
      </c>
      <c r="I1741" s="3">
        <f>ProductLine[[#This Row],[Units]]*ProductLine[[#This Row],[Dollars]]</f>
        <v>2588.5880996169317</v>
      </c>
    </row>
    <row r="1742" spans="1:9" x14ac:dyDescent="0.35">
      <c r="A1742">
        <v>1741</v>
      </c>
      <c r="B1742" t="s">
        <v>11</v>
      </c>
      <c r="C1742" s="2">
        <v>38034</v>
      </c>
      <c r="D1742">
        <f>YEAR(ProductLine[[#This Row],[Date]])</f>
        <v>2004</v>
      </c>
      <c r="E1742">
        <f>MONTH(ProductLine[[#This Row],[Date]])</f>
        <v>2</v>
      </c>
      <c r="F1742" t="s">
        <v>27</v>
      </c>
      <c r="G1742">
        <v>43</v>
      </c>
      <c r="H1742" s="3">
        <v>130.29965520792396</v>
      </c>
      <c r="I1742" s="3">
        <f>ProductLine[[#This Row],[Units]]*ProductLine[[#This Row],[Dollars]]</f>
        <v>5602.8851739407301</v>
      </c>
    </row>
    <row r="1743" spans="1:9" x14ac:dyDescent="0.35">
      <c r="A1743">
        <v>1742</v>
      </c>
      <c r="B1743" t="s">
        <v>17</v>
      </c>
      <c r="C1743" s="2">
        <v>38826</v>
      </c>
      <c r="D1743">
        <f>YEAR(ProductLine[[#This Row],[Date]])</f>
        <v>2006</v>
      </c>
      <c r="E1743">
        <f>MONTH(ProductLine[[#This Row],[Date]])</f>
        <v>4</v>
      </c>
      <c r="F1743" t="s">
        <v>23</v>
      </c>
      <c r="G1743">
        <v>75</v>
      </c>
      <c r="H1743" s="3">
        <v>227.51732588951381</v>
      </c>
      <c r="I1743" s="3">
        <f>ProductLine[[#This Row],[Units]]*ProductLine[[#This Row],[Dollars]]</f>
        <v>17063.799441713534</v>
      </c>
    </row>
    <row r="1744" spans="1:9" x14ac:dyDescent="0.35">
      <c r="A1744">
        <v>1743</v>
      </c>
      <c r="B1744" t="s">
        <v>9</v>
      </c>
      <c r="C1744" s="2">
        <v>38221</v>
      </c>
      <c r="D1744">
        <f>YEAR(ProductLine[[#This Row],[Date]])</f>
        <v>2004</v>
      </c>
      <c r="E1744">
        <f>MONTH(ProductLine[[#This Row],[Date]])</f>
        <v>8</v>
      </c>
      <c r="F1744" t="s">
        <v>27</v>
      </c>
      <c r="G1744">
        <v>40</v>
      </c>
      <c r="H1744" s="3">
        <v>121.70811716084982</v>
      </c>
      <c r="I1744" s="3">
        <f>ProductLine[[#This Row],[Units]]*ProductLine[[#This Row],[Dollars]]</f>
        <v>4868.3246864339926</v>
      </c>
    </row>
    <row r="1745" spans="1:9" x14ac:dyDescent="0.35">
      <c r="A1745">
        <v>1744</v>
      </c>
      <c r="B1745" t="s">
        <v>17</v>
      </c>
      <c r="C1745" s="2">
        <v>38309</v>
      </c>
      <c r="D1745">
        <f>YEAR(ProductLine[[#This Row],[Date]])</f>
        <v>2004</v>
      </c>
      <c r="E1745">
        <f>MONTH(ProductLine[[#This Row],[Date]])</f>
        <v>11</v>
      </c>
      <c r="F1745" t="s">
        <v>27</v>
      </c>
      <c r="G1745">
        <v>78</v>
      </c>
      <c r="H1745" s="3">
        <v>235.886562763272</v>
      </c>
      <c r="I1745" s="3">
        <f>ProductLine[[#This Row],[Units]]*ProductLine[[#This Row],[Dollars]]</f>
        <v>18399.151895535215</v>
      </c>
    </row>
    <row r="1746" spans="1:9" x14ac:dyDescent="0.35">
      <c r="A1746">
        <v>1745</v>
      </c>
      <c r="B1746" t="s">
        <v>12</v>
      </c>
      <c r="C1746" s="2">
        <v>38430</v>
      </c>
      <c r="D1746">
        <f>YEAR(ProductLine[[#This Row],[Date]])</f>
        <v>2005</v>
      </c>
      <c r="E1746">
        <f>MONTH(ProductLine[[#This Row],[Date]])</f>
        <v>3</v>
      </c>
      <c r="F1746" t="s">
        <v>26</v>
      </c>
      <c r="G1746">
        <v>38</v>
      </c>
      <c r="H1746" s="3">
        <v>115.79763515244602</v>
      </c>
      <c r="I1746" s="3">
        <f>ProductLine[[#This Row],[Units]]*ProductLine[[#This Row],[Dollars]]</f>
        <v>4400.310135792949</v>
      </c>
    </row>
    <row r="1747" spans="1:9" x14ac:dyDescent="0.35">
      <c r="A1747">
        <v>1746</v>
      </c>
      <c r="B1747" t="s">
        <v>15</v>
      </c>
      <c r="C1747" s="2">
        <v>38507</v>
      </c>
      <c r="D1747">
        <f>YEAR(ProductLine[[#This Row],[Date]])</f>
        <v>2005</v>
      </c>
      <c r="E1747">
        <f>MONTH(ProductLine[[#This Row],[Date]])</f>
        <v>6</v>
      </c>
      <c r="F1747" t="s">
        <v>27</v>
      </c>
      <c r="G1747">
        <v>-3</v>
      </c>
      <c r="H1747" s="3">
        <v>-6.3542907791353951</v>
      </c>
      <c r="I1747" s="3">
        <f>ProductLine[[#This Row],[Units]]*ProductLine[[#This Row],[Dollars]]</f>
        <v>19.062872337406183</v>
      </c>
    </row>
    <row r="1748" spans="1:9" x14ac:dyDescent="0.35">
      <c r="A1748">
        <v>1747</v>
      </c>
      <c r="B1748" t="s">
        <v>10</v>
      </c>
      <c r="C1748" s="2">
        <v>38100</v>
      </c>
      <c r="D1748">
        <f>YEAR(ProductLine[[#This Row],[Date]])</f>
        <v>2004</v>
      </c>
      <c r="E1748">
        <f>MONTH(ProductLine[[#This Row],[Date]])</f>
        <v>4</v>
      </c>
      <c r="F1748" t="s">
        <v>24</v>
      </c>
      <c r="G1748">
        <v>34</v>
      </c>
      <c r="H1748" s="3">
        <v>103.8978672415664</v>
      </c>
      <c r="I1748" s="3">
        <f>ProductLine[[#This Row],[Units]]*ProductLine[[#This Row],[Dollars]]</f>
        <v>3532.5274862132578</v>
      </c>
    </row>
    <row r="1749" spans="1:9" x14ac:dyDescent="0.35">
      <c r="A1749">
        <v>1748</v>
      </c>
      <c r="B1749" t="s">
        <v>11</v>
      </c>
      <c r="C1749" s="2">
        <v>38111</v>
      </c>
      <c r="D1749">
        <f>YEAR(ProductLine[[#This Row],[Date]])</f>
        <v>2004</v>
      </c>
      <c r="E1749">
        <f>MONTH(ProductLine[[#This Row],[Date]])</f>
        <v>5</v>
      </c>
      <c r="F1749" t="s">
        <v>26</v>
      </c>
      <c r="G1749">
        <v>85</v>
      </c>
      <c r="H1749" s="3">
        <v>256.4457111777549</v>
      </c>
      <c r="I1749" s="3">
        <f>ProductLine[[#This Row],[Units]]*ProductLine[[#This Row],[Dollars]]</f>
        <v>21797.885450109166</v>
      </c>
    </row>
    <row r="1750" spans="1:9" x14ac:dyDescent="0.35">
      <c r="A1750">
        <v>1749</v>
      </c>
      <c r="B1750" t="s">
        <v>14</v>
      </c>
      <c r="C1750" s="2">
        <v>38672</v>
      </c>
      <c r="D1750">
        <f>YEAR(ProductLine[[#This Row],[Date]])</f>
        <v>2005</v>
      </c>
      <c r="E1750">
        <f>MONTH(ProductLine[[#This Row],[Date]])</f>
        <v>11</v>
      </c>
      <c r="F1750" t="s">
        <v>24</v>
      </c>
      <c r="G1750">
        <v>70</v>
      </c>
      <c r="H1750" s="3">
        <v>212.02897469121848</v>
      </c>
      <c r="I1750" s="3">
        <f>ProductLine[[#This Row],[Units]]*ProductLine[[#This Row],[Dollars]]</f>
        <v>14842.028228385294</v>
      </c>
    </row>
    <row r="1751" spans="1:9" x14ac:dyDescent="0.35">
      <c r="A1751">
        <v>1750</v>
      </c>
      <c r="B1751" t="s">
        <v>15</v>
      </c>
      <c r="C1751" s="2">
        <v>39024</v>
      </c>
      <c r="D1751">
        <f>YEAR(ProductLine[[#This Row],[Date]])</f>
        <v>2006</v>
      </c>
      <c r="E1751">
        <f>MONTH(ProductLine[[#This Row],[Date]])</f>
        <v>11</v>
      </c>
      <c r="F1751" t="s">
        <v>26</v>
      </c>
      <c r="G1751">
        <v>86</v>
      </c>
      <c r="H1751" s="3">
        <v>259.75727876328739</v>
      </c>
      <c r="I1751" s="3">
        <f>ProductLine[[#This Row],[Units]]*ProductLine[[#This Row],[Dollars]]</f>
        <v>22339.125973642716</v>
      </c>
    </row>
    <row r="1752" spans="1:9" x14ac:dyDescent="0.35">
      <c r="A1752">
        <v>1751</v>
      </c>
      <c r="B1752" t="s">
        <v>17</v>
      </c>
      <c r="C1752" s="2">
        <v>39068</v>
      </c>
      <c r="D1752">
        <f>YEAR(ProductLine[[#This Row],[Date]])</f>
        <v>2006</v>
      </c>
      <c r="E1752">
        <f>MONTH(ProductLine[[#This Row],[Date]])</f>
        <v>12</v>
      </c>
      <c r="F1752" t="s">
        <v>24</v>
      </c>
      <c r="G1752">
        <v>47</v>
      </c>
      <c r="H1752" s="3">
        <v>142.93190581421757</v>
      </c>
      <c r="I1752" s="3">
        <f>ProductLine[[#This Row],[Units]]*ProductLine[[#This Row],[Dollars]]</f>
        <v>6717.7995732682257</v>
      </c>
    </row>
    <row r="1753" spans="1:9" x14ac:dyDescent="0.35">
      <c r="A1753">
        <v>1752</v>
      </c>
      <c r="B1753" t="s">
        <v>13</v>
      </c>
      <c r="C1753" s="2">
        <v>38881</v>
      </c>
      <c r="D1753">
        <f>YEAR(ProductLine[[#This Row],[Date]])</f>
        <v>2006</v>
      </c>
      <c r="E1753">
        <f>MONTH(ProductLine[[#This Row],[Date]])</f>
        <v>6</v>
      </c>
      <c r="F1753" t="s">
        <v>25</v>
      </c>
      <c r="G1753">
        <v>20</v>
      </c>
      <c r="H1753" s="3">
        <v>62.6034037824639</v>
      </c>
      <c r="I1753" s="3">
        <f>ProductLine[[#This Row],[Units]]*ProductLine[[#This Row],[Dollars]]</f>
        <v>1252.0680756492779</v>
      </c>
    </row>
    <row r="1754" spans="1:9" x14ac:dyDescent="0.35">
      <c r="A1754">
        <v>1753</v>
      </c>
      <c r="B1754" t="s">
        <v>16</v>
      </c>
      <c r="C1754" s="2">
        <v>38122</v>
      </c>
      <c r="D1754">
        <f>YEAR(ProductLine[[#This Row],[Date]])</f>
        <v>2004</v>
      </c>
      <c r="E1754">
        <f>MONTH(ProductLine[[#This Row],[Date]])</f>
        <v>5</v>
      </c>
      <c r="F1754" t="s">
        <v>27</v>
      </c>
      <c r="G1754">
        <v>33</v>
      </c>
      <c r="H1754" s="3">
        <v>101.41906626440009</v>
      </c>
      <c r="I1754" s="3">
        <f>ProductLine[[#This Row],[Units]]*ProductLine[[#This Row],[Dollars]]</f>
        <v>3346.8291867252028</v>
      </c>
    </row>
    <row r="1755" spans="1:9" x14ac:dyDescent="0.35">
      <c r="A1755">
        <v>1754</v>
      </c>
      <c r="B1755" t="s">
        <v>14</v>
      </c>
      <c r="C1755" s="2">
        <v>38298</v>
      </c>
      <c r="D1755">
        <f>YEAR(ProductLine[[#This Row],[Date]])</f>
        <v>2004</v>
      </c>
      <c r="E1755">
        <f>MONTH(ProductLine[[#This Row],[Date]])</f>
        <v>11</v>
      </c>
      <c r="F1755" t="s">
        <v>27</v>
      </c>
      <c r="G1755">
        <v>-10</v>
      </c>
      <c r="H1755" s="3">
        <v>-27.865488210965292</v>
      </c>
      <c r="I1755" s="3">
        <f>ProductLine[[#This Row],[Units]]*ProductLine[[#This Row],[Dollars]]</f>
        <v>278.65488210965293</v>
      </c>
    </row>
    <row r="1756" spans="1:9" x14ac:dyDescent="0.35">
      <c r="A1756">
        <v>1755</v>
      </c>
      <c r="B1756" t="s">
        <v>17</v>
      </c>
      <c r="C1756" s="2">
        <v>39057</v>
      </c>
      <c r="D1756">
        <f>YEAR(ProductLine[[#This Row],[Date]])</f>
        <v>2006</v>
      </c>
      <c r="E1756">
        <f>MONTH(ProductLine[[#This Row],[Date]])</f>
        <v>12</v>
      </c>
      <c r="F1756" t="s">
        <v>23</v>
      </c>
      <c r="G1756">
        <v>40</v>
      </c>
      <c r="H1756" s="3">
        <v>122.39966734312085</v>
      </c>
      <c r="I1756" s="3">
        <f>ProductLine[[#This Row],[Units]]*ProductLine[[#This Row],[Dollars]]</f>
        <v>4895.9866937248344</v>
      </c>
    </row>
    <row r="1757" spans="1:9" x14ac:dyDescent="0.35">
      <c r="A1757">
        <v>1756</v>
      </c>
      <c r="B1757" t="s">
        <v>15</v>
      </c>
      <c r="C1757" s="2">
        <v>38188</v>
      </c>
      <c r="D1757">
        <f>YEAR(ProductLine[[#This Row],[Date]])</f>
        <v>2004</v>
      </c>
      <c r="E1757">
        <f>MONTH(ProductLine[[#This Row],[Date]])</f>
        <v>7</v>
      </c>
      <c r="F1757" t="s">
        <v>24</v>
      </c>
      <c r="G1757">
        <v>13</v>
      </c>
      <c r="H1757" s="3">
        <v>40.440362188704526</v>
      </c>
      <c r="I1757" s="3">
        <f>ProductLine[[#This Row],[Units]]*ProductLine[[#This Row],[Dollars]]</f>
        <v>525.72470845315888</v>
      </c>
    </row>
    <row r="1758" spans="1:9" x14ac:dyDescent="0.35">
      <c r="A1758">
        <v>1757</v>
      </c>
      <c r="B1758" t="s">
        <v>11</v>
      </c>
      <c r="C1758" s="2">
        <v>38958</v>
      </c>
      <c r="D1758">
        <f>YEAR(ProductLine[[#This Row],[Date]])</f>
        <v>2006</v>
      </c>
      <c r="E1758">
        <f>MONTH(ProductLine[[#This Row],[Date]])</f>
        <v>8</v>
      </c>
      <c r="F1758" t="s">
        <v>23</v>
      </c>
      <c r="G1758">
        <v>20</v>
      </c>
      <c r="H1758" s="3">
        <v>62.159874636859705</v>
      </c>
      <c r="I1758" s="3">
        <f>ProductLine[[#This Row],[Units]]*ProductLine[[#This Row],[Dollars]]</f>
        <v>1243.1974927371941</v>
      </c>
    </row>
    <row r="1759" spans="1:9" x14ac:dyDescent="0.35">
      <c r="A1759">
        <v>1758</v>
      </c>
      <c r="B1759" t="s">
        <v>15</v>
      </c>
      <c r="C1759" s="2">
        <v>38045</v>
      </c>
      <c r="D1759">
        <f>YEAR(ProductLine[[#This Row],[Date]])</f>
        <v>2004</v>
      </c>
      <c r="E1759">
        <f>MONTH(ProductLine[[#This Row],[Date]])</f>
        <v>2</v>
      </c>
      <c r="F1759" t="s">
        <v>26</v>
      </c>
      <c r="G1759">
        <v>22</v>
      </c>
      <c r="H1759" s="3">
        <v>68.778643754081543</v>
      </c>
      <c r="I1759" s="3">
        <f>ProductLine[[#This Row],[Units]]*ProductLine[[#This Row],[Dollars]]</f>
        <v>1513.1301625897941</v>
      </c>
    </row>
    <row r="1760" spans="1:9" x14ac:dyDescent="0.35">
      <c r="A1760">
        <v>1759</v>
      </c>
      <c r="B1760" t="s">
        <v>12</v>
      </c>
      <c r="C1760" s="2">
        <v>38606</v>
      </c>
      <c r="D1760">
        <f>YEAR(ProductLine[[#This Row],[Date]])</f>
        <v>2005</v>
      </c>
      <c r="E1760">
        <f>MONTH(ProductLine[[#This Row],[Date]])</f>
        <v>9</v>
      </c>
      <c r="F1760" t="s">
        <v>24</v>
      </c>
      <c r="G1760">
        <v>91</v>
      </c>
      <c r="H1760" s="3">
        <v>275.56378169889956</v>
      </c>
      <c r="I1760" s="3">
        <f>ProductLine[[#This Row],[Units]]*ProductLine[[#This Row],[Dollars]]</f>
        <v>25076.304134599861</v>
      </c>
    </row>
    <row r="1761" spans="1:9" x14ac:dyDescent="0.35">
      <c r="A1761">
        <v>1760</v>
      </c>
      <c r="B1761" t="s">
        <v>9</v>
      </c>
      <c r="C1761" s="2">
        <v>38848</v>
      </c>
      <c r="D1761">
        <f>YEAR(ProductLine[[#This Row],[Date]])</f>
        <v>2006</v>
      </c>
      <c r="E1761">
        <f>MONTH(ProductLine[[#This Row],[Date]])</f>
        <v>5</v>
      </c>
      <c r="F1761" t="s">
        <v>23</v>
      </c>
      <c r="G1761">
        <v>17</v>
      </c>
      <c r="H1761" s="3">
        <v>53.536546154185139</v>
      </c>
      <c r="I1761" s="3">
        <f>ProductLine[[#This Row],[Units]]*ProductLine[[#This Row],[Dollars]]</f>
        <v>910.12128462114731</v>
      </c>
    </row>
    <row r="1762" spans="1:9" x14ac:dyDescent="0.35">
      <c r="A1762">
        <v>1761</v>
      </c>
      <c r="B1762" t="s">
        <v>12</v>
      </c>
      <c r="C1762" s="2">
        <v>38298</v>
      </c>
      <c r="D1762">
        <f>YEAR(ProductLine[[#This Row],[Date]])</f>
        <v>2004</v>
      </c>
      <c r="E1762">
        <f>MONTH(ProductLine[[#This Row],[Date]])</f>
        <v>11</v>
      </c>
      <c r="F1762" t="s">
        <v>23</v>
      </c>
      <c r="G1762">
        <v>77</v>
      </c>
      <c r="H1762" s="3">
        <v>232.78300193286029</v>
      </c>
      <c r="I1762" s="3">
        <f>ProductLine[[#This Row],[Units]]*ProductLine[[#This Row],[Dollars]]</f>
        <v>17924.291148830242</v>
      </c>
    </row>
    <row r="1763" spans="1:9" x14ac:dyDescent="0.35">
      <c r="A1763">
        <v>1762</v>
      </c>
      <c r="B1763" t="s">
        <v>14</v>
      </c>
      <c r="C1763" s="2">
        <v>39057</v>
      </c>
      <c r="D1763">
        <f>YEAR(ProductLine[[#This Row],[Date]])</f>
        <v>2006</v>
      </c>
      <c r="E1763">
        <f>MONTH(ProductLine[[#This Row],[Date]])</f>
        <v>12</v>
      </c>
      <c r="F1763" t="s">
        <v>27</v>
      </c>
      <c r="G1763">
        <v>8</v>
      </c>
      <c r="H1763" s="3">
        <v>25.170033543748811</v>
      </c>
      <c r="I1763" s="3">
        <f>ProductLine[[#This Row],[Units]]*ProductLine[[#This Row],[Dollars]]</f>
        <v>201.36026834999049</v>
      </c>
    </row>
    <row r="1764" spans="1:9" x14ac:dyDescent="0.35">
      <c r="A1764">
        <v>1763</v>
      </c>
      <c r="B1764" t="s">
        <v>11</v>
      </c>
      <c r="C1764" s="2">
        <v>38584</v>
      </c>
      <c r="D1764">
        <f>YEAR(ProductLine[[#This Row],[Date]])</f>
        <v>2005</v>
      </c>
      <c r="E1764">
        <f>MONTH(ProductLine[[#This Row],[Date]])</f>
        <v>8</v>
      </c>
      <c r="F1764" t="s">
        <v>26</v>
      </c>
      <c r="G1764">
        <v>-1</v>
      </c>
      <c r="H1764" s="3">
        <v>-0.68878150112298231</v>
      </c>
      <c r="I1764" s="3">
        <f>ProductLine[[#This Row],[Units]]*ProductLine[[#This Row],[Dollars]]</f>
        <v>0.68878150112298231</v>
      </c>
    </row>
    <row r="1765" spans="1:9" x14ac:dyDescent="0.35">
      <c r="A1765">
        <v>1764</v>
      </c>
      <c r="B1765" t="s">
        <v>10</v>
      </c>
      <c r="C1765" s="2">
        <v>38507</v>
      </c>
      <c r="D1765">
        <f>YEAR(ProductLine[[#This Row],[Date]])</f>
        <v>2005</v>
      </c>
      <c r="E1765">
        <f>MONTH(ProductLine[[#This Row],[Date]])</f>
        <v>6</v>
      </c>
      <c r="F1765" t="s">
        <v>23</v>
      </c>
      <c r="G1765">
        <v>52</v>
      </c>
      <c r="H1765" s="3">
        <v>158.074363782803</v>
      </c>
      <c r="I1765" s="3">
        <f>ProductLine[[#This Row],[Units]]*ProductLine[[#This Row],[Dollars]]</f>
        <v>8219.866916705756</v>
      </c>
    </row>
    <row r="1766" spans="1:9" x14ac:dyDescent="0.35">
      <c r="A1766">
        <v>1765</v>
      </c>
      <c r="B1766" t="s">
        <v>17</v>
      </c>
      <c r="C1766" s="2">
        <v>38595</v>
      </c>
      <c r="D1766">
        <f>YEAR(ProductLine[[#This Row],[Date]])</f>
        <v>2005</v>
      </c>
      <c r="E1766">
        <f>MONTH(ProductLine[[#This Row],[Date]])</f>
        <v>8</v>
      </c>
      <c r="F1766" t="s">
        <v>27</v>
      </c>
      <c r="G1766">
        <v>50</v>
      </c>
      <c r="H1766" s="3">
        <v>152.59801251978521</v>
      </c>
      <c r="I1766" s="3">
        <f>ProductLine[[#This Row],[Units]]*ProductLine[[#This Row],[Dollars]]</f>
        <v>7629.9006259892603</v>
      </c>
    </row>
    <row r="1767" spans="1:9" x14ac:dyDescent="0.35">
      <c r="A1767">
        <v>1766</v>
      </c>
      <c r="B1767" t="s">
        <v>17</v>
      </c>
      <c r="C1767" s="2">
        <v>38892</v>
      </c>
      <c r="D1767">
        <f>YEAR(ProductLine[[#This Row],[Date]])</f>
        <v>2006</v>
      </c>
      <c r="E1767">
        <f>MONTH(ProductLine[[#This Row],[Date]])</f>
        <v>6</v>
      </c>
      <c r="F1767" t="s">
        <v>24</v>
      </c>
      <c r="G1767">
        <v>69</v>
      </c>
      <c r="H1767" s="3">
        <v>209.27458050780132</v>
      </c>
      <c r="I1767" s="3">
        <f>ProductLine[[#This Row],[Units]]*ProductLine[[#This Row],[Dollars]]</f>
        <v>14439.94605503829</v>
      </c>
    </row>
    <row r="1768" spans="1:9" x14ac:dyDescent="0.35">
      <c r="A1768">
        <v>1767</v>
      </c>
      <c r="B1768" t="s">
        <v>15</v>
      </c>
      <c r="C1768" s="2">
        <v>38870</v>
      </c>
      <c r="D1768">
        <f>YEAR(ProductLine[[#This Row],[Date]])</f>
        <v>2006</v>
      </c>
      <c r="E1768">
        <f>MONTH(ProductLine[[#This Row],[Date]])</f>
        <v>6</v>
      </c>
      <c r="F1768" t="s">
        <v>27</v>
      </c>
      <c r="G1768">
        <v>-10</v>
      </c>
      <c r="H1768" s="3">
        <v>-28.429474612283389</v>
      </c>
      <c r="I1768" s="3">
        <f>ProductLine[[#This Row],[Units]]*ProductLine[[#This Row],[Dollars]]</f>
        <v>284.29474612283389</v>
      </c>
    </row>
    <row r="1769" spans="1:9" x14ac:dyDescent="0.35">
      <c r="A1769">
        <v>1768</v>
      </c>
      <c r="B1769" t="s">
        <v>12</v>
      </c>
      <c r="C1769" s="2">
        <v>38243</v>
      </c>
      <c r="D1769">
        <f>YEAR(ProductLine[[#This Row],[Date]])</f>
        <v>2004</v>
      </c>
      <c r="E1769">
        <f>MONTH(ProductLine[[#This Row],[Date]])</f>
        <v>9</v>
      </c>
      <c r="F1769" t="s">
        <v>24</v>
      </c>
      <c r="G1769">
        <v>-10</v>
      </c>
      <c r="H1769" s="3">
        <v>-27.787426760377638</v>
      </c>
      <c r="I1769" s="3">
        <f>ProductLine[[#This Row],[Units]]*ProductLine[[#This Row],[Dollars]]</f>
        <v>277.87426760377639</v>
      </c>
    </row>
    <row r="1770" spans="1:9" x14ac:dyDescent="0.35">
      <c r="A1770">
        <v>1769</v>
      </c>
      <c r="B1770" t="s">
        <v>16</v>
      </c>
      <c r="C1770" s="2">
        <v>38650</v>
      </c>
      <c r="D1770">
        <f>YEAR(ProductLine[[#This Row],[Date]])</f>
        <v>2005</v>
      </c>
      <c r="E1770">
        <f>MONTH(ProductLine[[#This Row],[Date]])</f>
        <v>10</v>
      </c>
      <c r="F1770" t="s">
        <v>27</v>
      </c>
      <c r="G1770">
        <v>90</v>
      </c>
      <c r="H1770" s="3">
        <v>272.47244684275518</v>
      </c>
      <c r="I1770" s="3">
        <f>ProductLine[[#This Row],[Units]]*ProductLine[[#This Row],[Dollars]]</f>
        <v>24522.520215847966</v>
      </c>
    </row>
    <row r="1771" spans="1:9" x14ac:dyDescent="0.35">
      <c r="A1771">
        <v>1770</v>
      </c>
      <c r="B1771" t="s">
        <v>11</v>
      </c>
      <c r="C1771" s="2">
        <v>39035</v>
      </c>
      <c r="D1771">
        <f>YEAR(ProductLine[[#This Row],[Date]])</f>
        <v>2006</v>
      </c>
      <c r="E1771">
        <f>MONTH(ProductLine[[#This Row],[Date]])</f>
        <v>11</v>
      </c>
      <c r="F1771" t="s">
        <v>24</v>
      </c>
      <c r="G1771">
        <v>-4</v>
      </c>
      <c r="H1771" s="3">
        <v>-9.8005201872550316</v>
      </c>
      <c r="I1771" s="3">
        <f>ProductLine[[#This Row],[Units]]*ProductLine[[#This Row],[Dollars]]</f>
        <v>39.202080749020126</v>
      </c>
    </row>
    <row r="1772" spans="1:9" x14ac:dyDescent="0.35">
      <c r="A1772">
        <v>1771</v>
      </c>
      <c r="B1772" t="s">
        <v>9</v>
      </c>
      <c r="C1772" s="2">
        <v>38947</v>
      </c>
      <c r="D1772">
        <f>YEAR(ProductLine[[#This Row],[Date]])</f>
        <v>2006</v>
      </c>
      <c r="E1772">
        <f>MONTH(ProductLine[[#This Row],[Date]])</f>
        <v>8</v>
      </c>
      <c r="F1772" t="s">
        <v>23</v>
      </c>
      <c r="G1772">
        <v>14</v>
      </c>
      <c r="H1772" s="3">
        <v>44.066692086610537</v>
      </c>
      <c r="I1772" s="3">
        <f>ProductLine[[#This Row],[Units]]*ProductLine[[#This Row],[Dollars]]</f>
        <v>616.93368921254751</v>
      </c>
    </row>
    <row r="1773" spans="1:9" x14ac:dyDescent="0.35">
      <c r="A1773">
        <v>1772</v>
      </c>
      <c r="B1773" t="s">
        <v>15</v>
      </c>
      <c r="C1773" s="2">
        <v>38705</v>
      </c>
      <c r="D1773">
        <f>YEAR(ProductLine[[#This Row],[Date]])</f>
        <v>2005</v>
      </c>
      <c r="E1773">
        <f>MONTH(ProductLine[[#This Row],[Date]])</f>
        <v>12</v>
      </c>
      <c r="F1773" t="s">
        <v>23</v>
      </c>
      <c r="G1773">
        <v>13</v>
      </c>
      <c r="H1773" s="3">
        <v>41.651608836226835</v>
      </c>
      <c r="I1773" s="3">
        <f>ProductLine[[#This Row],[Units]]*ProductLine[[#This Row],[Dollars]]</f>
        <v>541.47091487094883</v>
      </c>
    </row>
    <row r="1774" spans="1:9" x14ac:dyDescent="0.35">
      <c r="A1774">
        <v>1773</v>
      </c>
      <c r="B1774" t="s">
        <v>13</v>
      </c>
      <c r="C1774" s="2">
        <v>38188</v>
      </c>
      <c r="D1774">
        <f>YEAR(ProductLine[[#This Row],[Date]])</f>
        <v>2004</v>
      </c>
      <c r="E1774">
        <f>MONTH(ProductLine[[#This Row],[Date]])</f>
        <v>7</v>
      </c>
      <c r="F1774" t="s">
        <v>24</v>
      </c>
      <c r="G1774">
        <v>-10</v>
      </c>
      <c r="H1774" s="3">
        <v>-27.449007372488328</v>
      </c>
      <c r="I1774" s="3">
        <f>ProductLine[[#This Row],[Units]]*ProductLine[[#This Row],[Dollars]]</f>
        <v>274.4900737248833</v>
      </c>
    </row>
    <row r="1775" spans="1:9" x14ac:dyDescent="0.35">
      <c r="A1775">
        <v>1774</v>
      </c>
      <c r="B1775" t="s">
        <v>17</v>
      </c>
      <c r="C1775" s="2">
        <v>38397</v>
      </c>
      <c r="D1775">
        <f>YEAR(ProductLine[[#This Row],[Date]])</f>
        <v>2005</v>
      </c>
      <c r="E1775">
        <f>MONTH(ProductLine[[#This Row],[Date]])</f>
        <v>2</v>
      </c>
      <c r="F1775" t="s">
        <v>24</v>
      </c>
      <c r="G1775">
        <v>81</v>
      </c>
      <c r="H1775" s="3">
        <v>244.96209724909312</v>
      </c>
      <c r="I1775" s="3">
        <f>ProductLine[[#This Row],[Units]]*ProductLine[[#This Row],[Dollars]]</f>
        <v>19841.929877176543</v>
      </c>
    </row>
    <row r="1776" spans="1:9" x14ac:dyDescent="0.35">
      <c r="A1776">
        <v>1775</v>
      </c>
      <c r="B1776" t="s">
        <v>9</v>
      </c>
      <c r="C1776" s="2">
        <v>38353</v>
      </c>
      <c r="D1776">
        <f>YEAR(ProductLine[[#This Row],[Date]])</f>
        <v>2005</v>
      </c>
      <c r="E1776">
        <f>MONTH(ProductLine[[#This Row],[Date]])</f>
        <v>1</v>
      </c>
      <c r="F1776" t="s">
        <v>24</v>
      </c>
      <c r="G1776">
        <v>91</v>
      </c>
      <c r="H1776" s="3">
        <v>274.01633323079733</v>
      </c>
      <c r="I1776" s="3">
        <f>ProductLine[[#This Row],[Units]]*ProductLine[[#This Row],[Dollars]]</f>
        <v>24935.486324002555</v>
      </c>
    </row>
    <row r="1777" spans="1:9" x14ac:dyDescent="0.35">
      <c r="A1777">
        <v>1776</v>
      </c>
      <c r="B1777" t="s">
        <v>14</v>
      </c>
      <c r="C1777" s="2">
        <v>38342</v>
      </c>
      <c r="D1777">
        <f>YEAR(ProductLine[[#This Row],[Date]])</f>
        <v>2004</v>
      </c>
      <c r="E1777">
        <f>MONTH(ProductLine[[#This Row],[Date]])</f>
        <v>12</v>
      </c>
      <c r="F1777" t="s">
        <v>23</v>
      </c>
      <c r="G1777">
        <v>7</v>
      </c>
      <c r="H1777" s="3">
        <v>23.096103574094034</v>
      </c>
      <c r="I1777" s="3">
        <f>ProductLine[[#This Row],[Units]]*ProductLine[[#This Row],[Dollars]]</f>
        <v>161.67272501865824</v>
      </c>
    </row>
    <row r="1778" spans="1:9" x14ac:dyDescent="0.35">
      <c r="A1778">
        <v>1777</v>
      </c>
      <c r="B1778" t="s">
        <v>9</v>
      </c>
      <c r="C1778" s="2">
        <v>38705</v>
      </c>
      <c r="D1778">
        <f>YEAR(ProductLine[[#This Row],[Date]])</f>
        <v>2005</v>
      </c>
      <c r="E1778">
        <f>MONTH(ProductLine[[#This Row],[Date]])</f>
        <v>12</v>
      </c>
      <c r="F1778" t="s">
        <v>26</v>
      </c>
      <c r="G1778">
        <v>95</v>
      </c>
      <c r="H1778" s="3">
        <v>286.4091350392265</v>
      </c>
      <c r="I1778" s="3">
        <f>ProductLine[[#This Row],[Units]]*ProductLine[[#This Row],[Dollars]]</f>
        <v>27208.867828726517</v>
      </c>
    </row>
    <row r="1779" spans="1:9" x14ac:dyDescent="0.35">
      <c r="A1779">
        <v>1778</v>
      </c>
      <c r="B1779" t="s">
        <v>13</v>
      </c>
      <c r="C1779" s="2">
        <v>38793</v>
      </c>
      <c r="D1779">
        <f>YEAR(ProductLine[[#This Row],[Date]])</f>
        <v>2006</v>
      </c>
      <c r="E1779">
        <f>MONTH(ProductLine[[#This Row],[Date]])</f>
        <v>3</v>
      </c>
      <c r="F1779" t="s">
        <v>27</v>
      </c>
      <c r="G1779">
        <v>7</v>
      </c>
      <c r="H1779" s="3">
        <v>23.460398451433193</v>
      </c>
      <c r="I1779" s="3">
        <f>ProductLine[[#This Row],[Units]]*ProductLine[[#This Row],[Dollars]]</f>
        <v>164.22278916003233</v>
      </c>
    </row>
    <row r="1780" spans="1:9" x14ac:dyDescent="0.35">
      <c r="A1780">
        <v>1779</v>
      </c>
      <c r="B1780" t="s">
        <v>15</v>
      </c>
      <c r="C1780" s="2">
        <v>38452</v>
      </c>
      <c r="D1780">
        <f>YEAR(ProductLine[[#This Row],[Date]])</f>
        <v>2005</v>
      </c>
      <c r="E1780">
        <f>MONTH(ProductLine[[#This Row],[Date]])</f>
        <v>4</v>
      </c>
      <c r="F1780" t="s">
        <v>27</v>
      </c>
      <c r="G1780">
        <v>9</v>
      </c>
      <c r="H1780" s="3">
        <v>29.496709116948491</v>
      </c>
      <c r="I1780" s="3">
        <f>ProductLine[[#This Row],[Units]]*ProductLine[[#This Row],[Dollars]]</f>
        <v>265.47038205253642</v>
      </c>
    </row>
    <row r="1781" spans="1:9" x14ac:dyDescent="0.35">
      <c r="A1781">
        <v>1780</v>
      </c>
      <c r="B1781" t="s">
        <v>15</v>
      </c>
      <c r="C1781" s="2">
        <v>38111</v>
      </c>
      <c r="D1781">
        <f>YEAR(ProductLine[[#This Row],[Date]])</f>
        <v>2004</v>
      </c>
      <c r="E1781">
        <f>MONTH(ProductLine[[#This Row],[Date]])</f>
        <v>5</v>
      </c>
      <c r="F1781" t="s">
        <v>24</v>
      </c>
      <c r="G1781">
        <v>16</v>
      </c>
      <c r="H1781" s="3">
        <v>50.32304691843445</v>
      </c>
      <c r="I1781" s="3">
        <f>ProductLine[[#This Row],[Units]]*ProductLine[[#This Row],[Dollars]]</f>
        <v>805.1687506949512</v>
      </c>
    </row>
    <row r="1782" spans="1:9" x14ac:dyDescent="0.35">
      <c r="A1782">
        <v>1781</v>
      </c>
      <c r="B1782" t="s">
        <v>11</v>
      </c>
      <c r="C1782" s="2">
        <v>38408</v>
      </c>
      <c r="D1782">
        <f>YEAR(ProductLine[[#This Row],[Date]])</f>
        <v>2005</v>
      </c>
      <c r="E1782">
        <f>MONTH(ProductLine[[#This Row],[Date]])</f>
        <v>2</v>
      </c>
      <c r="F1782" t="s">
        <v>23</v>
      </c>
      <c r="G1782">
        <v>37</v>
      </c>
      <c r="H1782" s="3">
        <v>112.6423668975758</v>
      </c>
      <c r="I1782" s="3">
        <f>ProductLine[[#This Row],[Units]]*ProductLine[[#This Row],[Dollars]]</f>
        <v>4167.7675752103041</v>
      </c>
    </row>
    <row r="1783" spans="1:9" x14ac:dyDescent="0.35">
      <c r="A1783">
        <v>1782</v>
      </c>
      <c r="B1783" t="s">
        <v>17</v>
      </c>
      <c r="C1783" s="2">
        <v>38991</v>
      </c>
      <c r="D1783">
        <f>YEAR(ProductLine[[#This Row],[Date]])</f>
        <v>2006</v>
      </c>
      <c r="E1783">
        <f>MONTH(ProductLine[[#This Row],[Date]])</f>
        <v>10</v>
      </c>
      <c r="F1783" t="s">
        <v>23</v>
      </c>
      <c r="G1783">
        <v>38</v>
      </c>
      <c r="H1783" s="3">
        <v>115.86694350408794</v>
      </c>
      <c r="I1783" s="3">
        <f>ProductLine[[#This Row],[Units]]*ProductLine[[#This Row],[Dollars]]</f>
        <v>4402.9438531553415</v>
      </c>
    </row>
    <row r="1784" spans="1:9" x14ac:dyDescent="0.35">
      <c r="A1784">
        <v>1783</v>
      </c>
      <c r="B1784" t="s">
        <v>9</v>
      </c>
      <c r="C1784" s="2">
        <v>38980</v>
      </c>
      <c r="D1784">
        <f>YEAR(ProductLine[[#This Row],[Date]])</f>
        <v>2006</v>
      </c>
      <c r="E1784">
        <f>MONTH(ProductLine[[#This Row],[Date]])</f>
        <v>9</v>
      </c>
      <c r="F1784" t="s">
        <v>25</v>
      </c>
      <c r="G1784">
        <v>43</v>
      </c>
      <c r="H1784" s="3">
        <v>130.38058732657913</v>
      </c>
      <c r="I1784" s="3">
        <f>ProductLine[[#This Row],[Units]]*ProductLine[[#This Row],[Dollars]]</f>
        <v>5606.3652550429024</v>
      </c>
    </row>
    <row r="1785" spans="1:9" x14ac:dyDescent="0.35">
      <c r="A1785">
        <v>1784</v>
      </c>
      <c r="B1785" t="s">
        <v>17</v>
      </c>
      <c r="C1785" s="2">
        <v>38903</v>
      </c>
      <c r="D1785">
        <f>YEAR(ProductLine[[#This Row],[Date]])</f>
        <v>2006</v>
      </c>
      <c r="E1785">
        <f>MONTH(ProductLine[[#This Row],[Date]])</f>
        <v>7</v>
      </c>
      <c r="F1785" t="s">
        <v>27</v>
      </c>
      <c r="G1785">
        <v>-5</v>
      </c>
      <c r="H1785" s="3">
        <v>-12.649706737241745</v>
      </c>
      <c r="I1785" s="3">
        <f>ProductLine[[#This Row],[Units]]*ProductLine[[#This Row],[Dollars]]</f>
        <v>63.248533686208724</v>
      </c>
    </row>
    <row r="1786" spans="1:9" x14ac:dyDescent="0.35">
      <c r="A1786">
        <v>1785</v>
      </c>
      <c r="B1786" t="s">
        <v>15</v>
      </c>
      <c r="C1786" s="2">
        <v>39035</v>
      </c>
      <c r="D1786">
        <f>YEAR(ProductLine[[#This Row],[Date]])</f>
        <v>2006</v>
      </c>
      <c r="E1786">
        <f>MONTH(ProductLine[[#This Row],[Date]])</f>
        <v>11</v>
      </c>
      <c r="F1786" t="s">
        <v>26</v>
      </c>
      <c r="G1786">
        <v>9</v>
      </c>
      <c r="H1786" s="3">
        <v>28.951087924744211</v>
      </c>
      <c r="I1786" s="3">
        <f>ProductLine[[#This Row],[Units]]*ProductLine[[#This Row],[Dollars]]</f>
        <v>260.55979132269789</v>
      </c>
    </row>
    <row r="1787" spans="1:9" x14ac:dyDescent="0.35">
      <c r="A1787">
        <v>1786</v>
      </c>
      <c r="B1787" t="s">
        <v>9</v>
      </c>
      <c r="C1787" s="2">
        <v>38727</v>
      </c>
      <c r="D1787">
        <f>YEAR(ProductLine[[#This Row],[Date]])</f>
        <v>2006</v>
      </c>
      <c r="E1787">
        <f>MONTH(ProductLine[[#This Row],[Date]])</f>
        <v>1</v>
      </c>
      <c r="F1787" t="s">
        <v>23</v>
      </c>
      <c r="G1787">
        <v>-9</v>
      </c>
      <c r="H1787" s="3">
        <v>-24.653364515512152</v>
      </c>
      <c r="I1787" s="3">
        <f>ProductLine[[#This Row],[Units]]*ProductLine[[#This Row],[Dollars]]</f>
        <v>221.88028063960937</v>
      </c>
    </row>
    <row r="1788" spans="1:9" x14ac:dyDescent="0.35">
      <c r="A1788">
        <v>1787</v>
      </c>
      <c r="B1788" t="s">
        <v>16</v>
      </c>
      <c r="C1788" s="2">
        <v>38595</v>
      </c>
      <c r="D1788">
        <f>YEAR(ProductLine[[#This Row],[Date]])</f>
        <v>2005</v>
      </c>
      <c r="E1788">
        <f>MONTH(ProductLine[[#This Row],[Date]])</f>
        <v>8</v>
      </c>
      <c r="F1788" t="s">
        <v>25</v>
      </c>
      <c r="G1788">
        <v>24</v>
      </c>
      <c r="H1788" s="3">
        <v>74.611228324097638</v>
      </c>
      <c r="I1788" s="3">
        <f>ProductLine[[#This Row],[Units]]*ProductLine[[#This Row],[Dollars]]</f>
        <v>1790.6694797783434</v>
      </c>
    </row>
    <row r="1789" spans="1:9" x14ac:dyDescent="0.35">
      <c r="A1789">
        <v>1788</v>
      </c>
      <c r="B1789" t="s">
        <v>17</v>
      </c>
      <c r="C1789" s="2">
        <v>38111</v>
      </c>
      <c r="D1789">
        <f>YEAR(ProductLine[[#This Row],[Date]])</f>
        <v>2004</v>
      </c>
      <c r="E1789">
        <f>MONTH(ProductLine[[#This Row],[Date]])</f>
        <v>5</v>
      </c>
      <c r="F1789" t="s">
        <v>23</v>
      </c>
      <c r="G1789">
        <v>30</v>
      </c>
      <c r="H1789" s="3">
        <v>91.370060380593657</v>
      </c>
      <c r="I1789" s="3">
        <f>ProductLine[[#This Row],[Units]]*ProductLine[[#This Row],[Dollars]]</f>
        <v>2741.1018114178096</v>
      </c>
    </row>
    <row r="1790" spans="1:9" x14ac:dyDescent="0.35">
      <c r="A1790">
        <v>1789</v>
      </c>
      <c r="B1790" t="s">
        <v>14</v>
      </c>
      <c r="C1790" s="2">
        <v>38694</v>
      </c>
      <c r="D1790">
        <f>YEAR(ProductLine[[#This Row],[Date]])</f>
        <v>2005</v>
      </c>
      <c r="E1790">
        <f>MONTH(ProductLine[[#This Row],[Date]])</f>
        <v>12</v>
      </c>
      <c r="F1790" t="s">
        <v>23</v>
      </c>
      <c r="G1790">
        <v>83</v>
      </c>
      <c r="H1790" s="3">
        <v>250.84508105520038</v>
      </c>
      <c r="I1790" s="3">
        <f>ProductLine[[#This Row],[Units]]*ProductLine[[#This Row],[Dollars]]</f>
        <v>20820.141727581631</v>
      </c>
    </row>
    <row r="1791" spans="1:9" x14ac:dyDescent="0.35">
      <c r="A1791">
        <v>1790</v>
      </c>
      <c r="B1791" t="s">
        <v>15</v>
      </c>
      <c r="C1791" s="2">
        <v>38067</v>
      </c>
      <c r="D1791">
        <f>YEAR(ProductLine[[#This Row],[Date]])</f>
        <v>2004</v>
      </c>
      <c r="E1791">
        <f>MONTH(ProductLine[[#This Row],[Date]])</f>
        <v>3</v>
      </c>
      <c r="F1791" t="s">
        <v>23</v>
      </c>
      <c r="G1791">
        <v>90</v>
      </c>
      <c r="H1791" s="3">
        <v>271.87067701120321</v>
      </c>
      <c r="I1791" s="3">
        <f>ProductLine[[#This Row],[Units]]*ProductLine[[#This Row],[Dollars]]</f>
        <v>24468.36093100829</v>
      </c>
    </row>
    <row r="1792" spans="1:9" x14ac:dyDescent="0.35">
      <c r="A1792">
        <v>1791</v>
      </c>
      <c r="B1792" t="s">
        <v>13</v>
      </c>
      <c r="C1792" s="2">
        <v>38441</v>
      </c>
      <c r="D1792">
        <f>YEAR(ProductLine[[#This Row],[Date]])</f>
        <v>2005</v>
      </c>
      <c r="E1792">
        <f>MONTH(ProductLine[[#This Row],[Date]])</f>
        <v>3</v>
      </c>
      <c r="F1792" t="s">
        <v>26</v>
      </c>
      <c r="G1792">
        <v>82</v>
      </c>
      <c r="H1792" s="3">
        <v>248.22787993853669</v>
      </c>
      <c r="I1792" s="3">
        <f>ProductLine[[#This Row],[Units]]*ProductLine[[#This Row],[Dollars]]</f>
        <v>20354.686154960007</v>
      </c>
    </row>
    <row r="1793" spans="1:9" x14ac:dyDescent="0.35">
      <c r="A1793">
        <v>1792</v>
      </c>
      <c r="B1793" t="s">
        <v>10</v>
      </c>
      <c r="C1793" s="2">
        <v>38650</v>
      </c>
      <c r="D1793">
        <f>YEAR(ProductLine[[#This Row],[Date]])</f>
        <v>2005</v>
      </c>
      <c r="E1793">
        <f>MONTH(ProductLine[[#This Row],[Date]])</f>
        <v>10</v>
      </c>
      <c r="F1793" t="s">
        <v>26</v>
      </c>
      <c r="G1793">
        <v>51</v>
      </c>
      <c r="H1793" s="3">
        <v>155.23329282201692</v>
      </c>
      <c r="I1793" s="3">
        <f>ProductLine[[#This Row],[Units]]*ProductLine[[#This Row],[Dollars]]</f>
        <v>7916.8979339228626</v>
      </c>
    </row>
    <row r="1794" spans="1:9" x14ac:dyDescent="0.35">
      <c r="A1794">
        <v>1793</v>
      </c>
      <c r="B1794" t="s">
        <v>17</v>
      </c>
      <c r="C1794" s="2">
        <v>37990</v>
      </c>
      <c r="D1794">
        <f>YEAR(ProductLine[[#This Row],[Date]])</f>
        <v>2004</v>
      </c>
      <c r="E1794">
        <f>MONTH(ProductLine[[#This Row],[Date]])</f>
        <v>1</v>
      </c>
      <c r="F1794" t="s">
        <v>23</v>
      </c>
      <c r="G1794">
        <v>66</v>
      </c>
      <c r="H1794" s="3">
        <v>200.12511432116293</v>
      </c>
      <c r="I1794" s="3">
        <f>ProductLine[[#This Row],[Units]]*ProductLine[[#This Row],[Dollars]]</f>
        <v>13208.257545196753</v>
      </c>
    </row>
    <row r="1795" spans="1:9" x14ac:dyDescent="0.35">
      <c r="A1795">
        <v>1794</v>
      </c>
      <c r="B1795" t="s">
        <v>15</v>
      </c>
      <c r="C1795" s="2">
        <v>38716</v>
      </c>
      <c r="D1795">
        <f>YEAR(ProductLine[[#This Row],[Date]])</f>
        <v>2005</v>
      </c>
      <c r="E1795">
        <f>MONTH(ProductLine[[#This Row],[Date]])</f>
        <v>12</v>
      </c>
      <c r="F1795" t="s">
        <v>27</v>
      </c>
      <c r="G1795">
        <v>29</v>
      </c>
      <c r="H1795" s="3">
        <v>89.016407302334798</v>
      </c>
      <c r="I1795" s="3">
        <f>ProductLine[[#This Row],[Units]]*ProductLine[[#This Row],[Dollars]]</f>
        <v>2581.4758117677093</v>
      </c>
    </row>
    <row r="1796" spans="1:9" x14ac:dyDescent="0.35">
      <c r="A1796">
        <v>1795</v>
      </c>
      <c r="B1796" t="s">
        <v>11</v>
      </c>
      <c r="C1796" s="2">
        <v>38628</v>
      </c>
      <c r="D1796">
        <f>YEAR(ProductLine[[#This Row],[Date]])</f>
        <v>2005</v>
      </c>
      <c r="E1796">
        <f>MONTH(ProductLine[[#This Row],[Date]])</f>
        <v>10</v>
      </c>
      <c r="F1796" t="s">
        <v>23</v>
      </c>
      <c r="G1796">
        <v>93</v>
      </c>
      <c r="H1796" s="3">
        <v>280.87456053220649</v>
      </c>
      <c r="I1796" s="3">
        <f>ProductLine[[#This Row],[Units]]*ProductLine[[#This Row],[Dollars]]</f>
        <v>26121.334129495204</v>
      </c>
    </row>
    <row r="1797" spans="1:9" x14ac:dyDescent="0.35">
      <c r="A1797">
        <v>1796</v>
      </c>
      <c r="B1797" t="s">
        <v>16</v>
      </c>
      <c r="C1797" s="2">
        <v>39002</v>
      </c>
      <c r="D1797">
        <f>YEAR(ProductLine[[#This Row],[Date]])</f>
        <v>2006</v>
      </c>
      <c r="E1797">
        <f>MONTH(ProductLine[[#This Row],[Date]])</f>
        <v>10</v>
      </c>
      <c r="F1797" t="s">
        <v>26</v>
      </c>
      <c r="G1797">
        <v>-3</v>
      </c>
      <c r="H1797" s="3">
        <v>-6.5419840395963593</v>
      </c>
      <c r="I1797" s="3">
        <f>ProductLine[[#This Row],[Units]]*ProductLine[[#This Row],[Dollars]]</f>
        <v>19.62595211878908</v>
      </c>
    </row>
    <row r="1798" spans="1:9" x14ac:dyDescent="0.35">
      <c r="A1798">
        <v>1797</v>
      </c>
      <c r="B1798" t="s">
        <v>11</v>
      </c>
      <c r="C1798" s="2">
        <v>38969</v>
      </c>
      <c r="D1798">
        <f>YEAR(ProductLine[[#This Row],[Date]])</f>
        <v>2006</v>
      </c>
      <c r="E1798">
        <f>MONTH(ProductLine[[#This Row],[Date]])</f>
        <v>9</v>
      </c>
      <c r="F1798" t="s">
        <v>23</v>
      </c>
      <c r="G1798">
        <v>-2</v>
      </c>
      <c r="H1798" s="3">
        <v>-3.6355111778913436</v>
      </c>
      <c r="I1798" s="3">
        <f>ProductLine[[#This Row],[Units]]*ProductLine[[#This Row],[Dollars]]</f>
        <v>7.2710223557826872</v>
      </c>
    </row>
    <row r="1799" spans="1:9" x14ac:dyDescent="0.35">
      <c r="A1799">
        <v>1798</v>
      </c>
      <c r="B1799" t="s">
        <v>14</v>
      </c>
      <c r="C1799" s="2">
        <v>38265</v>
      </c>
      <c r="D1799">
        <f>YEAR(ProductLine[[#This Row],[Date]])</f>
        <v>2004</v>
      </c>
      <c r="E1799">
        <f>MONTH(ProductLine[[#This Row],[Date]])</f>
        <v>10</v>
      </c>
      <c r="F1799" t="s">
        <v>25</v>
      </c>
      <c r="G1799">
        <v>79</v>
      </c>
      <c r="H1799" s="3">
        <v>239.25077929031391</v>
      </c>
      <c r="I1799" s="3">
        <f>ProductLine[[#This Row],[Units]]*ProductLine[[#This Row],[Dollars]]</f>
        <v>18900.8115639348</v>
      </c>
    </row>
    <row r="1800" spans="1:9" x14ac:dyDescent="0.35">
      <c r="A1800">
        <v>1799</v>
      </c>
      <c r="B1800" t="s">
        <v>9</v>
      </c>
      <c r="C1800" s="2">
        <v>39079</v>
      </c>
      <c r="D1800">
        <f>YEAR(ProductLine[[#This Row],[Date]])</f>
        <v>2006</v>
      </c>
      <c r="E1800">
        <f>MONTH(ProductLine[[#This Row],[Date]])</f>
        <v>12</v>
      </c>
      <c r="F1800" t="s">
        <v>23</v>
      </c>
      <c r="G1800">
        <v>31</v>
      </c>
      <c r="H1800" s="3">
        <v>94.72145499265082</v>
      </c>
      <c r="I1800" s="3">
        <f>ProductLine[[#This Row],[Units]]*ProductLine[[#This Row],[Dollars]]</f>
        <v>2936.3651047721755</v>
      </c>
    </row>
    <row r="1801" spans="1:9" x14ac:dyDescent="0.35">
      <c r="A1801">
        <v>1800</v>
      </c>
      <c r="B1801" t="s">
        <v>10</v>
      </c>
      <c r="C1801" s="2">
        <v>38485</v>
      </c>
      <c r="D1801">
        <f>YEAR(ProductLine[[#This Row],[Date]])</f>
        <v>2005</v>
      </c>
      <c r="E1801">
        <f>MONTH(ProductLine[[#This Row],[Date]])</f>
        <v>5</v>
      </c>
      <c r="F1801" t="s">
        <v>24</v>
      </c>
      <c r="G1801">
        <v>46</v>
      </c>
      <c r="H1801" s="3">
        <v>140.21517548818187</v>
      </c>
      <c r="I1801" s="3">
        <f>ProductLine[[#This Row],[Units]]*ProductLine[[#This Row],[Dollars]]</f>
        <v>6449.8980724563662</v>
      </c>
    </row>
    <row r="1802" spans="1:9" x14ac:dyDescent="0.35">
      <c r="A1802">
        <v>1801</v>
      </c>
      <c r="B1802" t="s">
        <v>15</v>
      </c>
      <c r="C1802" s="2">
        <v>39079</v>
      </c>
      <c r="D1802">
        <f>YEAR(ProductLine[[#This Row],[Date]])</f>
        <v>2006</v>
      </c>
      <c r="E1802">
        <f>MONTH(ProductLine[[#This Row],[Date]])</f>
        <v>12</v>
      </c>
      <c r="F1802" t="s">
        <v>24</v>
      </c>
      <c r="G1802">
        <v>93</v>
      </c>
      <c r="H1802" s="3">
        <v>281.78560885336435</v>
      </c>
      <c r="I1802" s="3">
        <f>ProductLine[[#This Row],[Units]]*ProductLine[[#This Row],[Dollars]]</f>
        <v>26206.061623362886</v>
      </c>
    </row>
    <row r="1803" spans="1:9" x14ac:dyDescent="0.35">
      <c r="A1803">
        <v>1802</v>
      </c>
      <c r="B1803" t="s">
        <v>15</v>
      </c>
      <c r="C1803" s="2">
        <v>38056</v>
      </c>
      <c r="D1803">
        <f>YEAR(ProductLine[[#This Row],[Date]])</f>
        <v>2004</v>
      </c>
      <c r="E1803">
        <f>MONTH(ProductLine[[#This Row],[Date]])</f>
        <v>3</v>
      </c>
      <c r="F1803" t="s">
        <v>23</v>
      </c>
      <c r="G1803">
        <v>82</v>
      </c>
      <c r="H1803" s="3">
        <v>247.0191820862224</v>
      </c>
      <c r="I1803" s="3">
        <f>ProductLine[[#This Row],[Units]]*ProductLine[[#This Row],[Dollars]]</f>
        <v>20255.572931070237</v>
      </c>
    </row>
    <row r="1804" spans="1:9" x14ac:dyDescent="0.35">
      <c r="A1804">
        <v>1803</v>
      </c>
      <c r="B1804" t="s">
        <v>17</v>
      </c>
      <c r="C1804" s="2">
        <v>39057</v>
      </c>
      <c r="D1804">
        <f>YEAR(ProductLine[[#This Row],[Date]])</f>
        <v>2006</v>
      </c>
      <c r="E1804">
        <f>MONTH(ProductLine[[#This Row],[Date]])</f>
        <v>12</v>
      </c>
      <c r="F1804" t="s">
        <v>25</v>
      </c>
      <c r="G1804">
        <v>87</v>
      </c>
      <c r="H1804" s="3">
        <v>263.71733330819893</v>
      </c>
      <c r="I1804" s="3">
        <f>ProductLine[[#This Row],[Units]]*ProductLine[[#This Row],[Dollars]]</f>
        <v>22943.407997813309</v>
      </c>
    </row>
    <row r="1805" spans="1:9" x14ac:dyDescent="0.35">
      <c r="A1805">
        <v>1804</v>
      </c>
      <c r="B1805" t="s">
        <v>11</v>
      </c>
      <c r="C1805" s="2">
        <v>38331</v>
      </c>
      <c r="D1805">
        <f>YEAR(ProductLine[[#This Row],[Date]])</f>
        <v>2004</v>
      </c>
      <c r="E1805">
        <f>MONTH(ProductLine[[#This Row],[Date]])</f>
        <v>12</v>
      </c>
      <c r="F1805" t="s">
        <v>24</v>
      </c>
      <c r="G1805">
        <v>62</v>
      </c>
      <c r="H1805" s="3">
        <v>187.56768751552113</v>
      </c>
      <c r="I1805" s="3">
        <f>ProductLine[[#This Row],[Units]]*ProductLine[[#This Row],[Dollars]]</f>
        <v>11629.19662596231</v>
      </c>
    </row>
    <row r="1806" spans="1:9" x14ac:dyDescent="0.35">
      <c r="A1806">
        <v>1805</v>
      </c>
      <c r="B1806" t="s">
        <v>14</v>
      </c>
      <c r="C1806" s="2">
        <v>38342</v>
      </c>
      <c r="D1806">
        <f>YEAR(ProductLine[[#This Row],[Date]])</f>
        <v>2004</v>
      </c>
      <c r="E1806">
        <f>MONTH(ProductLine[[#This Row],[Date]])</f>
        <v>12</v>
      </c>
      <c r="F1806" t="s">
        <v>24</v>
      </c>
      <c r="G1806">
        <v>31</v>
      </c>
      <c r="H1806" s="3">
        <v>94.571992971518611</v>
      </c>
      <c r="I1806" s="3">
        <f>ProductLine[[#This Row],[Units]]*ProductLine[[#This Row],[Dollars]]</f>
        <v>2931.7317821170768</v>
      </c>
    </row>
    <row r="1807" spans="1:9" x14ac:dyDescent="0.35">
      <c r="A1807">
        <v>1806</v>
      </c>
      <c r="B1807" t="s">
        <v>11</v>
      </c>
      <c r="C1807" s="2">
        <v>38210</v>
      </c>
      <c r="D1807">
        <f>YEAR(ProductLine[[#This Row],[Date]])</f>
        <v>2004</v>
      </c>
      <c r="E1807">
        <f>MONTH(ProductLine[[#This Row],[Date]])</f>
        <v>8</v>
      </c>
      <c r="F1807" t="s">
        <v>27</v>
      </c>
      <c r="G1807">
        <v>43</v>
      </c>
      <c r="H1807" s="3">
        <v>131.33084322347369</v>
      </c>
      <c r="I1807" s="3">
        <f>ProductLine[[#This Row],[Units]]*ProductLine[[#This Row],[Dollars]]</f>
        <v>5647.2262586093684</v>
      </c>
    </row>
    <row r="1808" spans="1:9" x14ac:dyDescent="0.35">
      <c r="A1808">
        <v>1807</v>
      </c>
      <c r="B1808" t="s">
        <v>14</v>
      </c>
      <c r="C1808" s="2">
        <v>38298</v>
      </c>
      <c r="D1808">
        <f>YEAR(ProductLine[[#This Row],[Date]])</f>
        <v>2004</v>
      </c>
      <c r="E1808">
        <f>MONTH(ProductLine[[#This Row],[Date]])</f>
        <v>11</v>
      </c>
      <c r="F1808" t="s">
        <v>23</v>
      </c>
      <c r="G1808">
        <v>78</v>
      </c>
      <c r="H1808" s="3">
        <v>236.44038982169729</v>
      </c>
      <c r="I1808" s="3">
        <f>ProductLine[[#This Row],[Units]]*ProductLine[[#This Row],[Dollars]]</f>
        <v>18442.350406092388</v>
      </c>
    </row>
    <row r="1809" spans="1:9" x14ac:dyDescent="0.35">
      <c r="A1809">
        <v>1808</v>
      </c>
      <c r="B1809" t="s">
        <v>14</v>
      </c>
      <c r="C1809" s="2">
        <v>38199</v>
      </c>
      <c r="D1809">
        <f>YEAR(ProductLine[[#This Row],[Date]])</f>
        <v>2004</v>
      </c>
      <c r="E1809">
        <f>MONTH(ProductLine[[#This Row],[Date]])</f>
        <v>7</v>
      </c>
      <c r="F1809" t="s">
        <v>23</v>
      </c>
      <c r="G1809">
        <v>-1</v>
      </c>
      <c r="H1809" s="3">
        <v>-0.44195721388362097</v>
      </c>
      <c r="I1809" s="3">
        <f>ProductLine[[#This Row],[Units]]*ProductLine[[#This Row],[Dollars]]</f>
        <v>0.44195721388362097</v>
      </c>
    </row>
    <row r="1810" spans="1:9" x14ac:dyDescent="0.35">
      <c r="A1810">
        <v>1809</v>
      </c>
      <c r="B1810" t="s">
        <v>12</v>
      </c>
      <c r="C1810" s="2">
        <v>38056</v>
      </c>
      <c r="D1810">
        <f>YEAR(ProductLine[[#This Row],[Date]])</f>
        <v>2004</v>
      </c>
      <c r="E1810">
        <f>MONTH(ProductLine[[#This Row],[Date]])</f>
        <v>3</v>
      </c>
      <c r="F1810" t="s">
        <v>25</v>
      </c>
      <c r="G1810">
        <v>5</v>
      </c>
      <c r="H1810" s="3">
        <v>17.469809541800071</v>
      </c>
      <c r="I1810" s="3">
        <f>ProductLine[[#This Row],[Units]]*ProductLine[[#This Row],[Dollars]]</f>
        <v>87.349047709000359</v>
      </c>
    </row>
    <row r="1811" spans="1:9" x14ac:dyDescent="0.35">
      <c r="A1811">
        <v>1810</v>
      </c>
      <c r="B1811" t="s">
        <v>14</v>
      </c>
      <c r="C1811" s="2">
        <v>38859</v>
      </c>
      <c r="D1811">
        <f>YEAR(ProductLine[[#This Row],[Date]])</f>
        <v>2006</v>
      </c>
      <c r="E1811">
        <f>MONTH(ProductLine[[#This Row],[Date]])</f>
        <v>5</v>
      </c>
      <c r="F1811" t="s">
        <v>25</v>
      </c>
      <c r="G1811">
        <v>30</v>
      </c>
      <c r="H1811" s="3">
        <v>92.310265407731023</v>
      </c>
      <c r="I1811" s="3">
        <f>ProductLine[[#This Row],[Units]]*ProductLine[[#This Row],[Dollars]]</f>
        <v>2769.3079622319306</v>
      </c>
    </row>
    <row r="1812" spans="1:9" x14ac:dyDescent="0.35">
      <c r="A1812">
        <v>1811</v>
      </c>
      <c r="B1812" t="s">
        <v>10</v>
      </c>
      <c r="C1812" s="2">
        <v>38826</v>
      </c>
      <c r="D1812">
        <f>YEAR(ProductLine[[#This Row],[Date]])</f>
        <v>2006</v>
      </c>
      <c r="E1812">
        <f>MONTH(ProductLine[[#This Row],[Date]])</f>
        <v>4</v>
      </c>
      <c r="F1812" t="s">
        <v>26</v>
      </c>
      <c r="G1812">
        <v>65</v>
      </c>
      <c r="H1812" s="3">
        <v>197.17585549268185</v>
      </c>
      <c r="I1812" s="3">
        <f>ProductLine[[#This Row],[Units]]*ProductLine[[#This Row],[Dollars]]</f>
        <v>12816.43060702432</v>
      </c>
    </row>
    <row r="1813" spans="1:9" x14ac:dyDescent="0.35">
      <c r="A1813">
        <v>1812</v>
      </c>
      <c r="B1813" t="s">
        <v>17</v>
      </c>
      <c r="C1813" s="2">
        <v>38848</v>
      </c>
      <c r="D1813">
        <f>YEAR(ProductLine[[#This Row],[Date]])</f>
        <v>2006</v>
      </c>
      <c r="E1813">
        <f>MONTH(ProductLine[[#This Row],[Date]])</f>
        <v>5</v>
      </c>
      <c r="F1813" t="s">
        <v>27</v>
      </c>
      <c r="G1813">
        <v>14</v>
      </c>
      <c r="H1813" s="3">
        <v>43.795902693300988</v>
      </c>
      <c r="I1813" s="3">
        <f>ProductLine[[#This Row],[Units]]*ProductLine[[#This Row],[Dollars]]</f>
        <v>613.1426377062138</v>
      </c>
    </row>
    <row r="1814" spans="1:9" x14ac:dyDescent="0.35">
      <c r="A1814">
        <v>1813</v>
      </c>
      <c r="B1814" t="s">
        <v>17</v>
      </c>
      <c r="C1814" s="2">
        <v>38683</v>
      </c>
      <c r="D1814">
        <f>YEAR(ProductLine[[#This Row],[Date]])</f>
        <v>2005</v>
      </c>
      <c r="E1814">
        <f>MONTH(ProductLine[[#This Row],[Date]])</f>
        <v>11</v>
      </c>
      <c r="F1814" t="s">
        <v>24</v>
      </c>
      <c r="G1814">
        <v>10</v>
      </c>
      <c r="H1814" s="3">
        <v>31.259562735955448</v>
      </c>
      <c r="I1814" s="3">
        <f>ProductLine[[#This Row],[Units]]*ProductLine[[#This Row],[Dollars]]</f>
        <v>312.5956273595545</v>
      </c>
    </row>
    <row r="1815" spans="1:9" x14ac:dyDescent="0.35">
      <c r="A1815">
        <v>1814</v>
      </c>
      <c r="B1815" t="s">
        <v>9</v>
      </c>
      <c r="C1815" s="2">
        <v>38056</v>
      </c>
      <c r="D1815">
        <f>YEAR(ProductLine[[#This Row],[Date]])</f>
        <v>2004</v>
      </c>
      <c r="E1815">
        <f>MONTH(ProductLine[[#This Row],[Date]])</f>
        <v>3</v>
      </c>
      <c r="F1815" t="s">
        <v>25</v>
      </c>
      <c r="G1815">
        <v>31</v>
      </c>
      <c r="H1815" s="3">
        <v>94.729581013275251</v>
      </c>
      <c r="I1815" s="3">
        <f>ProductLine[[#This Row],[Units]]*ProductLine[[#This Row],[Dollars]]</f>
        <v>2936.617011411533</v>
      </c>
    </row>
    <row r="1816" spans="1:9" x14ac:dyDescent="0.35">
      <c r="A1816">
        <v>1815</v>
      </c>
      <c r="B1816" t="s">
        <v>9</v>
      </c>
      <c r="C1816" s="2">
        <v>38826</v>
      </c>
      <c r="D1816">
        <f>YEAR(ProductLine[[#This Row],[Date]])</f>
        <v>2006</v>
      </c>
      <c r="E1816">
        <f>MONTH(ProductLine[[#This Row],[Date]])</f>
        <v>4</v>
      </c>
      <c r="F1816" t="s">
        <v>27</v>
      </c>
      <c r="G1816">
        <v>25</v>
      </c>
      <c r="H1816" s="3">
        <v>77.103127744417094</v>
      </c>
      <c r="I1816" s="3">
        <f>ProductLine[[#This Row],[Units]]*ProductLine[[#This Row],[Dollars]]</f>
        <v>1927.5781936104274</v>
      </c>
    </row>
    <row r="1817" spans="1:9" x14ac:dyDescent="0.35">
      <c r="A1817">
        <v>1816</v>
      </c>
      <c r="B1817" t="s">
        <v>9</v>
      </c>
      <c r="C1817" s="2">
        <v>38430</v>
      </c>
      <c r="D1817">
        <f>YEAR(ProductLine[[#This Row],[Date]])</f>
        <v>2005</v>
      </c>
      <c r="E1817">
        <f>MONTH(ProductLine[[#This Row],[Date]])</f>
        <v>3</v>
      </c>
      <c r="F1817" t="s">
        <v>25</v>
      </c>
      <c r="G1817">
        <v>11</v>
      </c>
      <c r="H1817" s="3">
        <v>35.295636570052608</v>
      </c>
      <c r="I1817" s="3">
        <f>ProductLine[[#This Row],[Units]]*ProductLine[[#This Row],[Dollars]]</f>
        <v>388.25200227057871</v>
      </c>
    </row>
    <row r="1818" spans="1:9" x14ac:dyDescent="0.35">
      <c r="A1818">
        <v>1817</v>
      </c>
      <c r="B1818" t="s">
        <v>9</v>
      </c>
      <c r="C1818" s="2">
        <v>38001</v>
      </c>
      <c r="D1818">
        <f>YEAR(ProductLine[[#This Row],[Date]])</f>
        <v>2004</v>
      </c>
      <c r="E1818">
        <f>MONTH(ProductLine[[#This Row],[Date]])</f>
        <v>1</v>
      </c>
      <c r="F1818" t="s">
        <v>24</v>
      </c>
      <c r="G1818">
        <v>62</v>
      </c>
      <c r="H1818" s="3">
        <v>187.51222635081746</v>
      </c>
      <c r="I1818" s="3">
        <f>ProductLine[[#This Row],[Units]]*ProductLine[[#This Row],[Dollars]]</f>
        <v>11625.758033750682</v>
      </c>
    </row>
    <row r="1819" spans="1:9" x14ac:dyDescent="0.35">
      <c r="A1819">
        <v>1818</v>
      </c>
      <c r="B1819" t="s">
        <v>11</v>
      </c>
      <c r="C1819" s="2">
        <v>38012</v>
      </c>
      <c r="D1819">
        <f>YEAR(ProductLine[[#This Row],[Date]])</f>
        <v>2004</v>
      </c>
      <c r="E1819">
        <f>MONTH(ProductLine[[#This Row],[Date]])</f>
        <v>1</v>
      </c>
      <c r="F1819" t="s">
        <v>24</v>
      </c>
      <c r="G1819">
        <v>4</v>
      </c>
      <c r="H1819" s="3">
        <v>14.186481337467258</v>
      </c>
      <c r="I1819" s="3">
        <f>ProductLine[[#This Row],[Units]]*ProductLine[[#This Row],[Dollars]]</f>
        <v>56.745925349869033</v>
      </c>
    </row>
    <row r="1820" spans="1:9" x14ac:dyDescent="0.35">
      <c r="A1820">
        <v>1819</v>
      </c>
      <c r="B1820" t="s">
        <v>12</v>
      </c>
      <c r="C1820" s="2">
        <v>38969</v>
      </c>
      <c r="D1820">
        <f>YEAR(ProductLine[[#This Row],[Date]])</f>
        <v>2006</v>
      </c>
      <c r="E1820">
        <f>MONTH(ProductLine[[#This Row],[Date]])</f>
        <v>9</v>
      </c>
      <c r="F1820" t="s">
        <v>26</v>
      </c>
      <c r="G1820">
        <v>4</v>
      </c>
      <c r="H1820" s="3">
        <v>13.713847194878378</v>
      </c>
      <c r="I1820" s="3">
        <f>ProductLine[[#This Row],[Units]]*ProductLine[[#This Row],[Dollars]]</f>
        <v>54.855388779513511</v>
      </c>
    </row>
    <row r="1821" spans="1:9" x14ac:dyDescent="0.35">
      <c r="A1821">
        <v>1820</v>
      </c>
      <c r="B1821" t="s">
        <v>14</v>
      </c>
      <c r="C1821" s="2">
        <v>38683</v>
      </c>
      <c r="D1821">
        <f>YEAR(ProductLine[[#This Row],[Date]])</f>
        <v>2005</v>
      </c>
      <c r="E1821">
        <f>MONTH(ProductLine[[#This Row],[Date]])</f>
        <v>11</v>
      </c>
      <c r="F1821" t="s">
        <v>23</v>
      </c>
      <c r="G1821">
        <v>71</v>
      </c>
      <c r="H1821" s="3">
        <v>215.12149125217519</v>
      </c>
      <c r="I1821" s="3">
        <f>ProductLine[[#This Row],[Units]]*ProductLine[[#This Row],[Dollars]]</f>
        <v>15273.625878904439</v>
      </c>
    </row>
    <row r="1822" spans="1:9" x14ac:dyDescent="0.35">
      <c r="A1822">
        <v>1821</v>
      </c>
      <c r="B1822" t="s">
        <v>16</v>
      </c>
      <c r="C1822" s="2">
        <v>38859</v>
      </c>
      <c r="D1822">
        <f>YEAR(ProductLine[[#This Row],[Date]])</f>
        <v>2006</v>
      </c>
      <c r="E1822">
        <f>MONTH(ProductLine[[#This Row],[Date]])</f>
        <v>5</v>
      </c>
      <c r="F1822" t="s">
        <v>25</v>
      </c>
      <c r="G1822">
        <v>67</v>
      </c>
      <c r="H1822" s="3">
        <v>203.18155970987976</v>
      </c>
      <c r="I1822" s="3">
        <f>ProductLine[[#This Row],[Units]]*ProductLine[[#This Row],[Dollars]]</f>
        <v>13613.164500561945</v>
      </c>
    </row>
    <row r="1823" spans="1:9" x14ac:dyDescent="0.35">
      <c r="A1823">
        <v>1822</v>
      </c>
      <c r="B1823" t="s">
        <v>15</v>
      </c>
      <c r="C1823" s="2">
        <v>38463</v>
      </c>
      <c r="D1823">
        <f>YEAR(ProductLine[[#This Row],[Date]])</f>
        <v>2005</v>
      </c>
      <c r="E1823">
        <f>MONTH(ProductLine[[#This Row],[Date]])</f>
        <v>4</v>
      </c>
      <c r="F1823" t="s">
        <v>23</v>
      </c>
      <c r="G1823">
        <v>19</v>
      </c>
      <c r="H1823" s="3">
        <v>59.451848680441209</v>
      </c>
      <c r="I1823" s="3">
        <f>ProductLine[[#This Row],[Units]]*ProductLine[[#This Row],[Dollars]]</f>
        <v>1129.585124928383</v>
      </c>
    </row>
    <row r="1824" spans="1:9" x14ac:dyDescent="0.35">
      <c r="A1824">
        <v>1823</v>
      </c>
      <c r="B1824" t="s">
        <v>17</v>
      </c>
      <c r="C1824" s="2">
        <v>38529</v>
      </c>
      <c r="D1824">
        <f>YEAR(ProductLine[[#This Row],[Date]])</f>
        <v>2005</v>
      </c>
      <c r="E1824">
        <f>MONTH(ProductLine[[#This Row],[Date]])</f>
        <v>6</v>
      </c>
      <c r="F1824" t="s">
        <v>23</v>
      </c>
      <c r="G1824">
        <v>12</v>
      </c>
      <c r="H1824" s="3">
        <v>37.634507305486729</v>
      </c>
      <c r="I1824" s="3">
        <f>ProductLine[[#This Row],[Units]]*ProductLine[[#This Row],[Dollars]]</f>
        <v>451.61408766584077</v>
      </c>
    </row>
    <row r="1825" spans="1:9" x14ac:dyDescent="0.35">
      <c r="A1825">
        <v>1824</v>
      </c>
      <c r="B1825" t="s">
        <v>12</v>
      </c>
      <c r="C1825" s="2">
        <v>38892</v>
      </c>
      <c r="D1825">
        <f>YEAR(ProductLine[[#This Row],[Date]])</f>
        <v>2006</v>
      </c>
      <c r="E1825">
        <f>MONTH(ProductLine[[#This Row],[Date]])</f>
        <v>6</v>
      </c>
      <c r="F1825" t="s">
        <v>23</v>
      </c>
      <c r="G1825">
        <v>50</v>
      </c>
      <c r="H1825" s="3">
        <v>151.66817286074655</v>
      </c>
      <c r="I1825" s="3">
        <f>ProductLine[[#This Row],[Units]]*ProductLine[[#This Row],[Dollars]]</f>
        <v>7583.4086430373272</v>
      </c>
    </row>
    <row r="1826" spans="1:9" x14ac:dyDescent="0.35">
      <c r="A1826">
        <v>1825</v>
      </c>
      <c r="B1826" t="s">
        <v>9</v>
      </c>
      <c r="C1826" s="2">
        <v>38760</v>
      </c>
      <c r="D1826">
        <f>YEAR(ProductLine[[#This Row],[Date]])</f>
        <v>2006</v>
      </c>
      <c r="E1826">
        <f>MONTH(ProductLine[[#This Row],[Date]])</f>
        <v>2</v>
      </c>
      <c r="F1826" t="s">
        <v>25</v>
      </c>
      <c r="G1826">
        <v>73</v>
      </c>
      <c r="H1826" s="3">
        <v>221.23251800803121</v>
      </c>
      <c r="I1826" s="3">
        <f>ProductLine[[#This Row],[Units]]*ProductLine[[#This Row],[Dollars]]</f>
        <v>16149.973814586278</v>
      </c>
    </row>
    <row r="1827" spans="1:9" x14ac:dyDescent="0.35">
      <c r="A1827">
        <v>1826</v>
      </c>
      <c r="B1827" t="s">
        <v>17</v>
      </c>
      <c r="C1827" s="2">
        <v>38947</v>
      </c>
      <c r="D1827">
        <f>YEAR(ProductLine[[#This Row],[Date]])</f>
        <v>2006</v>
      </c>
      <c r="E1827">
        <f>MONTH(ProductLine[[#This Row],[Date]])</f>
        <v>8</v>
      </c>
      <c r="F1827" t="s">
        <v>25</v>
      </c>
      <c r="G1827">
        <v>30</v>
      </c>
      <c r="H1827" s="3">
        <v>91.686808812711931</v>
      </c>
      <c r="I1827" s="3">
        <f>ProductLine[[#This Row],[Units]]*ProductLine[[#This Row],[Dollars]]</f>
        <v>2750.604264381358</v>
      </c>
    </row>
    <row r="1828" spans="1:9" x14ac:dyDescent="0.35">
      <c r="A1828">
        <v>1827</v>
      </c>
      <c r="B1828" t="s">
        <v>11</v>
      </c>
      <c r="C1828" s="2">
        <v>38243</v>
      </c>
      <c r="D1828">
        <f>YEAR(ProductLine[[#This Row],[Date]])</f>
        <v>2004</v>
      </c>
      <c r="E1828">
        <f>MONTH(ProductLine[[#This Row],[Date]])</f>
        <v>9</v>
      </c>
      <c r="F1828" t="s">
        <v>27</v>
      </c>
      <c r="G1828">
        <v>19</v>
      </c>
      <c r="H1828" s="3">
        <v>59.101466872333368</v>
      </c>
      <c r="I1828" s="3">
        <f>ProductLine[[#This Row],[Units]]*ProductLine[[#This Row],[Dollars]]</f>
        <v>1122.9278705743341</v>
      </c>
    </row>
    <row r="1829" spans="1:9" x14ac:dyDescent="0.35">
      <c r="A1829">
        <v>1828</v>
      </c>
      <c r="B1829" t="s">
        <v>16</v>
      </c>
      <c r="C1829" s="2">
        <v>38507</v>
      </c>
      <c r="D1829">
        <f>YEAR(ProductLine[[#This Row],[Date]])</f>
        <v>2005</v>
      </c>
      <c r="E1829">
        <f>MONTH(ProductLine[[#This Row],[Date]])</f>
        <v>6</v>
      </c>
      <c r="F1829" t="s">
        <v>26</v>
      </c>
      <c r="G1829">
        <v>48</v>
      </c>
      <c r="H1829" s="3">
        <v>145.21747547077908</v>
      </c>
      <c r="I1829" s="3">
        <f>ProductLine[[#This Row],[Units]]*ProductLine[[#This Row],[Dollars]]</f>
        <v>6970.4388225973962</v>
      </c>
    </row>
    <row r="1830" spans="1:9" x14ac:dyDescent="0.35">
      <c r="A1830">
        <v>1829</v>
      </c>
      <c r="B1830" t="s">
        <v>10</v>
      </c>
      <c r="C1830" s="2">
        <v>38859</v>
      </c>
      <c r="D1830">
        <f>YEAR(ProductLine[[#This Row],[Date]])</f>
        <v>2006</v>
      </c>
      <c r="E1830">
        <f>MONTH(ProductLine[[#This Row],[Date]])</f>
        <v>5</v>
      </c>
      <c r="F1830" t="s">
        <v>27</v>
      </c>
      <c r="G1830">
        <v>-8</v>
      </c>
      <c r="H1830" s="3">
        <v>-21.602633683096364</v>
      </c>
      <c r="I1830" s="3">
        <f>ProductLine[[#This Row],[Units]]*ProductLine[[#This Row],[Dollars]]</f>
        <v>172.82106946477091</v>
      </c>
    </row>
    <row r="1831" spans="1:9" x14ac:dyDescent="0.35">
      <c r="A1831">
        <v>1830</v>
      </c>
      <c r="B1831" t="s">
        <v>17</v>
      </c>
      <c r="C1831" s="2">
        <v>38947</v>
      </c>
      <c r="D1831">
        <f>YEAR(ProductLine[[#This Row],[Date]])</f>
        <v>2006</v>
      </c>
      <c r="E1831">
        <f>MONTH(ProductLine[[#This Row],[Date]])</f>
        <v>8</v>
      </c>
      <c r="F1831" t="s">
        <v>23</v>
      </c>
      <c r="G1831">
        <v>-8</v>
      </c>
      <c r="H1831" s="3">
        <v>-22.143532028061156</v>
      </c>
      <c r="I1831" s="3">
        <f>ProductLine[[#This Row],[Units]]*ProductLine[[#This Row],[Dollars]]</f>
        <v>177.14825622448924</v>
      </c>
    </row>
    <row r="1832" spans="1:9" x14ac:dyDescent="0.35">
      <c r="A1832">
        <v>1831</v>
      </c>
      <c r="B1832" t="s">
        <v>17</v>
      </c>
      <c r="C1832" s="2">
        <v>38441</v>
      </c>
      <c r="D1832">
        <f>YEAR(ProductLine[[#This Row],[Date]])</f>
        <v>2005</v>
      </c>
      <c r="E1832">
        <f>MONTH(ProductLine[[#This Row],[Date]])</f>
        <v>3</v>
      </c>
      <c r="F1832" t="s">
        <v>23</v>
      </c>
      <c r="G1832">
        <v>28</v>
      </c>
      <c r="H1832" s="3">
        <v>85.906767980675738</v>
      </c>
      <c r="I1832" s="3">
        <f>ProductLine[[#This Row],[Units]]*ProductLine[[#This Row],[Dollars]]</f>
        <v>2405.3895034589204</v>
      </c>
    </row>
    <row r="1833" spans="1:9" x14ac:dyDescent="0.35">
      <c r="A1833">
        <v>1832</v>
      </c>
      <c r="B1833" t="s">
        <v>12</v>
      </c>
      <c r="C1833" s="2">
        <v>38617</v>
      </c>
      <c r="D1833">
        <f>YEAR(ProductLine[[#This Row],[Date]])</f>
        <v>2005</v>
      </c>
      <c r="E1833">
        <f>MONTH(ProductLine[[#This Row],[Date]])</f>
        <v>9</v>
      </c>
      <c r="F1833" t="s">
        <v>27</v>
      </c>
      <c r="G1833">
        <v>81</v>
      </c>
      <c r="H1833" s="3">
        <v>245.21311554699477</v>
      </c>
      <c r="I1833" s="3">
        <f>ProductLine[[#This Row],[Units]]*ProductLine[[#This Row],[Dollars]]</f>
        <v>19862.262359306576</v>
      </c>
    </row>
    <row r="1834" spans="1:9" x14ac:dyDescent="0.35">
      <c r="A1834">
        <v>1833</v>
      </c>
      <c r="B1834" t="s">
        <v>12</v>
      </c>
      <c r="C1834" s="2">
        <v>38364</v>
      </c>
      <c r="D1834">
        <f>YEAR(ProductLine[[#This Row],[Date]])</f>
        <v>2005</v>
      </c>
      <c r="E1834">
        <f>MONTH(ProductLine[[#This Row],[Date]])</f>
        <v>1</v>
      </c>
      <c r="F1834" t="s">
        <v>23</v>
      </c>
      <c r="G1834">
        <v>12</v>
      </c>
      <c r="H1834" s="3">
        <v>37.991916032039505</v>
      </c>
      <c r="I1834" s="3">
        <f>ProductLine[[#This Row],[Units]]*ProductLine[[#This Row],[Dollars]]</f>
        <v>455.90299238447403</v>
      </c>
    </row>
    <row r="1835" spans="1:9" x14ac:dyDescent="0.35">
      <c r="A1835">
        <v>1834</v>
      </c>
      <c r="B1835" t="s">
        <v>12</v>
      </c>
      <c r="C1835" s="2">
        <v>38782</v>
      </c>
      <c r="D1835">
        <f>YEAR(ProductLine[[#This Row],[Date]])</f>
        <v>2006</v>
      </c>
      <c r="E1835">
        <f>MONTH(ProductLine[[#This Row],[Date]])</f>
        <v>3</v>
      </c>
      <c r="F1835" t="s">
        <v>26</v>
      </c>
      <c r="G1835">
        <v>54</v>
      </c>
      <c r="H1835" s="3">
        <v>164.03373721658585</v>
      </c>
      <c r="I1835" s="3">
        <f>ProductLine[[#This Row],[Units]]*ProductLine[[#This Row],[Dollars]]</f>
        <v>8857.8218096956352</v>
      </c>
    </row>
    <row r="1836" spans="1:9" x14ac:dyDescent="0.35">
      <c r="A1836">
        <v>1835</v>
      </c>
      <c r="B1836" t="s">
        <v>12</v>
      </c>
      <c r="C1836" s="2">
        <v>38496</v>
      </c>
      <c r="D1836">
        <f>YEAR(ProductLine[[#This Row],[Date]])</f>
        <v>2005</v>
      </c>
      <c r="E1836">
        <f>MONTH(ProductLine[[#This Row],[Date]])</f>
        <v>5</v>
      </c>
      <c r="F1836" t="s">
        <v>24</v>
      </c>
      <c r="G1836">
        <v>70</v>
      </c>
      <c r="H1836" s="3">
        <v>212.30572042127932</v>
      </c>
      <c r="I1836" s="3">
        <f>ProductLine[[#This Row],[Units]]*ProductLine[[#This Row],[Dollars]]</f>
        <v>14861.400429489553</v>
      </c>
    </row>
    <row r="1837" spans="1:9" x14ac:dyDescent="0.35">
      <c r="A1837">
        <v>1836</v>
      </c>
      <c r="B1837" t="s">
        <v>12</v>
      </c>
      <c r="C1837" s="2">
        <v>38573</v>
      </c>
      <c r="D1837">
        <f>YEAR(ProductLine[[#This Row],[Date]])</f>
        <v>2005</v>
      </c>
      <c r="E1837">
        <f>MONTH(ProductLine[[#This Row],[Date]])</f>
        <v>8</v>
      </c>
      <c r="F1837" t="s">
        <v>26</v>
      </c>
      <c r="G1837">
        <v>89</v>
      </c>
      <c r="H1837" s="3">
        <v>269.07289128480653</v>
      </c>
      <c r="I1837" s="3">
        <f>ProductLine[[#This Row],[Units]]*ProductLine[[#This Row],[Dollars]]</f>
        <v>23947.487324347781</v>
      </c>
    </row>
    <row r="1838" spans="1:9" x14ac:dyDescent="0.35">
      <c r="A1838">
        <v>1837</v>
      </c>
      <c r="B1838" t="s">
        <v>14</v>
      </c>
      <c r="C1838" s="2">
        <v>38606</v>
      </c>
      <c r="D1838">
        <f>YEAR(ProductLine[[#This Row],[Date]])</f>
        <v>2005</v>
      </c>
      <c r="E1838">
        <f>MONTH(ProductLine[[#This Row],[Date]])</f>
        <v>9</v>
      </c>
      <c r="F1838" t="s">
        <v>24</v>
      </c>
      <c r="G1838">
        <v>10</v>
      </c>
      <c r="H1838" s="3">
        <v>32.271941209300522</v>
      </c>
      <c r="I1838" s="3">
        <f>ProductLine[[#This Row],[Units]]*ProductLine[[#This Row],[Dollars]]</f>
        <v>322.71941209300519</v>
      </c>
    </row>
    <row r="1839" spans="1:9" x14ac:dyDescent="0.35">
      <c r="A1839">
        <v>1838</v>
      </c>
      <c r="B1839" t="s">
        <v>9</v>
      </c>
      <c r="C1839" s="2">
        <v>37990</v>
      </c>
      <c r="D1839">
        <f>YEAR(ProductLine[[#This Row],[Date]])</f>
        <v>2004</v>
      </c>
      <c r="E1839">
        <f>MONTH(ProductLine[[#This Row],[Date]])</f>
        <v>1</v>
      </c>
      <c r="F1839" t="s">
        <v>24</v>
      </c>
      <c r="G1839">
        <v>52</v>
      </c>
      <c r="H1839" s="3">
        <v>158.17581888720281</v>
      </c>
      <c r="I1839" s="3">
        <f>ProductLine[[#This Row],[Units]]*ProductLine[[#This Row],[Dollars]]</f>
        <v>8225.1425821345456</v>
      </c>
    </row>
    <row r="1840" spans="1:9" x14ac:dyDescent="0.35">
      <c r="A1840">
        <v>1839</v>
      </c>
      <c r="B1840" t="s">
        <v>14</v>
      </c>
      <c r="C1840" s="2">
        <v>38540</v>
      </c>
      <c r="D1840">
        <f>YEAR(ProductLine[[#This Row],[Date]])</f>
        <v>2005</v>
      </c>
      <c r="E1840">
        <f>MONTH(ProductLine[[#This Row],[Date]])</f>
        <v>7</v>
      </c>
      <c r="F1840" t="s">
        <v>27</v>
      </c>
      <c r="G1840">
        <v>85</v>
      </c>
      <c r="H1840" s="3">
        <v>257.81669173781398</v>
      </c>
      <c r="I1840" s="3">
        <f>ProductLine[[#This Row],[Units]]*ProductLine[[#This Row],[Dollars]]</f>
        <v>21914.418797714188</v>
      </c>
    </row>
    <row r="1841" spans="1:9" x14ac:dyDescent="0.35">
      <c r="A1841">
        <v>1840</v>
      </c>
      <c r="B1841" t="s">
        <v>11</v>
      </c>
      <c r="C1841" s="2">
        <v>38529</v>
      </c>
      <c r="D1841">
        <f>YEAR(ProductLine[[#This Row],[Date]])</f>
        <v>2005</v>
      </c>
      <c r="E1841">
        <f>MONTH(ProductLine[[#This Row],[Date]])</f>
        <v>6</v>
      </c>
      <c r="F1841" t="s">
        <v>24</v>
      </c>
      <c r="G1841">
        <v>31</v>
      </c>
      <c r="H1841" s="3">
        <v>93.983701954495999</v>
      </c>
      <c r="I1841" s="3">
        <f>ProductLine[[#This Row],[Units]]*ProductLine[[#This Row],[Dollars]]</f>
        <v>2913.4947605893758</v>
      </c>
    </row>
    <row r="1842" spans="1:9" x14ac:dyDescent="0.35">
      <c r="A1842">
        <v>1841</v>
      </c>
      <c r="B1842" t="s">
        <v>15</v>
      </c>
      <c r="C1842" s="2">
        <v>38793</v>
      </c>
      <c r="D1842">
        <f>YEAR(ProductLine[[#This Row],[Date]])</f>
        <v>2006</v>
      </c>
      <c r="E1842">
        <f>MONTH(ProductLine[[#This Row],[Date]])</f>
        <v>3</v>
      </c>
      <c r="F1842" t="s">
        <v>27</v>
      </c>
      <c r="G1842">
        <v>36</v>
      </c>
      <c r="H1842" s="3">
        <v>110.02990284078979</v>
      </c>
      <c r="I1842" s="3">
        <f>ProductLine[[#This Row],[Units]]*ProductLine[[#This Row],[Dollars]]</f>
        <v>3961.0765022684323</v>
      </c>
    </row>
    <row r="1843" spans="1:9" x14ac:dyDescent="0.35">
      <c r="A1843">
        <v>1842</v>
      </c>
      <c r="B1843" t="s">
        <v>13</v>
      </c>
      <c r="C1843" s="2">
        <v>38089</v>
      </c>
      <c r="D1843">
        <f>YEAR(ProductLine[[#This Row],[Date]])</f>
        <v>2004</v>
      </c>
      <c r="E1843">
        <f>MONTH(ProductLine[[#This Row],[Date]])</f>
        <v>4</v>
      </c>
      <c r="F1843" t="s">
        <v>23</v>
      </c>
      <c r="G1843">
        <v>80</v>
      </c>
      <c r="H1843" s="3">
        <v>241.83353913915346</v>
      </c>
      <c r="I1843" s="3">
        <f>ProductLine[[#This Row],[Units]]*ProductLine[[#This Row],[Dollars]]</f>
        <v>19346.683131132275</v>
      </c>
    </row>
    <row r="1844" spans="1:9" x14ac:dyDescent="0.35">
      <c r="A1844">
        <v>1843</v>
      </c>
      <c r="B1844" t="s">
        <v>13</v>
      </c>
      <c r="C1844" s="2">
        <v>38562</v>
      </c>
      <c r="D1844">
        <f>YEAR(ProductLine[[#This Row],[Date]])</f>
        <v>2005</v>
      </c>
      <c r="E1844">
        <f>MONTH(ProductLine[[#This Row],[Date]])</f>
        <v>7</v>
      </c>
      <c r="F1844" t="s">
        <v>27</v>
      </c>
      <c r="G1844">
        <v>27</v>
      </c>
      <c r="H1844" s="3">
        <v>82.455751292325587</v>
      </c>
      <c r="I1844" s="3">
        <f>ProductLine[[#This Row],[Units]]*ProductLine[[#This Row],[Dollars]]</f>
        <v>2226.305284892791</v>
      </c>
    </row>
    <row r="1845" spans="1:9" x14ac:dyDescent="0.35">
      <c r="A1845">
        <v>1844</v>
      </c>
      <c r="B1845" t="s">
        <v>14</v>
      </c>
      <c r="C1845" s="2">
        <v>38111</v>
      </c>
      <c r="D1845">
        <f>YEAR(ProductLine[[#This Row],[Date]])</f>
        <v>2004</v>
      </c>
      <c r="E1845">
        <f>MONTH(ProductLine[[#This Row],[Date]])</f>
        <v>5</v>
      </c>
      <c r="F1845" t="s">
        <v>24</v>
      </c>
      <c r="G1845">
        <v>46</v>
      </c>
      <c r="H1845" s="3">
        <v>140.39446141212673</v>
      </c>
      <c r="I1845" s="3">
        <f>ProductLine[[#This Row],[Units]]*ProductLine[[#This Row],[Dollars]]</f>
        <v>6458.1452249578297</v>
      </c>
    </row>
    <row r="1846" spans="1:9" x14ac:dyDescent="0.35">
      <c r="A1846">
        <v>1845</v>
      </c>
      <c r="B1846" t="s">
        <v>14</v>
      </c>
      <c r="C1846" s="2">
        <v>38188</v>
      </c>
      <c r="D1846">
        <f>YEAR(ProductLine[[#This Row],[Date]])</f>
        <v>2004</v>
      </c>
      <c r="E1846">
        <f>MONTH(ProductLine[[#This Row],[Date]])</f>
        <v>7</v>
      </c>
      <c r="F1846" t="s">
        <v>24</v>
      </c>
      <c r="G1846">
        <v>29</v>
      </c>
      <c r="H1846" s="3">
        <v>89.577515368145924</v>
      </c>
      <c r="I1846" s="3">
        <f>ProductLine[[#This Row],[Units]]*ProductLine[[#This Row],[Dollars]]</f>
        <v>2597.7479456762317</v>
      </c>
    </row>
    <row r="1847" spans="1:9" x14ac:dyDescent="0.35">
      <c r="A1847">
        <v>1846</v>
      </c>
      <c r="B1847" t="s">
        <v>16</v>
      </c>
      <c r="C1847" s="2">
        <v>38760</v>
      </c>
      <c r="D1847">
        <f>YEAR(ProductLine[[#This Row],[Date]])</f>
        <v>2006</v>
      </c>
      <c r="E1847">
        <f>MONTH(ProductLine[[#This Row],[Date]])</f>
        <v>2</v>
      </c>
      <c r="F1847" t="s">
        <v>23</v>
      </c>
      <c r="G1847">
        <v>55</v>
      </c>
      <c r="H1847" s="3">
        <v>167.03601910379061</v>
      </c>
      <c r="I1847" s="3">
        <f>ProductLine[[#This Row],[Units]]*ProductLine[[#This Row],[Dollars]]</f>
        <v>9186.981050708484</v>
      </c>
    </row>
    <row r="1848" spans="1:9" x14ac:dyDescent="0.35">
      <c r="A1848">
        <v>1847</v>
      </c>
      <c r="B1848" t="s">
        <v>15</v>
      </c>
      <c r="C1848" s="2">
        <v>38243</v>
      </c>
      <c r="D1848">
        <f>YEAR(ProductLine[[#This Row],[Date]])</f>
        <v>2004</v>
      </c>
      <c r="E1848">
        <f>MONTH(ProductLine[[#This Row],[Date]])</f>
        <v>9</v>
      </c>
      <c r="F1848" t="s">
        <v>27</v>
      </c>
      <c r="G1848">
        <v>2</v>
      </c>
      <c r="H1848" s="3">
        <v>7.3173645509019103</v>
      </c>
      <c r="I1848" s="3">
        <f>ProductLine[[#This Row],[Units]]*ProductLine[[#This Row],[Dollars]]</f>
        <v>14.634729101803821</v>
      </c>
    </row>
    <row r="1849" spans="1:9" x14ac:dyDescent="0.35">
      <c r="A1849">
        <v>1848</v>
      </c>
      <c r="B1849" t="s">
        <v>9</v>
      </c>
      <c r="C1849" s="2">
        <v>38892</v>
      </c>
      <c r="D1849">
        <f>YEAR(ProductLine[[#This Row],[Date]])</f>
        <v>2006</v>
      </c>
      <c r="E1849">
        <f>MONTH(ProductLine[[#This Row],[Date]])</f>
        <v>6</v>
      </c>
      <c r="F1849" t="s">
        <v>24</v>
      </c>
      <c r="G1849">
        <v>60</v>
      </c>
      <c r="H1849" s="3">
        <v>182.39254500689876</v>
      </c>
      <c r="I1849" s="3">
        <f>ProductLine[[#This Row],[Units]]*ProductLine[[#This Row],[Dollars]]</f>
        <v>10943.552700413926</v>
      </c>
    </row>
    <row r="1850" spans="1:9" x14ac:dyDescent="0.35">
      <c r="A1850">
        <v>1849</v>
      </c>
      <c r="B1850" t="s">
        <v>12</v>
      </c>
      <c r="C1850" s="2">
        <v>38562</v>
      </c>
      <c r="D1850">
        <f>YEAR(ProductLine[[#This Row],[Date]])</f>
        <v>2005</v>
      </c>
      <c r="E1850">
        <f>MONTH(ProductLine[[#This Row],[Date]])</f>
        <v>7</v>
      </c>
      <c r="F1850" t="s">
        <v>23</v>
      </c>
      <c r="G1850">
        <v>12</v>
      </c>
      <c r="H1850" s="3">
        <v>37.851664258571823</v>
      </c>
      <c r="I1850" s="3">
        <f>ProductLine[[#This Row],[Units]]*ProductLine[[#This Row],[Dollars]]</f>
        <v>454.2199711028619</v>
      </c>
    </row>
    <row r="1851" spans="1:9" x14ac:dyDescent="0.35">
      <c r="A1851">
        <v>1850</v>
      </c>
      <c r="B1851" t="s">
        <v>16</v>
      </c>
      <c r="C1851" s="2">
        <v>38122</v>
      </c>
      <c r="D1851">
        <f>YEAR(ProductLine[[#This Row],[Date]])</f>
        <v>2004</v>
      </c>
      <c r="E1851">
        <f>MONTH(ProductLine[[#This Row],[Date]])</f>
        <v>5</v>
      </c>
      <c r="F1851" t="s">
        <v>27</v>
      </c>
      <c r="G1851">
        <v>52</v>
      </c>
      <c r="H1851" s="3">
        <v>157.88309865957618</v>
      </c>
      <c r="I1851" s="3">
        <f>ProductLine[[#This Row],[Units]]*ProductLine[[#This Row],[Dollars]]</f>
        <v>8209.921130297962</v>
      </c>
    </row>
    <row r="1852" spans="1:9" x14ac:dyDescent="0.35">
      <c r="A1852">
        <v>1851</v>
      </c>
      <c r="B1852" t="s">
        <v>11</v>
      </c>
      <c r="C1852" s="2">
        <v>38100</v>
      </c>
      <c r="D1852">
        <f>YEAR(ProductLine[[#This Row],[Date]])</f>
        <v>2004</v>
      </c>
      <c r="E1852">
        <f>MONTH(ProductLine[[#This Row],[Date]])</f>
        <v>4</v>
      </c>
      <c r="F1852" t="s">
        <v>23</v>
      </c>
      <c r="G1852">
        <v>37</v>
      </c>
      <c r="H1852" s="3">
        <v>113.27390397366521</v>
      </c>
      <c r="I1852" s="3">
        <f>ProductLine[[#This Row],[Units]]*ProductLine[[#This Row],[Dollars]]</f>
        <v>4191.1344470256126</v>
      </c>
    </row>
    <row r="1853" spans="1:9" x14ac:dyDescent="0.35">
      <c r="A1853">
        <v>1852</v>
      </c>
      <c r="B1853" t="s">
        <v>11</v>
      </c>
      <c r="C1853" s="2">
        <v>38254</v>
      </c>
      <c r="D1853">
        <f>YEAR(ProductLine[[#This Row],[Date]])</f>
        <v>2004</v>
      </c>
      <c r="E1853">
        <f>MONTH(ProductLine[[#This Row],[Date]])</f>
        <v>9</v>
      </c>
      <c r="F1853" t="s">
        <v>25</v>
      </c>
      <c r="G1853">
        <v>36</v>
      </c>
      <c r="H1853" s="3">
        <v>110.51900033744339</v>
      </c>
      <c r="I1853" s="3">
        <f>ProductLine[[#This Row],[Units]]*ProductLine[[#This Row],[Dollars]]</f>
        <v>3978.6840121479618</v>
      </c>
    </row>
    <row r="1854" spans="1:9" x14ac:dyDescent="0.35">
      <c r="A1854">
        <v>1853</v>
      </c>
      <c r="B1854" t="s">
        <v>17</v>
      </c>
      <c r="C1854" s="2">
        <v>38100</v>
      </c>
      <c r="D1854">
        <f>YEAR(ProductLine[[#This Row],[Date]])</f>
        <v>2004</v>
      </c>
      <c r="E1854">
        <f>MONTH(ProductLine[[#This Row],[Date]])</f>
        <v>4</v>
      </c>
      <c r="F1854" t="s">
        <v>23</v>
      </c>
      <c r="G1854">
        <v>87</v>
      </c>
      <c r="H1854" s="3">
        <v>262.81312845180031</v>
      </c>
      <c r="I1854" s="3">
        <f>ProductLine[[#This Row],[Units]]*ProductLine[[#This Row],[Dollars]]</f>
        <v>22864.742175306626</v>
      </c>
    </row>
    <row r="1855" spans="1:9" x14ac:dyDescent="0.35">
      <c r="A1855">
        <v>1854</v>
      </c>
      <c r="B1855" t="s">
        <v>14</v>
      </c>
      <c r="C1855" s="2">
        <v>38749</v>
      </c>
      <c r="D1855">
        <f>YEAR(ProductLine[[#This Row],[Date]])</f>
        <v>2006</v>
      </c>
      <c r="E1855">
        <f>MONTH(ProductLine[[#This Row],[Date]])</f>
        <v>2</v>
      </c>
      <c r="F1855" t="s">
        <v>27</v>
      </c>
      <c r="G1855">
        <v>16</v>
      </c>
      <c r="H1855" s="3">
        <v>50.279574486289519</v>
      </c>
      <c r="I1855" s="3">
        <f>ProductLine[[#This Row],[Units]]*ProductLine[[#This Row],[Dollars]]</f>
        <v>804.47319178063231</v>
      </c>
    </row>
    <row r="1856" spans="1:9" x14ac:dyDescent="0.35">
      <c r="A1856">
        <v>1855</v>
      </c>
      <c r="B1856" t="s">
        <v>15</v>
      </c>
      <c r="C1856" s="2">
        <v>38551</v>
      </c>
      <c r="D1856">
        <f>YEAR(ProductLine[[#This Row],[Date]])</f>
        <v>2005</v>
      </c>
      <c r="E1856">
        <f>MONTH(ProductLine[[#This Row],[Date]])</f>
        <v>7</v>
      </c>
      <c r="F1856" t="s">
        <v>23</v>
      </c>
      <c r="G1856">
        <v>50</v>
      </c>
      <c r="H1856" s="3">
        <v>152.12593577749263</v>
      </c>
      <c r="I1856" s="3">
        <f>ProductLine[[#This Row],[Units]]*ProductLine[[#This Row],[Dollars]]</f>
        <v>7606.2967888746316</v>
      </c>
    </row>
    <row r="1857" spans="1:9" x14ac:dyDescent="0.35">
      <c r="A1857">
        <v>1856</v>
      </c>
      <c r="B1857" t="s">
        <v>10</v>
      </c>
      <c r="C1857" s="2">
        <v>38749</v>
      </c>
      <c r="D1857">
        <f>YEAR(ProductLine[[#This Row],[Date]])</f>
        <v>2006</v>
      </c>
      <c r="E1857">
        <f>MONTH(ProductLine[[#This Row],[Date]])</f>
        <v>2</v>
      </c>
      <c r="F1857" t="s">
        <v>27</v>
      </c>
      <c r="G1857">
        <v>53</v>
      </c>
      <c r="H1857" s="3">
        <v>160.62764519173885</v>
      </c>
      <c r="I1857" s="3">
        <f>ProductLine[[#This Row],[Units]]*ProductLine[[#This Row],[Dollars]]</f>
        <v>8513.2651951621592</v>
      </c>
    </row>
    <row r="1858" spans="1:9" x14ac:dyDescent="0.35">
      <c r="A1858">
        <v>1857</v>
      </c>
      <c r="B1858" t="s">
        <v>17</v>
      </c>
      <c r="C1858" s="2">
        <v>38133</v>
      </c>
      <c r="D1858">
        <f>YEAR(ProductLine[[#This Row],[Date]])</f>
        <v>2004</v>
      </c>
      <c r="E1858">
        <f>MONTH(ProductLine[[#This Row],[Date]])</f>
        <v>5</v>
      </c>
      <c r="F1858" t="s">
        <v>24</v>
      </c>
      <c r="G1858">
        <v>61</v>
      </c>
      <c r="H1858" s="3">
        <v>184.76093809619837</v>
      </c>
      <c r="I1858" s="3">
        <f>ProductLine[[#This Row],[Units]]*ProductLine[[#This Row],[Dollars]]</f>
        <v>11270.4172238681</v>
      </c>
    </row>
    <row r="1859" spans="1:9" x14ac:dyDescent="0.35">
      <c r="A1859">
        <v>1858</v>
      </c>
      <c r="B1859" t="s">
        <v>11</v>
      </c>
      <c r="C1859" s="2">
        <v>38540</v>
      </c>
      <c r="D1859">
        <f>YEAR(ProductLine[[#This Row],[Date]])</f>
        <v>2005</v>
      </c>
      <c r="E1859">
        <f>MONTH(ProductLine[[#This Row],[Date]])</f>
        <v>7</v>
      </c>
      <c r="F1859" t="s">
        <v>24</v>
      </c>
      <c r="G1859">
        <v>95</v>
      </c>
      <c r="H1859" s="3">
        <v>286.82526300294711</v>
      </c>
      <c r="I1859" s="3">
        <f>ProductLine[[#This Row],[Units]]*ProductLine[[#This Row],[Dollars]]</f>
        <v>27248.399985279975</v>
      </c>
    </row>
    <row r="1860" spans="1:9" x14ac:dyDescent="0.35">
      <c r="A1860">
        <v>1859</v>
      </c>
      <c r="B1860" t="s">
        <v>13</v>
      </c>
      <c r="C1860" s="2">
        <v>38221</v>
      </c>
      <c r="D1860">
        <f>YEAR(ProductLine[[#This Row],[Date]])</f>
        <v>2004</v>
      </c>
      <c r="E1860">
        <f>MONTH(ProductLine[[#This Row],[Date]])</f>
        <v>8</v>
      </c>
      <c r="F1860" t="s">
        <v>25</v>
      </c>
      <c r="G1860">
        <v>-6</v>
      </c>
      <c r="H1860" s="3">
        <v>-16.589394597675682</v>
      </c>
      <c r="I1860" s="3">
        <f>ProductLine[[#This Row],[Units]]*ProductLine[[#This Row],[Dollars]]</f>
        <v>99.536367586054098</v>
      </c>
    </row>
    <row r="1861" spans="1:9" x14ac:dyDescent="0.35">
      <c r="A1861">
        <v>1860</v>
      </c>
      <c r="B1861" t="s">
        <v>15</v>
      </c>
      <c r="C1861" s="2">
        <v>38210</v>
      </c>
      <c r="D1861">
        <f>YEAR(ProductLine[[#This Row],[Date]])</f>
        <v>2004</v>
      </c>
      <c r="E1861">
        <f>MONTH(ProductLine[[#This Row],[Date]])</f>
        <v>8</v>
      </c>
      <c r="F1861" t="s">
        <v>23</v>
      </c>
      <c r="G1861">
        <v>-9</v>
      </c>
      <c r="H1861" s="3">
        <v>-24.760053633714985</v>
      </c>
      <c r="I1861" s="3">
        <f>ProductLine[[#This Row],[Units]]*ProductLine[[#This Row],[Dollars]]</f>
        <v>222.84048270343487</v>
      </c>
    </row>
    <row r="1862" spans="1:9" x14ac:dyDescent="0.35">
      <c r="A1862">
        <v>1861</v>
      </c>
      <c r="B1862" t="s">
        <v>14</v>
      </c>
      <c r="C1862" s="2">
        <v>38793</v>
      </c>
      <c r="D1862">
        <f>YEAR(ProductLine[[#This Row],[Date]])</f>
        <v>2006</v>
      </c>
      <c r="E1862">
        <f>MONTH(ProductLine[[#This Row],[Date]])</f>
        <v>3</v>
      </c>
      <c r="F1862" t="s">
        <v>26</v>
      </c>
      <c r="G1862">
        <v>74</v>
      </c>
      <c r="H1862" s="3">
        <v>223.82751177660725</v>
      </c>
      <c r="I1862" s="3">
        <f>ProductLine[[#This Row],[Units]]*ProductLine[[#This Row],[Dollars]]</f>
        <v>16563.235871468936</v>
      </c>
    </row>
    <row r="1863" spans="1:9" x14ac:dyDescent="0.35">
      <c r="A1863">
        <v>1862</v>
      </c>
      <c r="B1863" t="s">
        <v>10</v>
      </c>
      <c r="C1863" s="2">
        <v>38694</v>
      </c>
      <c r="D1863">
        <f>YEAR(ProductLine[[#This Row],[Date]])</f>
        <v>2005</v>
      </c>
      <c r="E1863">
        <f>MONTH(ProductLine[[#This Row],[Date]])</f>
        <v>12</v>
      </c>
      <c r="F1863" t="s">
        <v>23</v>
      </c>
      <c r="G1863">
        <v>18</v>
      </c>
      <c r="H1863" s="3">
        <v>55.524146786750528</v>
      </c>
      <c r="I1863" s="3">
        <f>ProductLine[[#This Row],[Units]]*ProductLine[[#This Row],[Dollars]]</f>
        <v>999.43464216150949</v>
      </c>
    </row>
    <row r="1864" spans="1:9" x14ac:dyDescent="0.35">
      <c r="A1864">
        <v>1863</v>
      </c>
      <c r="B1864" t="s">
        <v>12</v>
      </c>
      <c r="C1864" s="2">
        <v>38782</v>
      </c>
      <c r="D1864">
        <f>YEAR(ProductLine[[#This Row],[Date]])</f>
        <v>2006</v>
      </c>
      <c r="E1864">
        <f>MONTH(ProductLine[[#This Row],[Date]])</f>
        <v>3</v>
      </c>
      <c r="F1864" t="s">
        <v>26</v>
      </c>
      <c r="G1864">
        <v>73</v>
      </c>
      <c r="H1864" s="3">
        <v>220.67063477706461</v>
      </c>
      <c r="I1864" s="3">
        <f>ProductLine[[#This Row],[Units]]*ProductLine[[#This Row],[Dollars]]</f>
        <v>16108.956338725717</v>
      </c>
    </row>
    <row r="1865" spans="1:9" x14ac:dyDescent="0.35">
      <c r="A1865">
        <v>1864</v>
      </c>
      <c r="B1865" t="s">
        <v>15</v>
      </c>
      <c r="C1865" s="2">
        <v>38331</v>
      </c>
      <c r="D1865">
        <f>YEAR(ProductLine[[#This Row],[Date]])</f>
        <v>2004</v>
      </c>
      <c r="E1865">
        <f>MONTH(ProductLine[[#This Row],[Date]])</f>
        <v>12</v>
      </c>
      <c r="F1865" t="s">
        <v>26</v>
      </c>
      <c r="G1865">
        <v>62</v>
      </c>
      <c r="H1865" s="3">
        <v>188.42678187961798</v>
      </c>
      <c r="I1865" s="3">
        <f>ProductLine[[#This Row],[Units]]*ProductLine[[#This Row],[Dollars]]</f>
        <v>11682.460476536315</v>
      </c>
    </row>
    <row r="1866" spans="1:9" x14ac:dyDescent="0.35">
      <c r="A1866">
        <v>1865</v>
      </c>
      <c r="B1866" t="s">
        <v>13</v>
      </c>
      <c r="C1866" s="2">
        <v>38903</v>
      </c>
      <c r="D1866">
        <f>YEAR(ProductLine[[#This Row],[Date]])</f>
        <v>2006</v>
      </c>
      <c r="E1866">
        <f>MONTH(ProductLine[[#This Row],[Date]])</f>
        <v>7</v>
      </c>
      <c r="F1866" t="s">
        <v>24</v>
      </c>
      <c r="G1866">
        <v>-2</v>
      </c>
      <c r="H1866" s="3">
        <v>-3.5924377444896751</v>
      </c>
      <c r="I1866" s="3">
        <f>ProductLine[[#This Row],[Units]]*ProductLine[[#This Row],[Dollars]]</f>
        <v>7.1848754889793502</v>
      </c>
    </row>
    <row r="1867" spans="1:9" x14ac:dyDescent="0.35">
      <c r="A1867">
        <v>1866</v>
      </c>
      <c r="B1867" t="s">
        <v>14</v>
      </c>
      <c r="C1867" s="2">
        <v>38991</v>
      </c>
      <c r="D1867">
        <f>YEAR(ProductLine[[#This Row],[Date]])</f>
        <v>2006</v>
      </c>
      <c r="E1867">
        <f>MONTH(ProductLine[[#This Row],[Date]])</f>
        <v>10</v>
      </c>
      <c r="F1867" t="s">
        <v>24</v>
      </c>
      <c r="G1867">
        <v>-7</v>
      </c>
      <c r="H1867" s="3">
        <v>-18.939063444337712</v>
      </c>
      <c r="I1867" s="3">
        <f>ProductLine[[#This Row],[Units]]*ProductLine[[#This Row],[Dollars]]</f>
        <v>132.57344411036399</v>
      </c>
    </row>
    <row r="1868" spans="1:9" x14ac:dyDescent="0.35">
      <c r="A1868">
        <v>1867</v>
      </c>
      <c r="B1868" t="s">
        <v>14</v>
      </c>
      <c r="C1868" s="2">
        <v>38947</v>
      </c>
      <c r="D1868">
        <f>YEAR(ProductLine[[#This Row],[Date]])</f>
        <v>2006</v>
      </c>
      <c r="E1868">
        <f>MONTH(ProductLine[[#This Row],[Date]])</f>
        <v>8</v>
      </c>
      <c r="F1868" t="s">
        <v>27</v>
      </c>
      <c r="G1868">
        <v>73</v>
      </c>
      <c r="H1868" s="3">
        <v>220.77421208293487</v>
      </c>
      <c r="I1868" s="3">
        <f>ProductLine[[#This Row],[Units]]*ProductLine[[#This Row],[Dollars]]</f>
        <v>16116.517482054245</v>
      </c>
    </row>
    <row r="1869" spans="1:9" x14ac:dyDescent="0.35">
      <c r="A1869">
        <v>1868</v>
      </c>
      <c r="B1869" t="s">
        <v>10</v>
      </c>
      <c r="C1869" s="2">
        <v>38452</v>
      </c>
      <c r="D1869">
        <f>YEAR(ProductLine[[#This Row],[Date]])</f>
        <v>2005</v>
      </c>
      <c r="E1869">
        <f>MONTH(ProductLine[[#This Row],[Date]])</f>
        <v>4</v>
      </c>
      <c r="F1869" t="s">
        <v>26</v>
      </c>
      <c r="G1869">
        <v>24</v>
      </c>
      <c r="H1869" s="3">
        <v>73.585989082063819</v>
      </c>
      <c r="I1869" s="3">
        <f>ProductLine[[#This Row],[Units]]*ProductLine[[#This Row],[Dollars]]</f>
        <v>1766.0637379695318</v>
      </c>
    </row>
    <row r="1870" spans="1:9" x14ac:dyDescent="0.35">
      <c r="A1870">
        <v>1869</v>
      </c>
      <c r="B1870" t="s">
        <v>9</v>
      </c>
      <c r="C1870" s="2">
        <v>38628</v>
      </c>
      <c r="D1870">
        <f>YEAR(ProductLine[[#This Row],[Date]])</f>
        <v>2005</v>
      </c>
      <c r="E1870">
        <f>MONTH(ProductLine[[#This Row],[Date]])</f>
        <v>10</v>
      </c>
      <c r="F1870" t="s">
        <v>25</v>
      </c>
      <c r="G1870">
        <v>18</v>
      </c>
      <c r="H1870" s="3">
        <v>56.084454934208836</v>
      </c>
      <c r="I1870" s="3">
        <f>ProductLine[[#This Row],[Units]]*ProductLine[[#This Row],[Dollars]]</f>
        <v>1009.5201888157591</v>
      </c>
    </row>
    <row r="1871" spans="1:9" x14ac:dyDescent="0.35">
      <c r="A1871">
        <v>1870</v>
      </c>
      <c r="B1871" t="s">
        <v>10</v>
      </c>
      <c r="C1871" s="2">
        <v>39046</v>
      </c>
      <c r="D1871">
        <f>YEAR(ProductLine[[#This Row],[Date]])</f>
        <v>2006</v>
      </c>
      <c r="E1871">
        <f>MONTH(ProductLine[[#This Row],[Date]])</f>
        <v>11</v>
      </c>
      <c r="F1871" t="s">
        <v>27</v>
      </c>
      <c r="G1871">
        <v>49</v>
      </c>
      <c r="H1871" s="3">
        <v>149.40493820151829</v>
      </c>
      <c r="I1871" s="3">
        <f>ProductLine[[#This Row],[Units]]*ProductLine[[#This Row],[Dollars]]</f>
        <v>7320.8419718743962</v>
      </c>
    </row>
    <row r="1872" spans="1:9" x14ac:dyDescent="0.35">
      <c r="A1872">
        <v>1871</v>
      </c>
      <c r="B1872" t="s">
        <v>17</v>
      </c>
      <c r="C1872" s="2">
        <v>38353</v>
      </c>
      <c r="D1872">
        <f>YEAR(ProductLine[[#This Row],[Date]])</f>
        <v>2005</v>
      </c>
      <c r="E1872">
        <f>MONTH(ProductLine[[#This Row],[Date]])</f>
        <v>1</v>
      </c>
      <c r="F1872" t="s">
        <v>27</v>
      </c>
      <c r="G1872">
        <v>21</v>
      </c>
      <c r="H1872" s="3">
        <v>64.683872648507389</v>
      </c>
      <c r="I1872" s="3">
        <f>ProductLine[[#This Row],[Units]]*ProductLine[[#This Row],[Dollars]]</f>
        <v>1358.3613256186552</v>
      </c>
    </row>
    <row r="1873" spans="1:9" x14ac:dyDescent="0.35">
      <c r="A1873">
        <v>1872</v>
      </c>
      <c r="B1873" t="s">
        <v>13</v>
      </c>
      <c r="C1873" s="2">
        <v>38122</v>
      </c>
      <c r="D1873">
        <f>YEAR(ProductLine[[#This Row],[Date]])</f>
        <v>2004</v>
      </c>
      <c r="E1873">
        <f>MONTH(ProductLine[[#This Row],[Date]])</f>
        <v>5</v>
      </c>
      <c r="F1873" t="s">
        <v>24</v>
      </c>
      <c r="G1873">
        <v>2</v>
      </c>
      <c r="H1873" s="3">
        <v>7.9938401735771141</v>
      </c>
      <c r="I1873" s="3">
        <f>ProductLine[[#This Row],[Units]]*ProductLine[[#This Row],[Dollars]]</f>
        <v>15.987680347154228</v>
      </c>
    </row>
    <row r="1874" spans="1:9" x14ac:dyDescent="0.35">
      <c r="A1874">
        <v>1873</v>
      </c>
      <c r="B1874" t="s">
        <v>17</v>
      </c>
      <c r="C1874" s="2">
        <v>38309</v>
      </c>
      <c r="D1874">
        <f>YEAR(ProductLine[[#This Row],[Date]])</f>
        <v>2004</v>
      </c>
      <c r="E1874">
        <f>MONTH(ProductLine[[#This Row],[Date]])</f>
        <v>11</v>
      </c>
      <c r="F1874" t="s">
        <v>24</v>
      </c>
      <c r="G1874">
        <v>83</v>
      </c>
      <c r="H1874" s="3">
        <v>250.87539350545751</v>
      </c>
      <c r="I1874" s="3">
        <f>ProductLine[[#This Row],[Units]]*ProductLine[[#This Row],[Dollars]]</f>
        <v>20822.657660952973</v>
      </c>
    </row>
    <row r="1875" spans="1:9" x14ac:dyDescent="0.35">
      <c r="A1875">
        <v>1874</v>
      </c>
      <c r="B1875" t="s">
        <v>13</v>
      </c>
      <c r="C1875" s="2">
        <v>38353</v>
      </c>
      <c r="D1875">
        <f>YEAR(ProductLine[[#This Row],[Date]])</f>
        <v>2005</v>
      </c>
      <c r="E1875">
        <f>MONTH(ProductLine[[#This Row],[Date]])</f>
        <v>1</v>
      </c>
      <c r="F1875" t="s">
        <v>23</v>
      </c>
      <c r="G1875">
        <v>63</v>
      </c>
      <c r="H1875" s="3">
        <v>191.14760672109483</v>
      </c>
      <c r="I1875" s="3">
        <f>ProductLine[[#This Row],[Units]]*ProductLine[[#This Row],[Dollars]]</f>
        <v>12042.299223428974</v>
      </c>
    </row>
    <row r="1876" spans="1:9" x14ac:dyDescent="0.35">
      <c r="A1876">
        <v>1875</v>
      </c>
      <c r="B1876" t="s">
        <v>14</v>
      </c>
      <c r="C1876" s="2">
        <v>38045</v>
      </c>
      <c r="D1876">
        <f>YEAR(ProductLine[[#This Row],[Date]])</f>
        <v>2004</v>
      </c>
      <c r="E1876">
        <f>MONTH(ProductLine[[#This Row],[Date]])</f>
        <v>2</v>
      </c>
      <c r="F1876" t="s">
        <v>25</v>
      </c>
      <c r="G1876">
        <v>54</v>
      </c>
      <c r="H1876" s="3">
        <v>163.86628539020685</v>
      </c>
      <c r="I1876" s="3">
        <f>ProductLine[[#This Row],[Units]]*ProductLine[[#This Row],[Dollars]]</f>
        <v>8848.7794110711693</v>
      </c>
    </row>
    <row r="1877" spans="1:9" x14ac:dyDescent="0.35">
      <c r="A1877">
        <v>1876</v>
      </c>
      <c r="B1877" t="s">
        <v>13</v>
      </c>
      <c r="C1877" s="2">
        <v>38243</v>
      </c>
      <c r="D1877">
        <f>YEAR(ProductLine[[#This Row],[Date]])</f>
        <v>2004</v>
      </c>
      <c r="E1877">
        <f>MONTH(ProductLine[[#This Row],[Date]])</f>
        <v>9</v>
      </c>
      <c r="F1877" t="s">
        <v>23</v>
      </c>
      <c r="G1877">
        <v>19</v>
      </c>
      <c r="H1877" s="3">
        <v>59.715260847522721</v>
      </c>
      <c r="I1877" s="3">
        <f>ProductLine[[#This Row],[Units]]*ProductLine[[#This Row],[Dollars]]</f>
        <v>1134.5899561029316</v>
      </c>
    </row>
    <row r="1878" spans="1:9" x14ac:dyDescent="0.35">
      <c r="A1878">
        <v>1877</v>
      </c>
      <c r="B1878" t="s">
        <v>17</v>
      </c>
      <c r="C1878" s="2">
        <v>38243</v>
      </c>
      <c r="D1878">
        <f>YEAR(ProductLine[[#This Row],[Date]])</f>
        <v>2004</v>
      </c>
      <c r="E1878">
        <f>MONTH(ProductLine[[#This Row],[Date]])</f>
        <v>9</v>
      </c>
      <c r="F1878" t="s">
        <v>26</v>
      </c>
      <c r="G1878">
        <v>66</v>
      </c>
      <c r="H1878" s="3">
        <v>199.3615971018873</v>
      </c>
      <c r="I1878" s="3">
        <f>ProductLine[[#This Row],[Units]]*ProductLine[[#This Row],[Dollars]]</f>
        <v>13157.865408724561</v>
      </c>
    </row>
    <row r="1879" spans="1:9" x14ac:dyDescent="0.35">
      <c r="A1879">
        <v>1878</v>
      </c>
      <c r="B1879" t="s">
        <v>9</v>
      </c>
      <c r="C1879" s="2">
        <v>38133</v>
      </c>
      <c r="D1879">
        <f>YEAR(ProductLine[[#This Row],[Date]])</f>
        <v>2004</v>
      </c>
      <c r="E1879">
        <f>MONTH(ProductLine[[#This Row],[Date]])</f>
        <v>5</v>
      </c>
      <c r="F1879" t="s">
        <v>23</v>
      </c>
      <c r="G1879">
        <v>60</v>
      </c>
      <c r="H1879" s="3">
        <v>182.28071376505659</v>
      </c>
      <c r="I1879" s="3">
        <f>ProductLine[[#This Row],[Units]]*ProductLine[[#This Row],[Dollars]]</f>
        <v>10936.842825903395</v>
      </c>
    </row>
    <row r="1880" spans="1:9" x14ac:dyDescent="0.35">
      <c r="A1880">
        <v>1879</v>
      </c>
      <c r="B1880" t="s">
        <v>11</v>
      </c>
      <c r="C1880" s="2">
        <v>38947</v>
      </c>
      <c r="D1880">
        <f>YEAR(ProductLine[[#This Row],[Date]])</f>
        <v>2006</v>
      </c>
      <c r="E1880">
        <f>MONTH(ProductLine[[#This Row],[Date]])</f>
        <v>8</v>
      </c>
      <c r="F1880" t="s">
        <v>26</v>
      </c>
      <c r="G1880">
        <v>90</v>
      </c>
      <c r="H1880" s="3">
        <v>271.85208039455387</v>
      </c>
      <c r="I1880" s="3">
        <f>ProductLine[[#This Row],[Units]]*ProductLine[[#This Row],[Dollars]]</f>
        <v>24466.687235509849</v>
      </c>
    </row>
    <row r="1881" spans="1:9" x14ac:dyDescent="0.35">
      <c r="A1881">
        <v>1880</v>
      </c>
      <c r="B1881" t="s">
        <v>15</v>
      </c>
      <c r="C1881" s="2">
        <v>39068</v>
      </c>
      <c r="D1881">
        <f>YEAR(ProductLine[[#This Row],[Date]])</f>
        <v>2006</v>
      </c>
      <c r="E1881">
        <f>MONTH(ProductLine[[#This Row],[Date]])</f>
        <v>12</v>
      </c>
      <c r="F1881" t="s">
        <v>23</v>
      </c>
      <c r="G1881">
        <v>59</v>
      </c>
      <c r="H1881" s="3">
        <v>178.65030230399057</v>
      </c>
      <c r="I1881" s="3">
        <f>ProductLine[[#This Row],[Units]]*ProductLine[[#This Row],[Dollars]]</f>
        <v>10540.367835935444</v>
      </c>
    </row>
    <row r="1882" spans="1:9" x14ac:dyDescent="0.35">
      <c r="A1882">
        <v>1881</v>
      </c>
      <c r="B1882" t="s">
        <v>15</v>
      </c>
      <c r="C1882" s="2">
        <v>38628</v>
      </c>
      <c r="D1882">
        <f>YEAR(ProductLine[[#This Row],[Date]])</f>
        <v>2005</v>
      </c>
      <c r="E1882">
        <f>MONTH(ProductLine[[#This Row],[Date]])</f>
        <v>10</v>
      </c>
      <c r="F1882" t="s">
        <v>24</v>
      </c>
      <c r="G1882">
        <v>0</v>
      </c>
      <c r="H1882" s="3">
        <v>2.6560689007562872</v>
      </c>
      <c r="I1882" s="3">
        <f>ProductLine[[#This Row],[Units]]*ProductLine[[#This Row],[Dollars]]</f>
        <v>0</v>
      </c>
    </row>
    <row r="1883" spans="1:9" x14ac:dyDescent="0.35">
      <c r="A1883">
        <v>1882</v>
      </c>
      <c r="B1883" t="s">
        <v>16</v>
      </c>
      <c r="C1883" s="2">
        <v>38067</v>
      </c>
      <c r="D1883">
        <f>YEAR(ProductLine[[#This Row],[Date]])</f>
        <v>2004</v>
      </c>
      <c r="E1883">
        <f>MONTH(ProductLine[[#This Row],[Date]])</f>
        <v>3</v>
      </c>
      <c r="F1883" t="s">
        <v>24</v>
      </c>
      <c r="G1883">
        <v>72</v>
      </c>
      <c r="H1883" s="3">
        <v>217.90015045055327</v>
      </c>
      <c r="I1883" s="3">
        <f>ProductLine[[#This Row],[Units]]*ProductLine[[#This Row],[Dollars]]</f>
        <v>15688.810832439834</v>
      </c>
    </row>
    <row r="1884" spans="1:9" x14ac:dyDescent="0.35">
      <c r="A1884">
        <v>1883</v>
      </c>
      <c r="B1884" t="s">
        <v>9</v>
      </c>
      <c r="C1884" s="2">
        <v>38188</v>
      </c>
      <c r="D1884">
        <f>YEAR(ProductLine[[#This Row],[Date]])</f>
        <v>2004</v>
      </c>
      <c r="E1884">
        <f>MONTH(ProductLine[[#This Row],[Date]])</f>
        <v>7</v>
      </c>
      <c r="F1884" t="s">
        <v>23</v>
      </c>
      <c r="G1884">
        <v>-6</v>
      </c>
      <c r="H1884" s="3">
        <v>-15.735959690520316</v>
      </c>
      <c r="I1884" s="3">
        <f>ProductLine[[#This Row],[Units]]*ProductLine[[#This Row],[Dollars]]</f>
        <v>94.415758143121892</v>
      </c>
    </row>
    <row r="1885" spans="1:9" x14ac:dyDescent="0.35">
      <c r="A1885">
        <v>1884</v>
      </c>
      <c r="B1885" t="s">
        <v>10</v>
      </c>
      <c r="C1885" s="2">
        <v>38859</v>
      </c>
      <c r="D1885">
        <f>YEAR(ProductLine[[#This Row],[Date]])</f>
        <v>2006</v>
      </c>
      <c r="E1885">
        <f>MONTH(ProductLine[[#This Row],[Date]])</f>
        <v>5</v>
      </c>
      <c r="F1885" t="s">
        <v>23</v>
      </c>
      <c r="G1885">
        <v>89</v>
      </c>
      <c r="H1885" s="3">
        <v>269.39552816852074</v>
      </c>
      <c r="I1885" s="3">
        <f>ProductLine[[#This Row],[Units]]*ProductLine[[#This Row],[Dollars]]</f>
        <v>23976.202006998345</v>
      </c>
    </row>
    <row r="1886" spans="1:9" x14ac:dyDescent="0.35">
      <c r="A1886">
        <v>1885</v>
      </c>
      <c r="B1886" t="s">
        <v>11</v>
      </c>
      <c r="C1886" s="2">
        <v>38848</v>
      </c>
      <c r="D1886">
        <f>YEAR(ProductLine[[#This Row],[Date]])</f>
        <v>2006</v>
      </c>
      <c r="E1886">
        <f>MONTH(ProductLine[[#This Row],[Date]])</f>
        <v>5</v>
      </c>
      <c r="F1886" t="s">
        <v>23</v>
      </c>
      <c r="G1886">
        <v>12</v>
      </c>
      <c r="H1886" s="3">
        <v>37.837711255972984</v>
      </c>
      <c r="I1886" s="3">
        <f>ProductLine[[#This Row],[Units]]*ProductLine[[#This Row],[Dollars]]</f>
        <v>454.05253507167583</v>
      </c>
    </row>
    <row r="1887" spans="1:9" x14ac:dyDescent="0.35">
      <c r="A1887">
        <v>1886</v>
      </c>
      <c r="B1887" t="s">
        <v>14</v>
      </c>
      <c r="C1887" s="2">
        <v>38573</v>
      </c>
      <c r="D1887">
        <f>YEAR(ProductLine[[#This Row],[Date]])</f>
        <v>2005</v>
      </c>
      <c r="E1887">
        <f>MONTH(ProductLine[[#This Row],[Date]])</f>
        <v>8</v>
      </c>
      <c r="F1887" t="s">
        <v>27</v>
      </c>
      <c r="G1887">
        <v>89</v>
      </c>
      <c r="H1887" s="3">
        <v>269.14754282019447</v>
      </c>
      <c r="I1887" s="3">
        <f>ProductLine[[#This Row],[Units]]*ProductLine[[#This Row],[Dollars]]</f>
        <v>23954.131310997309</v>
      </c>
    </row>
    <row r="1888" spans="1:9" x14ac:dyDescent="0.35">
      <c r="A1888">
        <v>1887</v>
      </c>
      <c r="B1888" t="s">
        <v>12</v>
      </c>
      <c r="C1888" s="2">
        <v>38463</v>
      </c>
      <c r="D1888">
        <f>YEAR(ProductLine[[#This Row],[Date]])</f>
        <v>2005</v>
      </c>
      <c r="E1888">
        <f>MONTH(ProductLine[[#This Row],[Date]])</f>
        <v>4</v>
      </c>
      <c r="F1888" t="s">
        <v>23</v>
      </c>
      <c r="G1888">
        <v>61</v>
      </c>
      <c r="H1888" s="3">
        <v>185.3147883164014</v>
      </c>
      <c r="I1888" s="3">
        <f>ProductLine[[#This Row],[Units]]*ProductLine[[#This Row],[Dollars]]</f>
        <v>11304.202087300486</v>
      </c>
    </row>
    <row r="1889" spans="1:9" x14ac:dyDescent="0.35">
      <c r="A1889">
        <v>1888</v>
      </c>
      <c r="B1889" t="s">
        <v>13</v>
      </c>
      <c r="C1889" s="2">
        <v>38551</v>
      </c>
      <c r="D1889">
        <f>YEAR(ProductLine[[#This Row],[Date]])</f>
        <v>2005</v>
      </c>
      <c r="E1889">
        <f>MONTH(ProductLine[[#This Row],[Date]])</f>
        <v>7</v>
      </c>
      <c r="F1889" t="s">
        <v>26</v>
      </c>
      <c r="G1889">
        <v>24</v>
      </c>
      <c r="H1889" s="3">
        <v>73.811151860326262</v>
      </c>
      <c r="I1889" s="3">
        <f>ProductLine[[#This Row],[Units]]*ProductLine[[#This Row],[Dollars]]</f>
        <v>1771.4676446478302</v>
      </c>
    </row>
    <row r="1890" spans="1:9" x14ac:dyDescent="0.35">
      <c r="A1890">
        <v>1889</v>
      </c>
      <c r="B1890" t="s">
        <v>15</v>
      </c>
      <c r="C1890" s="2">
        <v>39046</v>
      </c>
      <c r="D1890">
        <f>YEAR(ProductLine[[#This Row],[Date]])</f>
        <v>2006</v>
      </c>
      <c r="E1890">
        <f>MONTH(ProductLine[[#This Row],[Date]])</f>
        <v>11</v>
      </c>
      <c r="F1890" t="s">
        <v>26</v>
      </c>
      <c r="G1890">
        <v>76</v>
      </c>
      <c r="H1890" s="3">
        <v>229.9178081264337</v>
      </c>
      <c r="I1890" s="3">
        <f>ProductLine[[#This Row],[Units]]*ProductLine[[#This Row],[Dollars]]</f>
        <v>17473.753417608961</v>
      </c>
    </row>
    <row r="1891" spans="1:9" x14ac:dyDescent="0.35">
      <c r="A1891">
        <v>1890</v>
      </c>
      <c r="B1891" t="s">
        <v>17</v>
      </c>
      <c r="C1891" s="2">
        <v>38518</v>
      </c>
      <c r="D1891">
        <f>YEAR(ProductLine[[#This Row],[Date]])</f>
        <v>2005</v>
      </c>
      <c r="E1891">
        <f>MONTH(ProductLine[[#This Row],[Date]])</f>
        <v>6</v>
      </c>
      <c r="F1891" t="s">
        <v>24</v>
      </c>
      <c r="G1891">
        <v>16</v>
      </c>
      <c r="H1891" s="3">
        <v>49.753987400329763</v>
      </c>
      <c r="I1891" s="3">
        <f>ProductLine[[#This Row],[Units]]*ProductLine[[#This Row],[Dollars]]</f>
        <v>796.0637984052762</v>
      </c>
    </row>
    <row r="1892" spans="1:9" x14ac:dyDescent="0.35">
      <c r="A1892">
        <v>1891</v>
      </c>
      <c r="B1892" t="s">
        <v>9</v>
      </c>
      <c r="C1892" s="2">
        <v>38452</v>
      </c>
      <c r="D1892">
        <f>YEAR(ProductLine[[#This Row],[Date]])</f>
        <v>2005</v>
      </c>
      <c r="E1892">
        <f>MONTH(ProductLine[[#This Row],[Date]])</f>
        <v>4</v>
      </c>
      <c r="F1892" t="s">
        <v>24</v>
      </c>
      <c r="G1892">
        <v>39</v>
      </c>
      <c r="H1892" s="3">
        <v>119.18883187506967</v>
      </c>
      <c r="I1892" s="3">
        <f>ProductLine[[#This Row],[Units]]*ProductLine[[#This Row],[Dollars]]</f>
        <v>4648.3644431277171</v>
      </c>
    </row>
    <row r="1893" spans="1:9" x14ac:dyDescent="0.35">
      <c r="A1893">
        <v>1892</v>
      </c>
      <c r="B1893" t="s">
        <v>17</v>
      </c>
      <c r="C1893" s="2">
        <v>38771</v>
      </c>
      <c r="D1893">
        <f>YEAR(ProductLine[[#This Row],[Date]])</f>
        <v>2006</v>
      </c>
      <c r="E1893">
        <f>MONTH(ProductLine[[#This Row],[Date]])</f>
        <v>2</v>
      </c>
      <c r="F1893" t="s">
        <v>27</v>
      </c>
      <c r="G1893">
        <v>92</v>
      </c>
      <c r="H1893" s="3">
        <v>278.43491112447333</v>
      </c>
      <c r="I1893" s="3">
        <f>ProductLine[[#This Row],[Units]]*ProductLine[[#This Row],[Dollars]]</f>
        <v>25616.011823451547</v>
      </c>
    </row>
    <row r="1894" spans="1:9" x14ac:dyDescent="0.35">
      <c r="A1894">
        <v>1893</v>
      </c>
      <c r="B1894" t="s">
        <v>17</v>
      </c>
      <c r="C1894" s="2">
        <v>38199</v>
      </c>
      <c r="D1894">
        <f>YEAR(ProductLine[[#This Row],[Date]])</f>
        <v>2004</v>
      </c>
      <c r="E1894">
        <f>MONTH(ProductLine[[#This Row],[Date]])</f>
        <v>7</v>
      </c>
      <c r="F1894" t="s">
        <v>24</v>
      </c>
      <c r="G1894">
        <v>20</v>
      </c>
      <c r="H1894" s="3">
        <v>61.923857472779041</v>
      </c>
      <c r="I1894" s="3">
        <f>ProductLine[[#This Row],[Units]]*ProductLine[[#This Row],[Dollars]]</f>
        <v>1238.4771494555807</v>
      </c>
    </row>
    <row r="1895" spans="1:9" x14ac:dyDescent="0.35">
      <c r="A1895">
        <v>1894</v>
      </c>
      <c r="B1895" t="s">
        <v>13</v>
      </c>
      <c r="C1895" s="2">
        <v>38122</v>
      </c>
      <c r="D1895">
        <f>YEAR(ProductLine[[#This Row],[Date]])</f>
        <v>2004</v>
      </c>
      <c r="E1895">
        <f>MONTH(ProductLine[[#This Row],[Date]])</f>
        <v>5</v>
      </c>
      <c r="F1895" t="s">
        <v>23</v>
      </c>
      <c r="G1895">
        <v>60</v>
      </c>
      <c r="H1895" s="3">
        <v>181.87034788891373</v>
      </c>
      <c r="I1895" s="3">
        <f>ProductLine[[#This Row],[Units]]*ProductLine[[#This Row],[Dollars]]</f>
        <v>10912.220873334823</v>
      </c>
    </row>
    <row r="1896" spans="1:9" x14ac:dyDescent="0.35">
      <c r="A1896">
        <v>1895</v>
      </c>
      <c r="B1896" t="s">
        <v>15</v>
      </c>
      <c r="C1896" s="2">
        <v>38683</v>
      </c>
      <c r="D1896">
        <f>YEAR(ProductLine[[#This Row],[Date]])</f>
        <v>2005</v>
      </c>
      <c r="E1896">
        <f>MONTH(ProductLine[[#This Row],[Date]])</f>
        <v>11</v>
      </c>
      <c r="F1896" t="s">
        <v>26</v>
      </c>
      <c r="G1896">
        <v>15</v>
      </c>
      <c r="H1896" s="3">
        <v>47.161022333179389</v>
      </c>
      <c r="I1896" s="3">
        <f>ProductLine[[#This Row],[Units]]*ProductLine[[#This Row],[Dollars]]</f>
        <v>707.41533499769082</v>
      </c>
    </row>
    <row r="1897" spans="1:9" x14ac:dyDescent="0.35">
      <c r="A1897">
        <v>1896</v>
      </c>
      <c r="B1897" t="s">
        <v>11</v>
      </c>
      <c r="C1897" s="2">
        <v>38397</v>
      </c>
      <c r="D1897">
        <f>YEAR(ProductLine[[#This Row],[Date]])</f>
        <v>2005</v>
      </c>
      <c r="E1897">
        <f>MONTH(ProductLine[[#This Row],[Date]])</f>
        <v>2</v>
      </c>
      <c r="F1897" t="s">
        <v>24</v>
      </c>
      <c r="G1897">
        <v>36</v>
      </c>
      <c r="H1897" s="3">
        <v>109.84259915039922</v>
      </c>
      <c r="I1897" s="3">
        <f>ProductLine[[#This Row],[Units]]*ProductLine[[#This Row],[Dollars]]</f>
        <v>3954.3335694143721</v>
      </c>
    </row>
    <row r="1898" spans="1:9" x14ac:dyDescent="0.35">
      <c r="A1898">
        <v>1897</v>
      </c>
      <c r="B1898" t="s">
        <v>13</v>
      </c>
      <c r="C1898" s="2">
        <v>38661</v>
      </c>
      <c r="D1898">
        <f>YEAR(ProductLine[[#This Row],[Date]])</f>
        <v>2005</v>
      </c>
      <c r="E1898">
        <f>MONTH(ProductLine[[#This Row],[Date]])</f>
        <v>11</v>
      </c>
      <c r="F1898" t="s">
        <v>23</v>
      </c>
      <c r="G1898">
        <v>46</v>
      </c>
      <c r="H1898" s="3">
        <v>140.4088993575123</v>
      </c>
      <c r="I1898" s="3">
        <f>ProductLine[[#This Row],[Units]]*ProductLine[[#This Row],[Dollars]]</f>
        <v>6458.8093704455659</v>
      </c>
    </row>
    <row r="1899" spans="1:9" x14ac:dyDescent="0.35">
      <c r="A1899">
        <v>1898</v>
      </c>
      <c r="B1899" t="s">
        <v>12</v>
      </c>
      <c r="C1899" s="2">
        <v>38001</v>
      </c>
      <c r="D1899">
        <f>YEAR(ProductLine[[#This Row],[Date]])</f>
        <v>2004</v>
      </c>
      <c r="E1899">
        <f>MONTH(ProductLine[[#This Row],[Date]])</f>
        <v>1</v>
      </c>
      <c r="F1899" t="s">
        <v>25</v>
      </c>
      <c r="G1899">
        <v>72</v>
      </c>
      <c r="H1899" s="3">
        <v>217.83588624347365</v>
      </c>
      <c r="I1899" s="3">
        <f>ProductLine[[#This Row],[Units]]*ProductLine[[#This Row],[Dollars]]</f>
        <v>15684.183809530103</v>
      </c>
    </row>
    <row r="1900" spans="1:9" x14ac:dyDescent="0.35">
      <c r="A1900">
        <v>1899</v>
      </c>
      <c r="B1900" t="s">
        <v>10</v>
      </c>
      <c r="C1900" s="2">
        <v>39024</v>
      </c>
      <c r="D1900">
        <f>YEAR(ProductLine[[#This Row],[Date]])</f>
        <v>2006</v>
      </c>
      <c r="E1900">
        <f>MONTH(ProductLine[[#This Row],[Date]])</f>
        <v>11</v>
      </c>
      <c r="F1900" t="s">
        <v>26</v>
      </c>
      <c r="G1900">
        <v>28</v>
      </c>
      <c r="H1900" s="3">
        <v>85.656829526557672</v>
      </c>
      <c r="I1900" s="3">
        <f>ProductLine[[#This Row],[Units]]*ProductLine[[#This Row],[Dollars]]</f>
        <v>2398.3912267436149</v>
      </c>
    </row>
    <row r="1901" spans="1:9" x14ac:dyDescent="0.35">
      <c r="A1901">
        <v>1900</v>
      </c>
      <c r="B1901" t="s">
        <v>14</v>
      </c>
      <c r="C1901" s="2">
        <v>38881</v>
      </c>
      <c r="D1901">
        <f>YEAR(ProductLine[[#This Row],[Date]])</f>
        <v>2006</v>
      </c>
      <c r="E1901">
        <f>MONTH(ProductLine[[#This Row],[Date]])</f>
        <v>6</v>
      </c>
      <c r="F1901" t="s">
        <v>26</v>
      </c>
      <c r="G1901">
        <v>54</v>
      </c>
      <c r="H1901" s="3">
        <v>164.48733423141368</v>
      </c>
      <c r="I1901" s="3">
        <f>ProductLine[[#This Row],[Units]]*ProductLine[[#This Row],[Dollars]]</f>
        <v>8882.3160484963391</v>
      </c>
    </row>
    <row r="1902" spans="1:9" x14ac:dyDescent="0.35">
      <c r="A1902">
        <v>1901</v>
      </c>
      <c r="B1902" t="s">
        <v>11</v>
      </c>
      <c r="C1902" s="2">
        <v>44028</v>
      </c>
      <c r="D1902">
        <f>YEAR(ProductLine[[#This Row],[Date]])</f>
        <v>2020</v>
      </c>
      <c r="E1902">
        <f>MONTH(ProductLine[[#This Row],[Date]])</f>
        <v>7</v>
      </c>
      <c r="F1902" t="s">
        <v>23</v>
      </c>
      <c r="G1902">
        <v>26</v>
      </c>
      <c r="H1902" s="3">
        <v>87.25</v>
      </c>
      <c r="I1902" s="3">
        <f>ProductLine[[#This Row],[Units]]*ProductLine[[#This Row],[Dollars]]</f>
        <v>2268.5</v>
      </c>
    </row>
    <row r="1903" spans="1:9" x14ac:dyDescent="0.35">
      <c r="A1903">
        <v>1902</v>
      </c>
      <c r="B1903" t="s">
        <v>11</v>
      </c>
      <c r="C1903" s="2">
        <v>43909</v>
      </c>
      <c r="D1903">
        <f>YEAR(ProductLine[[#This Row],[Date]])</f>
        <v>2020</v>
      </c>
      <c r="E1903">
        <f>MONTH(ProductLine[[#This Row],[Date]])</f>
        <v>3</v>
      </c>
      <c r="F1903" t="s">
        <v>26</v>
      </c>
      <c r="G1903">
        <v>46</v>
      </c>
      <c r="H1903" s="3">
        <v>65.760000000000005</v>
      </c>
      <c r="I1903" s="3">
        <f>ProductLine[[#This Row],[Units]]*ProductLine[[#This Row],[Dollars]]</f>
        <v>3024.96</v>
      </c>
    </row>
    <row r="1904" spans="1:9" x14ac:dyDescent="0.35">
      <c r="A1904">
        <v>1903</v>
      </c>
      <c r="B1904" t="s">
        <v>11</v>
      </c>
      <c r="C1904" s="2">
        <v>44060</v>
      </c>
      <c r="D1904">
        <f>YEAR(ProductLine[[#This Row],[Date]])</f>
        <v>2020</v>
      </c>
      <c r="E1904">
        <f>MONTH(ProductLine[[#This Row],[Date]])</f>
        <v>8</v>
      </c>
      <c r="F1904" t="s">
        <v>24</v>
      </c>
      <c r="G1904">
        <v>68</v>
      </c>
      <c r="H1904" s="3">
        <v>70.25</v>
      </c>
      <c r="I1904" s="3">
        <f>ProductLine[[#This Row],[Units]]*ProductLine[[#This Row],[Dollars]]</f>
        <v>4777</v>
      </c>
    </row>
    <row r="1905" spans="1:9" x14ac:dyDescent="0.35">
      <c r="A1905">
        <v>1904</v>
      </c>
      <c r="B1905" t="s">
        <v>11</v>
      </c>
      <c r="C1905" s="2">
        <v>43995</v>
      </c>
      <c r="D1905">
        <f>YEAR(ProductLine[[#This Row],[Date]])</f>
        <v>2020</v>
      </c>
      <c r="E1905">
        <f>MONTH(ProductLine[[#This Row],[Date]])</f>
        <v>6</v>
      </c>
      <c r="F1905" t="s">
        <v>25</v>
      </c>
      <c r="G1905">
        <v>95</v>
      </c>
      <c r="H1905" s="3">
        <v>39.950000000000003</v>
      </c>
      <c r="I1905" s="3">
        <f>ProductLine[[#This Row],[Units]]*ProductLine[[#This Row],[Dollars]]</f>
        <v>3795.2500000000005</v>
      </c>
    </row>
    <row r="1906" spans="1:9" x14ac:dyDescent="0.35">
      <c r="A1906">
        <v>1905</v>
      </c>
      <c r="B1906" t="s">
        <v>11</v>
      </c>
      <c r="C1906" s="2">
        <v>43879</v>
      </c>
      <c r="D1906">
        <f>YEAR(ProductLine[[#This Row],[Date]])</f>
        <v>2020</v>
      </c>
      <c r="E1906">
        <f>MONTH(ProductLine[[#This Row],[Date]])</f>
        <v>2</v>
      </c>
      <c r="F1906" t="s">
        <v>27</v>
      </c>
      <c r="G1906">
        <v>112</v>
      </c>
      <c r="H1906" s="3">
        <v>42.5</v>
      </c>
      <c r="I1906" s="3">
        <f>ProductLine[[#This Row],[Units]]*ProductLine[[#This Row],[Dollars]]</f>
        <v>4760</v>
      </c>
    </row>
    <row r="1907" spans="1:9" x14ac:dyDescent="0.35">
      <c r="A1907">
        <v>1906</v>
      </c>
      <c r="B1907" t="s">
        <v>9</v>
      </c>
      <c r="C1907" s="2">
        <v>43842</v>
      </c>
      <c r="D1907">
        <f>YEAR(ProductLine[[#This Row],[Date]])</f>
        <v>2020</v>
      </c>
      <c r="E1907">
        <f>MONTH(ProductLine[[#This Row],[Date]])</f>
        <v>1</v>
      </c>
      <c r="F1907" t="s">
        <v>25</v>
      </c>
      <c r="G1907">
        <v>115</v>
      </c>
      <c r="H1907" s="3">
        <v>42.5</v>
      </c>
      <c r="I1907" s="3">
        <f>ProductLine[[#This Row],[Units]]*ProductLine[[#This Row],[Dollars]]</f>
        <v>4887.5</v>
      </c>
    </row>
    <row r="1908" spans="1:9" x14ac:dyDescent="0.35">
      <c r="A1908">
        <v>1907</v>
      </c>
      <c r="B1908" t="s">
        <v>9</v>
      </c>
      <c r="C1908" s="2">
        <v>43937</v>
      </c>
      <c r="D1908">
        <f>YEAR(ProductLine[[#This Row],[Date]])</f>
        <v>2020</v>
      </c>
      <c r="E1908">
        <f>MONTH(ProductLine[[#This Row],[Date]])</f>
        <v>4</v>
      </c>
      <c r="F1908" t="s">
        <v>24</v>
      </c>
      <c r="G1908">
        <v>78</v>
      </c>
      <c r="H1908" s="3">
        <v>65.2</v>
      </c>
      <c r="I1908" s="3">
        <f>ProductLine[[#This Row],[Units]]*ProductLine[[#This Row],[Dollars]]</f>
        <v>5085.6000000000004</v>
      </c>
    </row>
    <row r="1909" spans="1:9" x14ac:dyDescent="0.35">
      <c r="A1909">
        <v>1908</v>
      </c>
      <c r="B1909" t="s">
        <v>9</v>
      </c>
      <c r="C1909" s="2">
        <v>44035</v>
      </c>
      <c r="D1909">
        <f>YEAR(ProductLine[[#This Row],[Date]])</f>
        <v>2020</v>
      </c>
      <c r="E1909">
        <f>MONTH(ProductLine[[#This Row],[Date]])</f>
        <v>7</v>
      </c>
      <c r="F1909" t="s">
        <v>26</v>
      </c>
      <c r="G1909">
        <v>72</v>
      </c>
      <c r="H1909" s="3">
        <v>65</v>
      </c>
      <c r="I1909" s="3">
        <f>ProductLine[[#This Row],[Units]]*ProductLine[[#This Row],[Dollars]]</f>
        <v>4680</v>
      </c>
    </row>
    <row r="1910" spans="1:9" x14ac:dyDescent="0.35">
      <c r="A1910">
        <v>1909</v>
      </c>
      <c r="B1910" t="s">
        <v>9</v>
      </c>
      <c r="C1910" s="2">
        <v>44060</v>
      </c>
      <c r="D1910">
        <f>YEAR(ProductLine[[#This Row],[Date]])</f>
        <v>2020</v>
      </c>
      <c r="E1910">
        <f>MONTH(ProductLine[[#This Row],[Date]])</f>
        <v>8</v>
      </c>
      <c r="F1910" t="s">
        <v>23</v>
      </c>
      <c r="G1910">
        <v>46</v>
      </c>
      <c r="H1910" s="3">
        <v>69</v>
      </c>
      <c r="I1910" s="3">
        <f>ProductLine[[#This Row],[Units]]*ProductLine[[#This Row],[Dollars]]</f>
        <v>3174</v>
      </c>
    </row>
    <row r="1911" spans="1:9" x14ac:dyDescent="0.35">
      <c r="A1911">
        <v>1910</v>
      </c>
      <c r="B1911" t="s">
        <v>9</v>
      </c>
      <c r="C1911" s="2">
        <v>43942</v>
      </c>
      <c r="D1911">
        <f>YEAR(ProductLine[[#This Row],[Date]])</f>
        <v>2020</v>
      </c>
      <c r="E1911">
        <f>MONTH(ProductLine[[#This Row],[Date]])</f>
        <v>4</v>
      </c>
      <c r="F1911" t="s">
        <v>27</v>
      </c>
      <c r="G1911">
        <v>62</v>
      </c>
      <c r="H1911" s="3">
        <v>89.45</v>
      </c>
      <c r="I1911" s="3">
        <f>ProductLine[[#This Row],[Units]]*ProductLine[[#This Row],[Dollars]]</f>
        <v>5545.9000000000005</v>
      </c>
    </row>
    <row r="1912" spans="1:9" x14ac:dyDescent="0.35">
      <c r="A1912">
        <v>1911</v>
      </c>
      <c r="B1912" t="s">
        <v>17</v>
      </c>
      <c r="C1912" s="2">
        <v>43936</v>
      </c>
      <c r="D1912">
        <f>YEAR(ProductLine[[#This Row],[Date]])</f>
        <v>2020</v>
      </c>
      <c r="E1912">
        <f>MONTH(ProductLine[[#This Row],[Date]])</f>
        <v>4</v>
      </c>
      <c r="F1912" t="s">
        <v>23</v>
      </c>
      <c r="G1912">
        <v>52</v>
      </c>
      <c r="H1912" s="3">
        <v>67.849999999999994</v>
      </c>
      <c r="I1912" s="3">
        <f>ProductLine[[#This Row],[Units]]*ProductLine[[#This Row],[Dollars]]</f>
        <v>3528.2</v>
      </c>
    </row>
    <row r="1913" spans="1:9" x14ac:dyDescent="0.35">
      <c r="A1913">
        <v>1912</v>
      </c>
      <c r="B1913" t="s">
        <v>17</v>
      </c>
      <c r="C1913" s="2">
        <v>43984</v>
      </c>
      <c r="D1913">
        <f>YEAR(ProductLine[[#This Row],[Date]])</f>
        <v>2020</v>
      </c>
      <c r="E1913">
        <f>MONTH(ProductLine[[#This Row],[Date]])</f>
        <v>6</v>
      </c>
      <c r="F1913" t="s">
        <v>26</v>
      </c>
      <c r="G1913">
        <v>35</v>
      </c>
      <c r="H1913" s="3">
        <v>59.45</v>
      </c>
      <c r="I1913" s="3">
        <f>ProductLine[[#This Row],[Units]]*ProductLine[[#This Row],[Dollars]]</f>
        <v>2080.75</v>
      </c>
    </row>
    <row r="1914" spans="1:9" x14ac:dyDescent="0.35">
      <c r="A1914">
        <v>1913</v>
      </c>
      <c r="B1914" t="s">
        <v>17</v>
      </c>
      <c r="C1914" s="2">
        <v>43939</v>
      </c>
      <c r="D1914">
        <f>YEAR(ProductLine[[#This Row],[Date]])</f>
        <v>2020</v>
      </c>
      <c r="E1914">
        <f>MONTH(ProductLine[[#This Row],[Date]])</f>
        <v>4</v>
      </c>
      <c r="F1914" t="s">
        <v>24</v>
      </c>
      <c r="G1914">
        <v>47</v>
      </c>
      <c r="H1914" s="3">
        <v>65.45</v>
      </c>
      <c r="I1914" s="3">
        <f>ProductLine[[#This Row],[Units]]*ProductLine[[#This Row],[Dollars]]</f>
        <v>3076.15</v>
      </c>
    </row>
    <row r="1915" spans="1:9" x14ac:dyDescent="0.35">
      <c r="A1915">
        <v>1914</v>
      </c>
      <c r="B1915" t="s">
        <v>17</v>
      </c>
      <c r="C1915" s="2">
        <v>43946</v>
      </c>
      <c r="D1915">
        <f>YEAR(ProductLine[[#This Row],[Date]])</f>
        <v>2020</v>
      </c>
      <c r="E1915">
        <f>MONTH(ProductLine[[#This Row],[Date]])</f>
        <v>4</v>
      </c>
      <c r="F1915" t="s">
        <v>27</v>
      </c>
      <c r="G1915">
        <v>52</v>
      </c>
      <c r="H1915" s="3">
        <v>60.25</v>
      </c>
      <c r="I1915" s="3">
        <f>ProductLine[[#This Row],[Units]]*ProductLine[[#This Row],[Dollars]]</f>
        <v>3133</v>
      </c>
    </row>
    <row r="1916" spans="1:9" x14ac:dyDescent="0.35">
      <c r="A1916">
        <v>1915</v>
      </c>
      <c r="B1916" t="s">
        <v>17</v>
      </c>
      <c r="C1916" s="2">
        <v>44093</v>
      </c>
      <c r="D1916">
        <f>YEAR(ProductLine[[#This Row],[Date]])</f>
        <v>2020</v>
      </c>
      <c r="E1916">
        <f>MONTH(ProductLine[[#This Row],[Date]])</f>
        <v>9</v>
      </c>
      <c r="F1916" t="s">
        <v>25</v>
      </c>
      <c r="G1916">
        <v>46</v>
      </c>
      <c r="H1916" s="3">
        <v>59.35</v>
      </c>
      <c r="I1916" s="3">
        <f>ProductLine[[#This Row],[Units]]*ProductLine[[#This Row],[Dollars]]</f>
        <v>2730.1</v>
      </c>
    </row>
    <row r="1917" spans="1:9" x14ac:dyDescent="0.35">
      <c r="A1917">
        <v>1916</v>
      </c>
      <c r="B1917" t="s">
        <v>13</v>
      </c>
      <c r="C1917" s="2">
        <v>43908</v>
      </c>
      <c r="D1917">
        <f>YEAR(ProductLine[[#This Row],[Date]])</f>
        <v>2020</v>
      </c>
      <c r="E1917">
        <f>MONTH(ProductLine[[#This Row],[Date]])</f>
        <v>3</v>
      </c>
      <c r="F1917" t="s">
        <v>27</v>
      </c>
      <c r="G1917">
        <v>39</v>
      </c>
      <c r="H1917" s="3">
        <v>59.95</v>
      </c>
      <c r="I1917" s="3">
        <f>ProductLine[[#This Row],[Units]]*ProductLine[[#This Row],[Dollars]]</f>
        <v>2338.0500000000002</v>
      </c>
    </row>
    <row r="1918" spans="1:9" x14ac:dyDescent="0.35">
      <c r="A1918">
        <v>1917</v>
      </c>
      <c r="B1918" t="s">
        <v>13</v>
      </c>
      <c r="C1918" s="2">
        <v>43971</v>
      </c>
      <c r="D1918">
        <f>YEAR(ProductLine[[#This Row],[Date]])</f>
        <v>2020</v>
      </c>
      <c r="E1918">
        <f>MONTH(ProductLine[[#This Row],[Date]])</f>
        <v>5</v>
      </c>
      <c r="F1918" t="s">
        <v>25</v>
      </c>
      <c r="G1918">
        <v>62</v>
      </c>
      <c r="H1918" s="3">
        <v>45.6</v>
      </c>
      <c r="I1918" s="3">
        <f>ProductLine[[#This Row],[Units]]*ProductLine[[#This Row],[Dollars]]</f>
        <v>2827.2000000000003</v>
      </c>
    </row>
    <row r="1919" spans="1:9" x14ac:dyDescent="0.35">
      <c r="A1919">
        <v>1918</v>
      </c>
      <c r="B1919" t="s">
        <v>13</v>
      </c>
      <c r="C1919" s="2">
        <v>44165</v>
      </c>
      <c r="D1919">
        <f>YEAR(ProductLine[[#This Row],[Date]])</f>
        <v>2020</v>
      </c>
      <c r="E1919">
        <f>MONTH(ProductLine[[#This Row],[Date]])</f>
        <v>11</v>
      </c>
      <c r="F1919" t="s">
        <v>23</v>
      </c>
      <c r="G1919">
        <v>70</v>
      </c>
      <c r="H1919" s="3">
        <v>45.5</v>
      </c>
      <c r="I1919" s="3">
        <f>ProductLine[[#This Row],[Units]]*ProductLine[[#This Row],[Dollars]]</f>
        <v>3185</v>
      </c>
    </row>
    <row r="1920" spans="1:9" x14ac:dyDescent="0.35">
      <c r="A1920">
        <v>1919</v>
      </c>
      <c r="B1920" t="s">
        <v>13</v>
      </c>
      <c r="C1920" s="2">
        <v>44059</v>
      </c>
      <c r="D1920">
        <f>YEAR(ProductLine[[#This Row],[Date]])</f>
        <v>2020</v>
      </c>
      <c r="E1920">
        <f>MONTH(ProductLine[[#This Row],[Date]])</f>
        <v>8</v>
      </c>
      <c r="F1920" t="s">
        <v>24</v>
      </c>
      <c r="G1920">
        <v>56</v>
      </c>
      <c r="H1920" s="3">
        <v>67.25</v>
      </c>
      <c r="I1920" s="3">
        <f>ProductLine[[#This Row],[Units]]*ProductLine[[#This Row],[Dollars]]</f>
        <v>3766</v>
      </c>
    </row>
    <row r="1921" spans="1:9" x14ac:dyDescent="0.35">
      <c r="A1921">
        <v>1920</v>
      </c>
      <c r="B1921" t="s">
        <v>13</v>
      </c>
      <c r="C1921" s="2">
        <v>43968</v>
      </c>
      <c r="D1921">
        <f>YEAR(ProductLine[[#This Row],[Date]])</f>
        <v>2020</v>
      </c>
      <c r="E1921">
        <f>MONTH(ProductLine[[#This Row],[Date]])</f>
        <v>5</v>
      </c>
      <c r="F1921" t="s">
        <v>26</v>
      </c>
      <c r="G1921">
        <v>59</v>
      </c>
      <c r="H1921" s="3">
        <v>55.45</v>
      </c>
      <c r="I1921" s="3">
        <f>ProductLine[[#This Row],[Units]]*ProductLine[[#This Row],[Dollars]]</f>
        <v>3271.55</v>
      </c>
    </row>
    <row r="1922" spans="1:9" x14ac:dyDescent="0.35">
      <c r="A1922">
        <v>1921</v>
      </c>
      <c r="B1922" t="s">
        <v>14</v>
      </c>
      <c r="C1922" s="2">
        <v>44000</v>
      </c>
      <c r="D1922">
        <f>YEAR(ProductLine[[#This Row],[Date]])</f>
        <v>2020</v>
      </c>
      <c r="E1922">
        <f>MONTH(ProductLine[[#This Row],[Date]])</f>
        <v>6</v>
      </c>
      <c r="F1922" t="s">
        <v>27</v>
      </c>
      <c r="G1922">
        <v>42</v>
      </c>
      <c r="H1922" s="3">
        <v>110.59</v>
      </c>
      <c r="I1922" s="3">
        <f>ProductLine[[#This Row],[Units]]*ProductLine[[#This Row],[Dollars]]</f>
        <v>4644.78</v>
      </c>
    </row>
    <row r="1923" spans="1:9" x14ac:dyDescent="0.35">
      <c r="A1923">
        <v>1922</v>
      </c>
      <c r="B1923" t="s">
        <v>14</v>
      </c>
      <c r="C1923" s="2">
        <v>44062</v>
      </c>
      <c r="D1923">
        <f>YEAR(ProductLine[[#This Row],[Date]])</f>
        <v>2020</v>
      </c>
      <c r="E1923">
        <f>MONTH(ProductLine[[#This Row],[Date]])</f>
        <v>8</v>
      </c>
      <c r="F1923" t="s">
        <v>25</v>
      </c>
      <c r="G1923">
        <v>67</v>
      </c>
      <c r="H1923" s="3">
        <v>119.75</v>
      </c>
      <c r="I1923" s="3">
        <f>ProductLine[[#This Row],[Units]]*ProductLine[[#This Row],[Dollars]]</f>
        <v>8023.25</v>
      </c>
    </row>
    <row r="1924" spans="1:9" x14ac:dyDescent="0.35">
      <c r="A1924">
        <v>1923</v>
      </c>
      <c r="B1924" t="s">
        <v>14</v>
      </c>
      <c r="C1924" s="2">
        <v>43910</v>
      </c>
      <c r="D1924">
        <f>YEAR(ProductLine[[#This Row],[Date]])</f>
        <v>2020</v>
      </c>
      <c r="E1924">
        <f>MONTH(ProductLine[[#This Row],[Date]])</f>
        <v>3</v>
      </c>
      <c r="F1924" t="s">
        <v>23</v>
      </c>
      <c r="G1924">
        <v>45</v>
      </c>
      <c r="H1924" s="3">
        <v>79.95</v>
      </c>
      <c r="I1924" s="3">
        <f>ProductLine[[#This Row],[Units]]*ProductLine[[#This Row],[Dollars]]</f>
        <v>3597.75</v>
      </c>
    </row>
    <row r="1925" spans="1:9" x14ac:dyDescent="0.35">
      <c r="A1925">
        <v>1924</v>
      </c>
      <c r="B1925" t="s">
        <v>14</v>
      </c>
      <c r="C1925" s="2">
        <v>44099</v>
      </c>
      <c r="D1925">
        <f>YEAR(ProductLine[[#This Row],[Date]])</f>
        <v>2020</v>
      </c>
      <c r="E1925">
        <f>MONTH(ProductLine[[#This Row],[Date]])</f>
        <v>9</v>
      </c>
      <c r="F1925" t="s">
        <v>24</v>
      </c>
      <c r="G1925">
        <v>80</v>
      </c>
      <c r="H1925" s="3">
        <v>56.98</v>
      </c>
      <c r="I1925" s="3">
        <f>ProductLine[[#This Row],[Units]]*ProductLine[[#This Row],[Dollars]]</f>
        <v>4558.3999999999996</v>
      </c>
    </row>
    <row r="1926" spans="1:9" x14ac:dyDescent="0.35">
      <c r="A1926">
        <v>1925</v>
      </c>
      <c r="B1926" t="s">
        <v>14</v>
      </c>
      <c r="C1926" s="2">
        <v>44161</v>
      </c>
      <c r="D1926">
        <f>YEAR(ProductLine[[#This Row],[Date]])</f>
        <v>2020</v>
      </c>
      <c r="E1926">
        <f>MONTH(ProductLine[[#This Row],[Date]])</f>
        <v>11</v>
      </c>
      <c r="F1926" t="s">
        <v>26</v>
      </c>
      <c r="G1926">
        <v>59</v>
      </c>
      <c r="H1926" s="3">
        <v>76</v>
      </c>
      <c r="I1926" s="3">
        <f>ProductLine[[#This Row],[Units]]*ProductLine[[#This Row],[Dollars]]</f>
        <v>4484</v>
      </c>
    </row>
    <row r="1927" spans="1:9" x14ac:dyDescent="0.35">
      <c r="A1927">
        <v>1926</v>
      </c>
      <c r="B1927" t="s">
        <v>18</v>
      </c>
      <c r="C1927" s="2">
        <v>44113</v>
      </c>
      <c r="D1927">
        <f>YEAR(ProductLine[[#This Row],[Date]])</f>
        <v>2020</v>
      </c>
      <c r="E1927">
        <f>MONTH(ProductLine[[#This Row],[Date]])</f>
        <v>10</v>
      </c>
      <c r="F1927" t="s">
        <v>27</v>
      </c>
      <c r="G1927">
        <v>95</v>
      </c>
      <c r="H1927" s="3">
        <v>45.85</v>
      </c>
      <c r="I1927" s="3">
        <f>ProductLine[[#This Row],[Units]]*ProductLine[[#This Row],[Dollars]]</f>
        <v>4355.75</v>
      </c>
    </row>
    <row r="1928" spans="1:9" x14ac:dyDescent="0.35">
      <c r="A1928">
        <v>1927</v>
      </c>
      <c r="B1928" t="s">
        <v>18</v>
      </c>
      <c r="C1928" s="2">
        <v>44175</v>
      </c>
      <c r="D1928">
        <f>YEAR(ProductLine[[#This Row],[Date]])</f>
        <v>2020</v>
      </c>
      <c r="E1928">
        <f>MONTH(ProductLine[[#This Row],[Date]])</f>
        <v>12</v>
      </c>
      <c r="F1928" t="s">
        <v>25</v>
      </c>
      <c r="G1928">
        <v>120</v>
      </c>
      <c r="H1928" s="3">
        <v>45.98</v>
      </c>
      <c r="I1928" s="3">
        <f>ProductLine[[#This Row],[Units]]*ProductLine[[#This Row],[Dollars]]</f>
        <v>5517.5999999999995</v>
      </c>
    </row>
    <row r="1929" spans="1:9" x14ac:dyDescent="0.35">
      <c r="A1929">
        <v>1928</v>
      </c>
      <c r="B1929" t="s">
        <v>18</v>
      </c>
      <c r="C1929" s="2">
        <v>44156</v>
      </c>
      <c r="D1929">
        <f>YEAR(ProductLine[[#This Row],[Date]])</f>
        <v>2020</v>
      </c>
      <c r="E1929">
        <f>MONTH(ProductLine[[#This Row],[Date]])</f>
        <v>11</v>
      </c>
      <c r="F1929" t="s">
        <v>23</v>
      </c>
      <c r="G1929">
        <v>69</v>
      </c>
      <c r="H1929" s="3">
        <v>62.99</v>
      </c>
      <c r="I1929" s="3">
        <f>ProductLine[[#This Row],[Units]]*ProductLine[[#This Row],[Dollars]]</f>
        <v>4346.3100000000004</v>
      </c>
    </row>
    <row r="1930" spans="1:9" x14ac:dyDescent="0.35">
      <c r="A1930">
        <v>1929</v>
      </c>
      <c r="B1930" t="s">
        <v>18</v>
      </c>
      <c r="C1930" s="2">
        <v>44168</v>
      </c>
      <c r="D1930">
        <f>YEAR(ProductLine[[#This Row],[Date]])</f>
        <v>2020</v>
      </c>
      <c r="E1930">
        <f>MONTH(ProductLine[[#This Row],[Date]])</f>
        <v>12</v>
      </c>
      <c r="F1930" t="s">
        <v>24</v>
      </c>
      <c r="G1930">
        <v>78</v>
      </c>
      <c r="H1930" s="3">
        <v>87.99</v>
      </c>
      <c r="I1930" s="3">
        <f>ProductLine[[#This Row],[Units]]*ProductLine[[#This Row],[Dollars]]</f>
        <v>6863.2199999999993</v>
      </c>
    </row>
    <row r="1931" spans="1:9" x14ac:dyDescent="0.35">
      <c r="A1931">
        <v>1930</v>
      </c>
      <c r="B1931" t="s">
        <v>18</v>
      </c>
      <c r="C1931" s="2">
        <v>43994</v>
      </c>
      <c r="D1931">
        <f>YEAR(ProductLine[[#This Row],[Date]])</f>
        <v>2020</v>
      </c>
      <c r="E1931">
        <f>MONTH(ProductLine[[#This Row],[Date]])</f>
        <v>6</v>
      </c>
      <c r="F1931" t="s">
        <v>26</v>
      </c>
      <c r="G1931">
        <v>34</v>
      </c>
      <c r="H1931" s="3">
        <v>65.989999999999995</v>
      </c>
      <c r="I1931" s="3">
        <f>ProductLine[[#This Row],[Units]]*ProductLine[[#This Row],[Dollars]]</f>
        <v>2243.66</v>
      </c>
    </row>
    <row r="1932" spans="1:9" x14ac:dyDescent="0.35">
      <c r="A1932">
        <v>1931</v>
      </c>
      <c r="B1932" t="s">
        <v>19</v>
      </c>
      <c r="C1932" s="2">
        <v>43874</v>
      </c>
      <c r="D1932">
        <f>YEAR(ProductLine[[#This Row],[Date]])</f>
        <v>2020</v>
      </c>
      <c r="E1932">
        <f>MONTH(ProductLine[[#This Row],[Date]])</f>
        <v>2</v>
      </c>
      <c r="F1932" t="s">
        <v>27</v>
      </c>
      <c r="G1932">
        <v>45</v>
      </c>
      <c r="H1932" s="3">
        <v>89.29</v>
      </c>
      <c r="I1932" s="3">
        <f>ProductLine[[#This Row],[Units]]*ProductLine[[#This Row],[Dollars]]</f>
        <v>4018.05</v>
      </c>
    </row>
    <row r="1933" spans="1:9" x14ac:dyDescent="0.35">
      <c r="A1933">
        <v>1932</v>
      </c>
      <c r="B1933" t="s">
        <v>19</v>
      </c>
      <c r="C1933" s="2">
        <v>43935</v>
      </c>
      <c r="D1933">
        <f>YEAR(ProductLine[[#This Row],[Date]])</f>
        <v>2020</v>
      </c>
      <c r="E1933">
        <f>MONTH(ProductLine[[#This Row],[Date]])</f>
        <v>4</v>
      </c>
      <c r="F1933" t="s">
        <v>25</v>
      </c>
      <c r="G1933">
        <v>60</v>
      </c>
      <c r="H1933" s="3">
        <v>56.25</v>
      </c>
      <c r="I1933" s="3">
        <f>ProductLine[[#This Row],[Units]]*ProductLine[[#This Row],[Dollars]]</f>
        <v>3375</v>
      </c>
    </row>
    <row r="1934" spans="1:9" x14ac:dyDescent="0.35">
      <c r="A1934">
        <v>1933</v>
      </c>
      <c r="B1934" t="s">
        <v>19</v>
      </c>
      <c r="C1934" s="2">
        <v>44060</v>
      </c>
      <c r="D1934">
        <f>YEAR(ProductLine[[#This Row],[Date]])</f>
        <v>2020</v>
      </c>
      <c r="E1934">
        <f>MONTH(ProductLine[[#This Row],[Date]])</f>
        <v>8</v>
      </c>
      <c r="F1934" t="s">
        <v>23</v>
      </c>
      <c r="G1934">
        <v>71</v>
      </c>
      <c r="H1934" s="3">
        <v>45.9</v>
      </c>
      <c r="I1934" s="3">
        <f>ProductLine[[#This Row],[Units]]*ProductLine[[#This Row],[Dollars]]</f>
        <v>3258.9</v>
      </c>
    </row>
    <row r="1935" spans="1:9" x14ac:dyDescent="0.35">
      <c r="A1935">
        <v>1934</v>
      </c>
      <c r="B1935" t="s">
        <v>19</v>
      </c>
      <c r="C1935" s="2">
        <v>44122</v>
      </c>
      <c r="D1935">
        <f>YEAR(ProductLine[[#This Row],[Date]])</f>
        <v>2020</v>
      </c>
      <c r="E1935">
        <f>MONTH(ProductLine[[#This Row],[Date]])</f>
        <v>10</v>
      </c>
      <c r="F1935" t="s">
        <v>24</v>
      </c>
      <c r="G1935">
        <v>60</v>
      </c>
      <c r="H1935" s="3">
        <v>65.45</v>
      </c>
      <c r="I1935" s="3">
        <f>ProductLine[[#This Row],[Units]]*ProductLine[[#This Row],[Dollars]]</f>
        <v>3927</v>
      </c>
    </row>
    <row r="1936" spans="1:9" x14ac:dyDescent="0.35">
      <c r="A1936">
        <v>1935</v>
      </c>
      <c r="B1936" t="s">
        <v>19</v>
      </c>
      <c r="C1936" s="2">
        <v>43849</v>
      </c>
      <c r="D1936">
        <f>YEAR(ProductLine[[#This Row],[Date]])</f>
        <v>2020</v>
      </c>
      <c r="E1936">
        <f>MONTH(ProductLine[[#This Row],[Date]])</f>
        <v>1</v>
      </c>
      <c r="F1936" t="s">
        <v>26</v>
      </c>
      <c r="G1936">
        <v>82</v>
      </c>
      <c r="H1936" s="3">
        <v>116.45</v>
      </c>
      <c r="I1936" s="3">
        <f>ProductLine[[#This Row],[Units]]*ProductLine[[#This Row],[Dollars]]</f>
        <v>9548.9</v>
      </c>
    </row>
    <row r="1937" spans="1:9" x14ac:dyDescent="0.35">
      <c r="A1937">
        <v>1936</v>
      </c>
      <c r="B1937" t="s">
        <v>11</v>
      </c>
      <c r="C1937" s="2">
        <v>43945</v>
      </c>
      <c r="D1937">
        <f>YEAR(ProductLine[[#This Row],[Date]])</f>
        <v>2020</v>
      </c>
      <c r="E1937">
        <f>MONTH(ProductLine[[#This Row],[Date]])</f>
        <v>4</v>
      </c>
      <c r="F1937" t="s">
        <v>27</v>
      </c>
      <c r="G1937">
        <v>69</v>
      </c>
      <c r="H1937" s="3">
        <v>110</v>
      </c>
      <c r="I1937" s="3">
        <f>ProductLine[[#This Row],[Units]]*ProductLine[[#This Row],[Dollars]]</f>
        <v>7590</v>
      </c>
    </row>
    <row r="1938" spans="1:9" x14ac:dyDescent="0.35">
      <c r="A1938">
        <v>1937</v>
      </c>
      <c r="B1938" t="s">
        <v>11</v>
      </c>
      <c r="C1938" s="2">
        <v>44150</v>
      </c>
      <c r="D1938">
        <f>YEAR(ProductLine[[#This Row],[Date]])</f>
        <v>2020</v>
      </c>
      <c r="E1938">
        <f>MONTH(ProductLine[[#This Row],[Date]])</f>
        <v>11</v>
      </c>
      <c r="F1938" t="s">
        <v>24</v>
      </c>
      <c r="G1938">
        <v>60</v>
      </c>
      <c r="H1938" s="3">
        <v>76.849999999999994</v>
      </c>
      <c r="I1938" s="3">
        <f>ProductLine[[#This Row],[Units]]*ProductLine[[#This Row],[Dollars]]</f>
        <v>4611</v>
      </c>
    </row>
    <row r="1939" spans="1:9" x14ac:dyDescent="0.35">
      <c r="A1939">
        <v>1938</v>
      </c>
      <c r="B1939" t="s">
        <v>9</v>
      </c>
      <c r="C1939" s="2">
        <v>44028</v>
      </c>
      <c r="D1939">
        <f>YEAR(ProductLine[[#This Row],[Date]])</f>
        <v>2020</v>
      </c>
      <c r="E1939">
        <f>MONTH(ProductLine[[#This Row],[Date]])</f>
        <v>7</v>
      </c>
      <c r="F1939" t="s">
        <v>23</v>
      </c>
      <c r="G1939">
        <v>56</v>
      </c>
      <c r="H1939" s="3">
        <v>95</v>
      </c>
      <c r="I1939" s="3">
        <f>ProductLine[[#This Row],[Units]]*ProductLine[[#This Row],[Dollars]]</f>
        <v>5320</v>
      </c>
    </row>
    <row r="1940" spans="1:9" x14ac:dyDescent="0.35">
      <c r="A1940">
        <v>1939</v>
      </c>
      <c r="B1940" t="s">
        <v>17</v>
      </c>
      <c r="C1940" s="2">
        <v>43971</v>
      </c>
      <c r="D1940">
        <f>YEAR(ProductLine[[#This Row],[Date]])</f>
        <v>2020</v>
      </c>
      <c r="E1940">
        <f>MONTH(ProductLine[[#This Row],[Date]])</f>
        <v>5</v>
      </c>
      <c r="F1940" t="s">
        <v>25</v>
      </c>
      <c r="G1940">
        <v>72</v>
      </c>
      <c r="H1940" s="3">
        <v>45</v>
      </c>
      <c r="I1940" s="3">
        <f>ProductLine[[#This Row],[Units]]*ProductLine[[#This Row],[Dollars]]</f>
        <v>3240</v>
      </c>
    </row>
    <row r="1941" spans="1:9" x14ac:dyDescent="0.35">
      <c r="A1941">
        <v>1940</v>
      </c>
      <c r="B1941" t="s">
        <v>18</v>
      </c>
      <c r="C1941" s="2">
        <v>44123</v>
      </c>
      <c r="D1941">
        <f>YEAR(ProductLine[[#This Row],[Date]])</f>
        <v>2020</v>
      </c>
      <c r="E1941">
        <f>MONTH(ProductLine[[#This Row],[Date]])</f>
        <v>10</v>
      </c>
      <c r="F1941" t="s">
        <v>26</v>
      </c>
      <c r="G1941">
        <v>70</v>
      </c>
      <c r="H1941" s="3">
        <v>67</v>
      </c>
      <c r="I1941" s="3">
        <f>ProductLine[[#This Row],[Units]]*ProductLine[[#This Row],[Dollars]]</f>
        <v>4690</v>
      </c>
    </row>
    <row r="1942" spans="1:9" x14ac:dyDescent="0.35">
      <c r="A1942">
        <v>1941</v>
      </c>
      <c r="B1942" t="s">
        <v>14</v>
      </c>
      <c r="C1942" s="2">
        <v>44192</v>
      </c>
      <c r="D1942">
        <f>YEAR(ProductLine[[#This Row],[Date]])</f>
        <v>2020</v>
      </c>
      <c r="E1942">
        <f>MONTH(ProductLine[[#This Row],[Date]])</f>
        <v>12</v>
      </c>
      <c r="F1942" t="s">
        <v>24</v>
      </c>
      <c r="G1942">
        <v>28</v>
      </c>
      <c r="H1942" s="3">
        <v>116</v>
      </c>
      <c r="I1942" s="3">
        <f>ProductLine[[#This Row],[Units]]*ProductLine[[#This Row],[Dollars]]</f>
        <v>3248</v>
      </c>
    </row>
    <row r="1943" spans="1:9" x14ac:dyDescent="0.35">
      <c r="A1943">
        <v>1942</v>
      </c>
      <c r="B1943" t="s">
        <v>9</v>
      </c>
      <c r="C1943" s="2">
        <v>44102</v>
      </c>
      <c r="D1943">
        <f>YEAR(ProductLine[[#This Row],[Date]])</f>
        <v>2020</v>
      </c>
      <c r="E1943">
        <f>MONTH(ProductLine[[#This Row],[Date]])</f>
        <v>9</v>
      </c>
      <c r="F1943" t="s">
        <v>27</v>
      </c>
      <c r="G1943">
        <v>52</v>
      </c>
      <c r="H1943" s="3">
        <v>76</v>
      </c>
      <c r="I1943" s="3">
        <f>ProductLine[[#This Row],[Units]]*ProductLine[[#This Row],[Dollars]]</f>
        <v>3952</v>
      </c>
    </row>
    <row r="1944" spans="1:9" x14ac:dyDescent="0.35">
      <c r="A1944">
        <v>1943</v>
      </c>
      <c r="B1944" t="s">
        <v>11</v>
      </c>
      <c r="C1944" s="2">
        <v>43965</v>
      </c>
      <c r="D1944">
        <f>YEAR(ProductLine[[#This Row],[Date]])</f>
        <v>2020</v>
      </c>
      <c r="E1944">
        <f>MONTH(ProductLine[[#This Row],[Date]])</f>
        <v>5</v>
      </c>
      <c r="F1944" t="s">
        <v>27</v>
      </c>
      <c r="G1944">
        <v>45</v>
      </c>
      <c r="H1944" s="3">
        <v>62</v>
      </c>
      <c r="I1944" s="3">
        <f>ProductLine[[#This Row],[Units]]*ProductLine[[#This Row],[Dollars]]</f>
        <v>2790</v>
      </c>
    </row>
    <row r="1945" spans="1:9" x14ac:dyDescent="0.35">
      <c r="A1945">
        <v>1944</v>
      </c>
      <c r="B1945" t="s">
        <v>11</v>
      </c>
      <c r="C1945" s="2">
        <v>43906</v>
      </c>
      <c r="D1945">
        <f>YEAR(ProductLine[[#This Row],[Date]])</f>
        <v>2020</v>
      </c>
      <c r="E1945">
        <f>MONTH(ProductLine[[#This Row],[Date]])</f>
        <v>3</v>
      </c>
      <c r="F1945" t="s">
        <v>25</v>
      </c>
      <c r="G1945">
        <v>52</v>
      </c>
      <c r="H1945" s="3">
        <v>80</v>
      </c>
      <c r="I1945" s="3">
        <f>ProductLine[[#This Row],[Units]]*ProductLine[[#This Row],[Dollars]]</f>
        <v>4160</v>
      </c>
    </row>
    <row r="1946" spans="1:9" x14ac:dyDescent="0.35">
      <c r="A1946">
        <v>1945</v>
      </c>
      <c r="B1946" t="s">
        <v>11</v>
      </c>
      <c r="C1946" s="2">
        <v>44122</v>
      </c>
      <c r="D1946">
        <f>YEAR(ProductLine[[#This Row],[Date]])</f>
        <v>2020</v>
      </c>
      <c r="E1946">
        <f>MONTH(ProductLine[[#This Row],[Date]])</f>
        <v>10</v>
      </c>
      <c r="F1946" t="s">
        <v>23</v>
      </c>
      <c r="G1946">
        <v>48</v>
      </c>
      <c r="H1946" s="3">
        <v>39.950000000000003</v>
      </c>
      <c r="I1946" s="3">
        <f>ProductLine[[#This Row],[Units]]*ProductLine[[#This Row],[Dollars]]</f>
        <v>1917.6000000000001</v>
      </c>
    </row>
    <row r="1947" spans="1:9" x14ac:dyDescent="0.35">
      <c r="A1947">
        <v>1946</v>
      </c>
      <c r="B1947" t="s">
        <v>11</v>
      </c>
      <c r="C1947" s="2">
        <v>44155</v>
      </c>
      <c r="D1947">
        <f>YEAR(ProductLine[[#This Row],[Date]])</f>
        <v>2020</v>
      </c>
      <c r="E1947">
        <f>MONTH(ProductLine[[#This Row],[Date]])</f>
        <v>11</v>
      </c>
      <c r="F1947" t="s">
        <v>24</v>
      </c>
      <c r="G1947">
        <v>59</v>
      </c>
      <c r="H1947" s="3">
        <v>82</v>
      </c>
      <c r="I1947" s="3">
        <f>ProductLine[[#This Row],[Units]]*ProductLine[[#This Row],[Dollars]]</f>
        <v>4838</v>
      </c>
    </row>
    <row r="1948" spans="1:9" x14ac:dyDescent="0.35">
      <c r="A1948">
        <v>1947</v>
      </c>
      <c r="B1948" t="s">
        <v>11</v>
      </c>
      <c r="C1948" s="2">
        <v>44007</v>
      </c>
      <c r="D1948">
        <f>YEAR(ProductLine[[#This Row],[Date]])</f>
        <v>2020</v>
      </c>
      <c r="E1948">
        <f>MONTH(ProductLine[[#This Row],[Date]])</f>
        <v>6</v>
      </c>
      <c r="F1948" t="s">
        <v>26</v>
      </c>
      <c r="G1948">
        <v>50</v>
      </c>
      <c r="H1948" s="3">
        <v>79.849999999999994</v>
      </c>
      <c r="I1948" s="3">
        <f>ProductLine[[#This Row],[Units]]*ProductLine[[#This Row],[Dollars]]</f>
        <v>3992.4999999999995</v>
      </c>
    </row>
    <row r="1949" spans="1:9" x14ac:dyDescent="0.35">
      <c r="A1949">
        <v>1948</v>
      </c>
      <c r="B1949" t="s">
        <v>9</v>
      </c>
      <c r="C1949" s="2">
        <v>43908</v>
      </c>
      <c r="D1949">
        <f>YEAR(ProductLine[[#This Row],[Date]])</f>
        <v>2020</v>
      </c>
      <c r="E1949">
        <f>MONTH(ProductLine[[#This Row],[Date]])</f>
        <v>3</v>
      </c>
      <c r="F1949" t="s">
        <v>27</v>
      </c>
      <c r="G1949">
        <v>29</v>
      </c>
      <c r="H1949" s="3">
        <v>62.75</v>
      </c>
      <c r="I1949" s="3">
        <f>ProductLine[[#This Row],[Units]]*ProductLine[[#This Row],[Dollars]]</f>
        <v>1819.75</v>
      </c>
    </row>
    <row r="1950" spans="1:9" x14ac:dyDescent="0.35">
      <c r="A1950">
        <v>1949</v>
      </c>
      <c r="B1950" t="s">
        <v>9</v>
      </c>
      <c r="C1950" s="2">
        <v>43938</v>
      </c>
      <c r="D1950">
        <f>YEAR(ProductLine[[#This Row],[Date]])</f>
        <v>2020</v>
      </c>
      <c r="E1950">
        <f>MONTH(ProductLine[[#This Row],[Date]])</f>
        <v>4</v>
      </c>
      <c r="F1950" t="s">
        <v>25</v>
      </c>
      <c r="G1950">
        <v>45</v>
      </c>
      <c r="H1950" s="3">
        <v>60</v>
      </c>
      <c r="I1950" s="3">
        <f>ProductLine[[#This Row],[Units]]*ProductLine[[#This Row],[Dollars]]</f>
        <v>2700</v>
      </c>
    </row>
    <row r="1951" spans="1:9" x14ac:dyDescent="0.35">
      <c r="A1951">
        <v>1950</v>
      </c>
      <c r="B1951" t="s">
        <v>9</v>
      </c>
      <c r="C1951" s="2">
        <v>44072</v>
      </c>
      <c r="D1951">
        <f>YEAR(ProductLine[[#This Row],[Date]])</f>
        <v>2020</v>
      </c>
      <c r="E1951">
        <f>MONTH(ProductLine[[#This Row],[Date]])</f>
        <v>8</v>
      </c>
      <c r="F1951" t="s">
        <v>23</v>
      </c>
      <c r="G1951">
        <v>53</v>
      </c>
      <c r="H1951" s="3">
        <v>85.45</v>
      </c>
      <c r="I1951" s="3">
        <f>ProductLine[[#This Row],[Units]]*ProductLine[[#This Row],[Dollars]]</f>
        <v>4528.8500000000004</v>
      </c>
    </row>
    <row r="1952" spans="1:9" x14ac:dyDescent="0.35">
      <c r="A1952">
        <v>1951</v>
      </c>
      <c r="B1952" t="s">
        <v>9</v>
      </c>
      <c r="C1952" s="2">
        <v>44118</v>
      </c>
      <c r="D1952">
        <f>YEAR(ProductLine[[#This Row],[Date]])</f>
        <v>2020</v>
      </c>
      <c r="E1952">
        <f>MONTH(ProductLine[[#This Row],[Date]])</f>
        <v>10</v>
      </c>
      <c r="F1952" t="s">
        <v>24</v>
      </c>
      <c r="G1952">
        <v>45</v>
      </c>
      <c r="H1952" s="3">
        <v>85.95</v>
      </c>
      <c r="I1952" s="3">
        <f>ProductLine[[#This Row],[Units]]*ProductLine[[#This Row],[Dollars]]</f>
        <v>3867.75</v>
      </c>
    </row>
    <row r="1953" spans="1:9" x14ac:dyDescent="0.35">
      <c r="A1953">
        <v>1952</v>
      </c>
      <c r="B1953" t="s">
        <v>9</v>
      </c>
      <c r="C1953" s="2">
        <v>43859</v>
      </c>
      <c r="D1953">
        <f>YEAR(ProductLine[[#This Row],[Date]])</f>
        <v>2020</v>
      </c>
      <c r="E1953">
        <f>MONTH(ProductLine[[#This Row],[Date]])</f>
        <v>1</v>
      </c>
      <c r="F1953" t="s">
        <v>26</v>
      </c>
      <c r="G1953">
        <v>50</v>
      </c>
      <c r="H1953" s="3">
        <v>45.95</v>
      </c>
      <c r="I1953" s="3">
        <f>ProductLine[[#This Row],[Units]]*ProductLine[[#This Row],[Dollars]]</f>
        <v>2297.5</v>
      </c>
    </row>
    <row r="1954" spans="1:9" x14ac:dyDescent="0.35">
      <c r="A1954">
        <v>1953</v>
      </c>
      <c r="B1954" t="s">
        <v>17</v>
      </c>
      <c r="C1954" s="2">
        <v>44029</v>
      </c>
      <c r="D1954">
        <f>YEAR(ProductLine[[#This Row],[Date]])</f>
        <v>2020</v>
      </c>
      <c r="E1954">
        <f>MONTH(ProductLine[[#This Row],[Date]])</f>
        <v>7</v>
      </c>
      <c r="F1954" t="s">
        <v>27</v>
      </c>
      <c r="G1954">
        <v>62</v>
      </c>
      <c r="H1954" s="3">
        <v>76.989999999999995</v>
      </c>
      <c r="I1954" s="3">
        <f>ProductLine[[#This Row],[Units]]*ProductLine[[#This Row],[Dollars]]</f>
        <v>4773.38</v>
      </c>
    </row>
    <row r="1955" spans="1:9" x14ac:dyDescent="0.35">
      <c r="A1955">
        <v>1954</v>
      </c>
      <c r="B1955" t="s">
        <v>17</v>
      </c>
      <c r="C1955" s="2">
        <v>44066</v>
      </c>
      <c r="D1955">
        <f>YEAR(ProductLine[[#This Row],[Date]])</f>
        <v>2020</v>
      </c>
      <c r="E1955">
        <f>MONTH(ProductLine[[#This Row],[Date]])</f>
        <v>8</v>
      </c>
      <c r="F1955" t="s">
        <v>25</v>
      </c>
      <c r="G1955">
        <v>52</v>
      </c>
      <c r="H1955" s="3">
        <v>48.99</v>
      </c>
      <c r="I1955" s="3">
        <f>ProductLine[[#This Row],[Units]]*ProductLine[[#This Row],[Dollars]]</f>
        <v>2547.48</v>
      </c>
    </row>
    <row r="1956" spans="1:9" x14ac:dyDescent="0.35">
      <c r="A1956">
        <v>1955</v>
      </c>
      <c r="B1956" t="s">
        <v>17</v>
      </c>
      <c r="C1956" s="2">
        <v>44029</v>
      </c>
      <c r="D1956">
        <f>YEAR(ProductLine[[#This Row],[Date]])</f>
        <v>2020</v>
      </c>
      <c r="E1956">
        <f>MONTH(ProductLine[[#This Row],[Date]])</f>
        <v>7</v>
      </c>
      <c r="F1956" t="s">
        <v>23</v>
      </c>
      <c r="G1956">
        <v>25</v>
      </c>
      <c r="H1956" s="3">
        <v>39.5</v>
      </c>
      <c r="I1956" s="3">
        <f>ProductLine[[#This Row],[Units]]*ProductLine[[#This Row],[Dollars]]</f>
        <v>987.5</v>
      </c>
    </row>
    <row r="1957" spans="1:9" x14ac:dyDescent="0.35">
      <c r="A1957">
        <v>1956</v>
      </c>
      <c r="B1957" t="s">
        <v>17</v>
      </c>
      <c r="C1957" s="2">
        <v>43892</v>
      </c>
      <c r="D1957">
        <f>YEAR(ProductLine[[#This Row],[Date]])</f>
        <v>2020</v>
      </c>
      <c r="E1957">
        <f>MONTH(ProductLine[[#This Row],[Date]])</f>
        <v>3</v>
      </c>
      <c r="F1957" t="s">
        <v>24</v>
      </c>
      <c r="G1957">
        <v>37</v>
      </c>
      <c r="H1957" s="3">
        <v>65</v>
      </c>
      <c r="I1957" s="3">
        <f>ProductLine[[#This Row],[Units]]*ProductLine[[#This Row],[Dollars]]</f>
        <v>2405</v>
      </c>
    </row>
    <row r="1958" spans="1:9" x14ac:dyDescent="0.35">
      <c r="A1958">
        <v>1957</v>
      </c>
      <c r="B1958" t="s">
        <v>17</v>
      </c>
      <c r="C1958" s="2">
        <v>43987</v>
      </c>
      <c r="D1958">
        <f>YEAR(ProductLine[[#This Row],[Date]])</f>
        <v>2020</v>
      </c>
      <c r="E1958">
        <f>MONTH(ProductLine[[#This Row],[Date]])</f>
        <v>6</v>
      </c>
      <c r="F1958" t="s">
        <v>26</v>
      </c>
      <c r="G1958">
        <v>52</v>
      </c>
      <c r="H1958" s="3">
        <v>80</v>
      </c>
      <c r="I1958" s="3">
        <f>ProductLine[[#This Row],[Units]]*ProductLine[[#This Row],[Dollars]]</f>
        <v>4160</v>
      </c>
    </row>
    <row r="1959" spans="1:9" x14ac:dyDescent="0.35">
      <c r="A1959">
        <v>1958</v>
      </c>
      <c r="B1959" t="s">
        <v>13</v>
      </c>
      <c r="C1959" s="2">
        <v>43905</v>
      </c>
      <c r="D1959">
        <f>YEAR(ProductLine[[#This Row],[Date]])</f>
        <v>2020</v>
      </c>
      <c r="E1959">
        <f>MONTH(ProductLine[[#This Row],[Date]])</f>
        <v>3</v>
      </c>
      <c r="F1959" t="s">
        <v>27</v>
      </c>
      <c r="G1959">
        <v>65</v>
      </c>
      <c r="H1959" s="3">
        <v>89.99</v>
      </c>
      <c r="I1959" s="3">
        <f>ProductLine[[#This Row],[Units]]*ProductLine[[#This Row],[Dollars]]</f>
        <v>5849.3499999999995</v>
      </c>
    </row>
    <row r="1960" spans="1:9" x14ac:dyDescent="0.35">
      <c r="A1960">
        <v>1959</v>
      </c>
      <c r="B1960" t="s">
        <v>13</v>
      </c>
      <c r="C1960" s="2">
        <v>43911</v>
      </c>
      <c r="D1960">
        <f>YEAR(ProductLine[[#This Row],[Date]])</f>
        <v>2020</v>
      </c>
      <c r="E1960">
        <f>MONTH(ProductLine[[#This Row],[Date]])</f>
        <v>3</v>
      </c>
      <c r="F1960" t="s">
        <v>25</v>
      </c>
      <c r="G1960">
        <v>49</v>
      </c>
      <c r="H1960" s="3">
        <v>59.99</v>
      </c>
      <c r="I1960" s="3">
        <f>ProductLine[[#This Row],[Units]]*ProductLine[[#This Row],[Dollars]]</f>
        <v>2939.51</v>
      </c>
    </row>
    <row r="1961" spans="1:9" x14ac:dyDescent="0.35">
      <c r="A1961">
        <v>1960</v>
      </c>
      <c r="B1961" t="s">
        <v>13</v>
      </c>
      <c r="C1961" s="2">
        <v>44121</v>
      </c>
      <c r="D1961">
        <f>YEAR(ProductLine[[#This Row],[Date]])</f>
        <v>2020</v>
      </c>
      <c r="E1961">
        <f>MONTH(ProductLine[[#This Row],[Date]])</f>
        <v>10</v>
      </c>
      <c r="F1961" t="s">
        <v>23</v>
      </c>
      <c r="G1961">
        <v>65</v>
      </c>
      <c r="H1961" s="3">
        <v>29.95</v>
      </c>
      <c r="I1961" s="3">
        <f>ProductLine[[#This Row],[Units]]*ProductLine[[#This Row],[Dollars]]</f>
        <v>1946.75</v>
      </c>
    </row>
    <row r="1962" spans="1:9" x14ac:dyDescent="0.35">
      <c r="A1962">
        <v>1961</v>
      </c>
      <c r="B1962" t="s">
        <v>13</v>
      </c>
      <c r="C1962" s="2">
        <v>44103</v>
      </c>
      <c r="D1962">
        <f>YEAR(ProductLine[[#This Row],[Date]])</f>
        <v>2020</v>
      </c>
      <c r="E1962">
        <f>MONTH(ProductLine[[#This Row],[Date]])</f>
        <v>9</v>
      </c>
      <c r="F1962" t="s">
        <v>24</v>
      </c>
      <c r="G1962">
        <v>38</v>
      </c>
      <c r="H1962" s="3">
        <v>59.99</v>
      </c>
      <c r="I1962" s="3">
        <f>ProductLine[[#This Row],[Units]]*ProductLine[[#This Row],[Dollars]]</f>
        <v>2279.62</v>
      </c>
    </row>
    <row r="1963" spans="1:9" x14ac:dyDescent="0.35">
      <c r="A1963">
        <v>1962</v>
      </c>
      <c r="B1963" t="s">
        <v>13</v>
      </c>
      <c r="C1963" s="2">
        <v>44129</v>
      </c>
      <c r="D1963">
        <f>YEAR(ProductLine[[#This Row],[Date]])</f>
        <v>2020</v>
      </c>
      <c r="E1963">
        <f>MONTH(ProductLine[[#This Row],[Date]])</f>
        <v>10</v>
      </c>
      <c r="F1963" t="s">
        <v>26</v>
      </c>
      <c r="G1963">
        <v>47</v>
      </c>
      <c r="H1963" s="3">
        <v>55.95</v>
      </c>
      <c r="I1963" s="3">
        <f>ProductLine[[#This Row],[Units]]*ProductLine[[#This Row],[Dollars]]</f>
        <v>2629.65</v>
      </c>
    </row>
    <row r="1964" spans="1:9" x14ac:dyDescent="0.35">
      <c r="A1964">
        <v>1963</v>
      </c>
      <c r="B1964" t="s">
        <v>14</v>
      </c>
      <c r="C1964" s="2">
        <v>43849</v>
      </c>
      <c r="D1964">
        <f>YEAR(ProductLine[[#This Row],[Date]])</f>
        <v>2020</v>
      </c>
      <c r="E1964">
        <f>MONTH(ProductLine[[#This Row],[Date]])</f>
        <v>1</v>
      </c>
      <c r="F1964" t="s">
        <v>27</v>
      </c>
      <c r="G1964">
        <v>36</v>
      </c>
      <c r="H1964" s="3">
        <v>86.95</v>
      </c>
      <c r="I1964" s="3">
        <f>ProductLine[[#This Row],[Units]]*ProductLine[[#This Row],[Dollars]]</f>
        <v>3130.2000000000003</v>
      </c>
    </row>
    <row r="1965" spans="1:9" x14ac:dyDescent="0.35">
      <c r="A1965">
        <v>1964</v>
      </c>
      <c r="B1965" t="s">
        <v>14</v>
      </c>
      <c r="C1965" s="2">
        <v>44005</v>
      </c>
      <c r="D1965">
        <f>YEAR(ProductLine[[#This Row],[Date]])</f>
        <v>2020</v>
      </c>
      <c r="E1965">
        <f>MONTH(ProductLine[[#This Row],[Date]])</f>
        <v>6</v>
      </c>
      <c r="F1965" t="s">
        <v>25</v>
      </c>
      <c r="G1965">
        <v>45</v>
      </c>
      <c r="H1965" s="3">
        <v>126.5</v>
      </c>
      <c r="I1965" s="3">
        <f>ProductLine[[#This Row],[Units]]*ProductLine[[#This Row],[Dollars]]</f>
        <v>5692.5</v>
      </c>
    </row>
    <row r="1966" spans="1:9" x14ac:dyDescent="0.35">
      <c r="A1966">
        <v>1965</v>
      </c>
      <c r="B1966" t="s">
        <v>14</v>
      </c>
      <c r="C1966" s="2">
        <v>44036</v>
      </c>
      <c r="D1966">
        <f>YEAR(ProductLine[[#This Row],[Date]])</f>
        <v>2020</v>
      </c>
      <c r="E1966">
        <f>MONTH(ProductLine[[#This Row],[Date]])</f>
        <v>7</v>
      </c>
      <c r="F1966" t="s">
        <v>23</v>
      </c>
      <c r="G1966">
        <v>56</v>
      </c>
      <c r="H1966" s="3">
        <v>78</v>
      </c>
      <c r="I1966" s="3">
        <f>ProductLine[[#This Row],[Units]]*ProductLine[[#This Row],[Dollars]]</f>
        <v>4368</v>
      </c>
    </row>
    <row r="1967" spans="1:9" x14ac:dyDescent="0.35">
      <c r="A1967">
        <v>1966</v>
      </c>
      <c r="B1967" t="s">
        <v>14</v>
      </c>
      <c r="C1967" s="2">
        <v>44029</v>
      </c>
      <c r="D1967">
        <f>YEAR(ProductLine[[#This Row],[Date]])</f>
        <v>2020</v>
      </c>
      <c r="E1967">
        <f>MONTH(ProductLine[[#This Row],[Date]])</f>
        <v>7</v>
      </c>
      <c r="F1967" t="s">
        <v>24</v>
      </c>
      <c r="G1967">
        <v>60</v>
      </c>
      <c r="H1967" s="3">
        <v>56.5</v>
      </c>
      <c r="I1967" s="3">
        <f>ProductLine[[#This Row],[Units]]*ProductLine[[#This Row],[Dollars]]</f>
        <v>3390</v>
      </c>
    </row>
    <row r="1968" spans="1:9" x14ac:dyDescent="0.35">
      <c r="A1968">
        <v>1967</v>
      </c>
      <c r="B1968" t="s">
        <v>14</v>
      </c>
      <c r="C1968" s="2">
        <v>43918</v>
      </c>
      <c r="D1968">
        <f>YEAR(ProductLine[[#This Row],[Date]])</f>
        <v>2020</v>
      </c>
      <c r="E1968">
        <f>MONTH(ProductLine[[#This Row],[Date]])</f>
        <v>3</v>
      </c>
      <c r="F1968" t="s">
        <v>26</v>
      </c>
      <c r="G1968">
        <v>65</v>
      </c>
      <c r="H1968" s="3">
        <v>39.950000000000003</v>
      </c>
      <c r="I1968" s="3">
        <f>ProductLine[[#This Row],[Units]]*ProductLine[[#This Row],[Dollars]]</f>
        <v>2596.75</v>
      </c>
    </row>
    <row r="1969" spans="1:9" x14ac:dyDescent="0.35">
      <c r="A1969">
        <v>1968</v>
      </c>
      <c r="B1969" t="s">
        <v>18</v>
      </c>
      <c r="C1969" s="2">
        <v>44073</v>
      </c>
      <c r="D1969">
        <f>YEAR(ProductLine[[#This Row],[Date]])</f>
        <v>2020</v>
      </c>
      <c r="E1969">
        <f>MONTH(ProductLine[[#This Row],[Date]])</f>
        <v>8</v>
      </c>
      <c r="F1969" t="s">
        <v>27</v>
      </c>
      <c r="G1969">
        <v>46</v>
      </c>
      <c r="H1969" s="3">
        <v>89</v>
      </c>
      <c r="I1969" s="3">
        <f>ProductLine[[#This Row],[Units]]*ProductLine[[#This Row],[Dollars]]</f>
        <v>4094</v>
      </c>
    </row>
    <row r="1970" spans="1:9" x14ac:dyDescent="0.35">
      <c r="A1970">
        <v>1969</v>
      </c>
      <c r="B1970" t="s">
        <v>18</v>
      </c>
      <c r="C1970" s="2">
        <v>44032</v>
      </c>
      <c r="D1970">
        <f>YEAR(ProductLine[[#This Row],[Date]])</f>
        <v>2020</v>
      </c>
      <c r="E1970">
        <f>MONTH(ProductLine[[#This Row],[Date]])</f>
        <v>7</v>
      </c>
      <c r="F1970" t="s">
        <v>25</v>
      </c>
      <c r="G1970">
        <v>72</v>
      </c>
      <c r="H1970" s="3">
        <v>59.95</v>
      </c>
      <c r="I1970" s="3">
        <f>ProductLine[[#This Row],[Units]]*ProductLine[[#This Row],[Dollars]]</f>
        <v>4316.4000000000005</v>
      </c>
    </row>
    <row r="1971" spans="1:9" x14ac:dyDescent="0.35">
      <c r="A1971">
        <v>1970</v>
      </c>
      <c r="B1971" t="s">
        <v>18</v>
      </c>
      <c r="C1971" s="2">
        <v>43886</v>
      </c>
      <c r="D1971">
        <f>YEAR(ProductLine[[#This Row],[Date]])</f>
        <v>2020</v>
      </c>
      <c r="E1971">
        <f>MONTH(ProductLine[[#This Row],[Date]])</f>
        <v>2</v>
      </c>
      <c r="F1971" t="s">
        <v>23</v>
      </c>
      <c r="G1971">
        <v>65</v>
      </c>
      <c r="H1971" s="3">
        <v>76</v>
      </c>
      <c r="I1971" s="3">
        <f>ProductLine[[#This Row],[Units]]*ProductLine[[#This Row],[Dollars]]</f>
        <v>4940</v>
      </c>
    </row>
    <row r="1972" spans="1:9" x14ac:dyDescent="0.35">
      <c r="A1972">
        <v>1971</v>
      </c>
      <c r="B1972" t="s">
        <v>18</v>
      </c>
      <c r="C1972" s="2">
        <v>43913</v>
      </c>
      <c r="D1972">
        <f>YEAR(ProductLine[[#This Row],[Date]])</f>
        <v>2020</v>
      </c>
      <c r="E1972">
        <f>MONTH(ProductLine[[#This Row],[Date]])</f>
        <v>3</v>
      </c>
      <c r="F1972" t="s">
        <v>24</v>
      </c>
      <c r="G1972">
        <v>36</v>
      </c>
      <c r="H1972" s="3">
        <v>74.989999999999995</v>
      </c>
      <c r="I1972" s="3">
        <f>ProductLine[[#This Row],[Units]]*ProductLine[[#This Row],[Dollars]]</f>
        <v>2699.64</v>
      </c>
    </row>
    <row r="1973" spans="1:9" x14ac:dyDescent="0.35">
      <c r="A1973">
        <v>1972</v>
      </c>
      <c r="B1973" t="s">
        <v>18</v>
      </c>
      <c r="C1973" s="2">
        <v>43965</v>
      </c>
      <c r="D1973">
        <f>YEAR(ProductLine[[#This Row],[Date]])</f>
        <v>2020</v>
      </c>
      <c r="E1973">
        <f>MONTH(ProductLine[[#This Row],[Date]])</f>
        <v>5</v>
      </c>
      <c r="F1973" t="s">
        <v>26</v>
      </c>
      <c r="G1973">
        <v>46</v>
      </c>
      <c r="H1973" s="3">
        <v>46.55</v>
      </c>
      <c r="I1973" s="3">
        <f>ProductLine[[#This Row],[Units]]*ProductLine[[#This Row],[Dollars]]</f>
        <v>2141.2999999999997</v>
      </c>
    </row>
    <row r="1974" spans="1:9" x14ac:dyDescent="0.35">
      <c r="A1974">
        <v>1973</v>
      </c>
      <c r="B1974" t="s">
        <v>19</v>
      </c>
      <c r="C1974" s="2">
        <v>43851</v>
      </c>
      <c r="D1974">
        <f>YEAR(ProductLine[[#This Row],[Date]])</f>
        <v>2020</v>
      </c>
      <c r="E1974">
        <f>MONTH(ProductLine[[#This Row],[Date]])</f>
        <v>1</v>
      </c>
      <c r="F1974" t="s">
        <v>27</v>
      </c>
      <c r="G1974">
        <v>47</v>
      </c>
      <c r="H1974" s="3">
        <v>85</v>
      </c>
      <c r="I1974" s="3">
        <f>ProductLine[[#This Row],[Units]]*ProductLine[[#This Row],[Dollars]]</f>
        <v>3995</v>
      </c>
    </row>
    <row r="1975" spans="1:9" x14ac:dyDescent="0.35">
      <c r="A1975">
        <v>1974</v>
      </c>
      <c r="B1975" t="s">
        <v>19</v>
      </c>
      <c r="C1975" s="2">
        <v>44067</v>
      </c>
      <c r="D1975">
        <f>YEAR(ProductLine[[#This Row],[Date]])</f>
        <v>2020</v>
      </c>
      <c r="E1975">
        <f>MONTH(ProductLine[[#This Row],[Date]])</f>
        <v>8</v>
      </c>
      <c r="F1975" t="s">
        <v>25</v>
      </c>
      <c r="G1975">
        <v>38</v>
      </c>
      <c r="H1975" s="3">
        <v>39</v>
      </c>
      <c r="I1975" s="3">
        <f>ProductLine[[#This Row],[Units]]*ProductLine[[#This Row],[Dollars]]</f>
        <v>1482</v>
      </c>
    </row>
    <row r="1976" spans="1:9" x14ac:dyDescent="0.35">
      <c r="A1976">
        <v>1975</v>
      </c>
      <c r="B1976" t="s">
        <v>19</v>
      </c>
      <c r="C1976" s="2">
        <v>44070</v>
      </c>
      <c r="D1976">
        <f>YEAR(ProductLine[[#This Row],[Date]])</f>
        <v>2020</v>
      </c>
      <c r="E1976">
        <f>MONTH(ProductLine[[#This Row],[Date]])</f>
        <v>8</v>
      </c>
      <c r="F1976" t="s">
        <v>23</v>
      </c>
      <c r="G1976">
        <v>29</v>
      </c>
      <c r="H1976" s="3">
        <v>49.55</v>
      </c>
      <c r="I1976" s="3">
        <f>ProductLine[[#This Row],[Units]]*ProductLine[[#This Row],[Dollars]]</f>
        <v>1436.9499999999998</v>
      </c>
    </row>
    <row r="1977" spans="1:9" x14ac:dyDescent="0.35">
      <c r="A1977">
        <v>1976</v>
      </c>
      <c r="B1977" t="s">
        <v>19</v>
      </c>
      <c r="C1977" s="2">
        <v>43964</v>
      </c>
      <c r="D1977">
        <f>YEAR(ProductLine[[#This Row],[Date]])</f>
        <v>2020</v>
      </c>
      <c r="E1977">
        <f>MONTH(ProductLine[[#This Row],[Date]])</f>
        <v>5</v>
      </c>
      <c r="F1977" t="s">
        <v>24</v>
      </c>
      <c r="G1977">
        <v>45</v>
      </c>
      <c r="H1977" s="3">
        <v>68.95</v>
      </c>
      <c r="I1977" s="3">
        <f>ProductLine[[#This Row],[Units]]*ProductLine[[#This Row],[Dollars]]</f>
        <v>3102.75</v>
      </c>
    </row>
    <row r="1978" spans="1:9" x14ac:dyDescent="0.35">
      <c r="A1978">
        <v>1977</v>
      </c>
      <c r="B1978" t="s">
        <v>19</v>
      </c>
      <c r="C1978" s="2">
        <v>43938</v>
      </c>
      <c r="D1978">
        <f>YEAR(ProductLine[[#This Row],[Date]])</f>
        <v>2020</v>
      </c>
      <c r="E1978">
        <f>MONTH(ProductLine[[#This Row],[Date]])</f>
        <v>4</v>
      </c>
      <c r="F1978" t="s">
        <v>26</v>
      </c>
      <c r="G1978">
        <v>76</v>
      </c>
      <c r="H1978" s="3">
        <v>59</v>
      </c>
      <c r="I1978" s="3">
        <f>ProductLine[[#This Row],[Units]]*ProductLine[[#This Row],[Dollars]]</f>
        <v>4484</v>
      </c>
    </row>
    <row r="1979" spans="1:9" x14ac:dyDescent="0.35">
      <c r="A1979">
        <v>1978</v>
      </c>
      <c r="B1979" t="s">
        <v>11</v>
      </c>
      <c r="C1979" s="2">
        <v>43859</v>
      </c>
      <c r="D1979">
        <f>YEAR(ProductLine[[#This Row],[Date]])</f>
        <v>2020</v>
      </c>
      <c r="E1979">
        <f>MONTH(ProductLine[[#This Row],[Date]])</f>
        <v>1</v>
      </c>
      <c r="F1979" t="s">
        <v>25</v>
      </c>
      <c r="G1979">
        <v>60</v>
      </c>
      <c r="H1979" s="3">
        <v>74</v>
      </c>
      <c r="I1979" s="3">
        <f>ProductLine[[#This Row],[Units]]*ProductLine[[#This Row],[Dollars]]</f>
        <v>4440</v>
      </c>
    </row>
    <row r="1980" spans="1:9" x14ac:dyDescent="0.35">
      <c r="A1980">
        <v>1979</v>
      </c>
      <c r="B1980" t="s">
        <v>11</v>
      </c>
      <c r="C1980" s="2">
        <v>44066</v>
      </c>
      <c r="D1980">
        <f>YEAR(ProductLine[[#This Row],[Date]])</f>
        <v>2020</v>
      </c>
      <c r="E1980">
        <f>MONTH(ProductLine[[#This Row],[Date]])</f>
        <v>8</v>
      </c>
      <c r="F1980" t="s">
        <v>23</v>
      </c>
      <c r="G1980">
        <v>45</v>
      </c>
      <c r="H1980" s="3">
        <v>79.989999999999995</v>
      </c>
      <c r="I1980" s="3">
        <f>ProductLine[[#This Row],[Units]]*ProductLine[[#This Row],[Dollars]]</f>
        <v>3599.5499999999997</v>
      </c>
    </row>
    <row r="1981" spans="1:9" x14ac:dyDescent="0.35">
      <c r="A1981">
        <v>1980</v>
      </c>
      <c r="B1981" t="s">
        <v>9</v>
      </c>
      <c r="C1981" s="2">
        <v>43968</v>
      </c>
      <c r="D1981">
        <f>YEAR(ProductLine[[#This Row],[Date]])</f>
        <v>2020</v>
      </c>
      <c r="E1981">
        <f>MONTH(ProductLine[[#This Row],[Date]])</f>
        <v>5</v>
      </c>
      <c r="F1981" t="s">
        <v>24</v>
      </c>
      <c r="G1981">
        <v>54</v>
      </c>
      <c r="H1981" s="3">
        <v>67</v>
      </c>
      <c r="I1981" s="3">
        <f>ProductLine[[#This Row],[Units]]*ProductLine[[#This Row],[Dollars]]</f>
        <v>3618</v>
      </c>
    </row>
    <row r="1982" spans="1:9" x14ac:dyDescent="0.35">
      <c r="A1982">
        <v>1981</v>
      </c>
      <c r="B1982" t="s">
        <v>17</v>
      </c>
      <c r="C1982" s="2">
        <v>43910</v>
      </c>
      <c r="D1982">
        <f>YEAR(ProductLine[[#This Row],[Date]])</f>
        <v>2020</v>
      </c>
      <c r="E1982">
        <f>MONTH(ProductLine[[#This Row],[Date]])</f>
        <v>3</v>
      </c>
      <c r="F1982" t="s">
        <v>26</v>
      </c>
      <c r="G1982">
        <v>48</v>
      </c>
      <c r="H1982" s="3">
        <v>57</v>
      </c>
      <c r="I1982" s="3">
        <f>ProductLine[[#This Row],[Units]]*ProductLine[[#This Row],[Dollars]]</f>
        <v>2736</v>
      </c>
    </row>
    <row r="1983" spans="1:9" x14ac:dyDescent="0.35">
      <c r="A1983">
        <v>1982</v>
      </c>
      <c r="B1983" t="s">
        <v>18</v>
      </c>
      <c r="C1983" s="2">
        <v>43942</v>
      </c>
      <c r="D1983">
        <f>YEAR(ProductLine[[#This Row],[Date]])</f>
        <v>2020</v>
      </c>
      <c r="E1983">
        <f>MONTH(ProductLine[[#This Row],[Date]])</f>
        <v>4</v>
      </c>
      <c r="F1983" t="s">
        <v>27</v>
      </c>
      <c r="G1983">
        <v>62</v>
      </c>
      <c r="H1983" s="3">
        <v>76</v>
      </c>
      <c r="I1983" s="3">
        <f>ProductLine[[#This Row],[Units]]*ProductLine[[#This Row],[Dollars]]</f>
        <v>4712</v>
      </c>
    </row>
    <row r="1984" spans="1:9" x14ac:dyDescent="0.35">
      <c r="A1984">
        <v>1983</v>
      </c>
      <c r="B1984" t="s">
        <v>13</v>
      </c>
      <c r="C1984" s="2">
        <v>44012</v>
      </c>
      <c r="D1984">
        <f>YEAR(ProductLine[[#This Row],[Date]])</f>
        <v>2020</v>
      </c>
      <c r="E1984">
        <f>MONTH(ProductLine[[#This Row],[Date]])</f>
        <v>6</v>
      </c>
      <c r="F1984" t="s">
        <v>26</v>
      </c>
      <c r="G1984">
        <v>84</v>
      </c>
      <c r="H1984" s="3">
        <v>69</v>
      </c>
      <c r="I1984" s="3">
        <f>ProductLine[[#This Row],[Units]]*ProductLine[[#This Row],[Dollars]]</f>
        <v>5796</v>
      </c>
    </row>
    <row r="1985" spans="1:9" x14ac:dyDescent="0.35">
      <c r="A1985">
        <v>1984</v>
      </c>
      <c r="B1985" t="s">
        <v>9</v>
      </c>
      <c r="C1985" s="2">
        <v>43876</v>
      </c>
      <c r="D1985">
        <f>YEAR(ProductLine[[#This Row],[Date]])</f>
        <v>2020</v>
      </c>
      <c r="E1985">
        <f>MONTH(ProductLine[[#This Row],[Date]])</f>
        <v>2</v>
      </c>
      <c r="F1985" t="s">
        <v>24</v>
      </c>
      <c r="G1985">
        <v>59</v>
      </c>
      <c r="H1985" s="3">
        <v>67</v>
      </c>
      <c r="I1985" s="3">
        <f>ProductLine[[#This Row],[Units]]*ProductLine[[#This Row],[Dollars]]</f>
        <v>3953</v>
      </c>
    </row>
    <row r="1986" spans="1:9" x14ac:dyDescent="0.35">
      <c r="A1986">
        <v>1985</v>
      </c>
      <c r="B1986" t="s">
        <v>11</v>
      </c>
      <c r="C1986" s="2">
        <v>44445</v>
      </c>
      <c r="D1986">
        <f>YEAR(ProductLine[[#This Row],[Date]])</f>
        <v>2021</v>
      </c>
      <c r="E1986">
        <f>MONTH(ProductLine[[#This Row],[Date]])</f>
        <v>9</v>
      </c>
      <c r="F1986" t="s">
        <v>27</v>
      </c>
      <c r="G1986">
        <v>62</v>
      </c>
      <c r="H1986" s="3">
        <v>59</v>
      </c>
      <c r="I1986" s="3">
        <f>ProductLine[[#This Row],[Units]]*ProductLine[[#This Row],[Dollars]]</f>
        <v>3658</v>
      </c>
    </row>
    <row r="1987" spans="1:9" x14ac:dyDescent="0.35">
      <c r="A1987">
        <v>1986</v>
      </c>
      <c r="B1987" t="s">
        <v>11</v>
      </c>
      <c r="C1987" s="2">
        <v>44451</v>
      </c>
      <c r="D1987">
        <f>YEAR(ProductLine[[#This Row],[Date]])</f>
        <v>2021</v>
      </c>
      <c r="E1987">
        <f>MONTH(ProductLine[[#This Row],[Date]])</f>
        <v>9</v>
      </c>
      <c r="F1987" t="s">
        <v>25</v>
      </c>
      <c r="G1987">
        <v>45</v>
      </c>
      <c r="H1987" s="3">
        <v>39</v>
      </c>
      <c r="I1987" s="3">
        <f>ProductLine[[#This Row],[Units]]*ProductLine[[#This Row],[Dollars]]</f>
        <v>1755</v>
      </c>
    </row>
    <row r="1988" spans="1:9" x14ac:dyDescent="0.35">
      <c r="A1988">
        <v>1987</v>
      </c>
      <c r="B1988" t="s">
        <v>11</v>
      </c>
      <c r="C1988" s="2">
        <v>44493</v>
      </c>
      <c r="D1988">
        <f>YEAR(ProductLine[[#This Row],[Date]])</f>
        <v>2021</v>
      </c>
      <c r="E1988">
        <f>MONTH(ProductLine[[#This Row],[Date]])</f>
        <v>10</v>
      </c>
      <c r="F1988" t="s">
        <v>23</v>
      </c>
      <c r="G1988">
        <v>38</v>
      </c>
      <c r="H1988" s="3">
        <v>79</v>
      </c>
      <c r="I1988" s="3">
        <f>ProductLine[[#This Row],[Units]]*ProductLine[[#This Row],[Dollars]]</f>
        <v>3002</v>
      </c>
    </row>
    <row r="1989" spans="1:9" x14ac:dyDescent="0.35">
      <c r="A1989">
        <v>1988</v>
      </c>
      <c r="B1989" t="s">
        <v>11</v>
      </c>
      <c r="C1989" s="2">
        <v>44300</v>
      </c>
      <c r="D1989">
        <f>YEAR(ProductLine[[#This Row],[Date]])</f>
        <v>2021</v>
      </c>
      <c r="E1989">
        <f>MONTH(ProductLine[[#This Row],[Date]])</f>
        <v>4</v>
      </c>
      <c r="F1989" t="s">
        <v>24</v>
      </c>
      <c r="G1989">
        <v>49</v>
      </c>
      <c r="H1989" s="3">
        <v>79.55</v>
      </c>
      <c r="I1989" s="3">
        <f>ProductLine[[#This Row],[Units]]*ProductLine[[#This Row],[Dollars]]</f>
        <v>3897.95</v>
      </c>
    </row>
    <row r="1990" spans="1:9" x14ac:dyDescent="0.35">
      <c r="A1990">
        <v>1989</v>
      </c>
      <c r="B1990" t="s">
        <v>11</v>
      </c>
      <c r="C1990" s="2">
        <v>44272</v>
      </c>
      <c r="D1990">
        <f>YEAR(ProductLine[[#This Row],[Date]])</f>
        <v>2021</v>
      </c>
      <c r="E1990">
        <f>MONTH(ProductLine[[#This Row],[Date]])</f>
        <v>3</v>
      </c>
      <c r="F1990" t="s">
        <v>26</v>
      </c>
      <c r="G1990">
        <v>51</v>
      </c>
      <c r="H1990" s="3">
        <v>48.99</v>
      </c>
      <c r="I1990" s="3">
        <f>ProductLine[[#This Row],[Units]]*ProductLine[[#This Row],[Dollars]]</f>
        <v>2498.4900000000002</v>
      </c>
    </row>
    <row r="1991" spans="1:9" x14ac:dyDescent="0.35">
      <c r="A1991">
        <v>1990</v>
      </c>
      <c r="B1991" t="s">
        <v>9</v>
      </c>
      <c r="C1991" s="2">
        <v>44301</v>
      </c>
      <c r="D1991">
        <f>YEAR(ProductLine[[#This Row],[Date]])</f>
        <v>2021</v>
      </c>
      <c r="E1991">
        <f>MONTH(ProductLine[[#This Row],[Date]])</f>
        <v>4</v>
      </c>
      <c r="F1991" t="s">
        <v>27</v>
      </c>
      <c r="G1991">
        <v>60</v>
      </c>
      <c r="H1991" s="3">
        <v>139.94999999999999</v>
      </c>
      <c r="I1991" s="3">
        <f>ProductLine[[#This Row],[Units]]*ProductLine[[#This Row],[Dollars]]</f>
        <v>8397</v>
      </c>
    </row>
    <row r="1992" spans="1:9" x14ac:dyDescent="0.35">
      <c r="A1992">
        <v>1991</v>
      </c>
      <c r="B1992" t="s">
        <v>9</v>
      </c>
      <c r="C1992" s="2">
        <v>44268</v>
      </c>
      <c r="D1992">
        <f>YEAR(ProductLine[[#This Row],[Date]])</f>
        <v>2021</v>
      </c>
      <c r="E1992">
        <f>MONTH(ProductLine[[#This Row],[Date]])</f>
        <v>3</v>
      </c>
      <c r="F1992" t="s">
        <v>25</v>
      </c>
      <c r="G1992">
        <v>30</v>
      </c>
      <c r="H1992" s="3">
        <v>76.989999999999995</v>
      </c>
      <c r="I1992" s="3">
        <f>ProductLine[[#This Row],[Units]]*ProductLine[[#This Row],[Dollars]]</f>
        <v>2309.6999999999998</v>
      </c>
    </row>
    <row r="1993" spans="1:9" x14ac:dyDescent="0.35">
      <c r="A1993">
        <v>1992</v>
      </c>
      <c r="B1993" t="s">
        <v>9</v>
      </c>
      <c r="C1993" s="2">
        <v>44244</v>
      </c>
      <c r="D1993">
        <f>YEAR(ProductLine[[#This Row],[Date]])</f>
        <v>2021</v>
      </c>
      <c r="E1993">
        <f>MONTH(ProductLine[[#This Row],[Date]])</f>
        <v>2</v>
      </c>
      <c r="F1993" t="s">
        <v>23</v>
      </c>
      <c r="G1993">
        <v>29</v>
      </c>
      <c r="H1993" s="3">
        <v>110</v>
      </c>
      <c r="I1993" s="3">
        <f>ProductLine[[#This Row],[Units]]*ProductLine[[#This Row],[Dollars]]</f>
        <v>3190</v>
      </c>
    </row>
    <row r="1994" spans="1:9" x14ac:dyDescent="0.35">
      <c r="A1994">
        <v>1993</v>
      </c>
      <c r="B1994" t="s">
        <v>9</v>
      </c>
      <c r="C1994" s="2">
        <v>44215</v>
      </c>
      <c r="D1994">
        <f>YEAR(ProductLine[[#This Row],[Date]])</f>
        <v>2021</v>
      </c>
      <c r="E1994">
        <f>MONTH(ProductLine[[#This Row],[Date]])</f>
        <v>1</v>
      </c>
      <c r="F1994" t="s">
        <v>24</v>
      </c>
      <c r="G1994">
        <v>30</v>
      </c>
      <c r="H1994" s="3">
        <v>96.95</v>
      </c>
      <c r="I1994" s="3">
        <f>ProductLine[[#This Row],[Units]]*ProductLine[[#This Row],[Dollars]]</f>
        <v>2908.5</v>
      </c>
    </row>
    <row r="1995" spans="1:9" x14ac:dyDescent="0.35">
      <c r="A1995">
        <v>1994</v>
      </c>
      <c r="B1995" t="s">
        <v>9</v>
      </c>
      <c r="C1995" s="2">
        <v>44333</v>
      </c>
      <c r="D1995">
        <f>YEAR(ProductLine[[#This Row],[Date]])</f>
        <v>2021</v>
      </c>
      <c r="E1995">
        <f>MONTH(ProductLine[[#This Row],[Date]])</f>
        <v>5</v>
      </c>
      <c r="F1995" t="s">
        <v>26</v>
      </c>
      <c r="G1995">
        <v>56</v>
      </c>
      <c r="H1995" s="3">
        <v>90.99</v>
      </c>
      <c r="I1995" s="3">
        <f>ProductLine[[#This Row],[Units]]*ProductLine[[#This Row],[Dollars]]</f>
        <v>5095.4399999999996</v>
      </c>
    </row>
    <row r="1996" spans="1:9" x14ac:dyDescent="0.35">
      <c r="A1996">
        <v>1995</v>
      </c>
      <c r="B1996" t="s">
        <v>17</v>
      </c>
      <c r="C1996" s="2">
        <v>44459</v>
      </c>
      <c r="D1996">
        <f>YEAR(ProductLine[[#This Row],[Date]])</f>
        <v>2021</v>
      </c>
      <c r="E1996">
        <f>MONTH(ProductLine[[#This Row],[Date]])</f>
        <v>9</v>
      </c>
      <c r="F1996" t="s">
        <v>27</v>
      </c>
      <c r="G1996">
        <v>29</v>
      </c>
      <c r="H1996" s="3">
        <v>60.49</v>
      </c>
      <c r="I1996" s="3">
        <f>ProductLine[[#This Row],[Units]]*ProductLine[[#This Row],[Dollars]]</f>
        <v>1754.21</v>
      </c>
    </row>
    <row r="1997" spans="1:9" x14ac:dyDescent="0.35">
      <c r="A1997">
        <v>1996</v>
      </c>
      <c r="B1997" t="s">
        <v>17</v>
      </c>
      <c r="C1997" s="2">
        <v>44466</v>
      </c>
      <c r="D1997">
        <f>YEAR(ProductLine[[#This Row],[Date]])</f>
        <v>2021</v>
      </c>
      <c r="E1997">
        <f>MONTH(ProductLine[[#This Row],[Date]])</f>
        <v>9</v>
      </c>
      <c r="F1997" t="s">
        <v>25</v>
      </c>
      <c r="G1997">
        <v>46</v>
      </c>
      <c r="H1997" s="3">
        <v>76</v>
      </c>
      <c r="I1997" s="3">
        <f>ProductLine[[#This Row],[Units]]*ProductLine[[#This Row],[Dollars]]</f>
        <v>3496</v>
      </c>
    </row>
    <row r="1998" spans="1:9" x14ac:dyDescent="0.35">
      <c r="A1998">
        <v>1997</v>
      </c>
      <c r="B1998" t="s">
        <v>17</v>
      </c>
      <c r="C1998" s="2">
        <v>44375</v>
      </c>
      <c r="D1998">
        <f>YEAR(ProductLine[[#This Row],[Date]])</f>
        <v>2021</v>
      </c>
      <c r="E1998">
        <f>MONTH(ProductLine[[#This Row],[Date]])</f>
        <v>6</v>
      </c>
      <c r="F1998" t="s">
        <v>23</v>
      </c>
      <c r="G1998">
        <v>40</v>
      </c>
      <c r="H1998" s="3">
        <v>65</v>
      </c>
      <c r="I1998" s="3">
        <f>ProductLine[[#This Row],[Units]]*ProductLine[[#This Row],[Dollars]]</f>
        <v>2600</v>
      </c>
    </row>
    <row r="1999" spans="1:9" x14ac:dyDescent="0.35">
      <c r="A1999">
        <v>1998</v>
      </c>
      <c r="B1999" t="s">
        <v>17</v>
      </c>
      <c r="C1999" s="2">
        <v>44346</v>
      </c>
      <c r="D1999">
        <f>YEAR(ProductLine[[#This Row],[Date]])</f>
        <v>2021</v>
      </c>
      <c r="E1999">
        <f>MONTH(ProductLine[[#This Row],[Date]])</f>
        <v>5</v>
      </c>
      <c r="F1999" t="s">
        <v>24</v>
      </c>
      <c r="G1999">
        <v>26</v>
      </c>
      <c r="H1999" s="3">
        <v>89</v>
      </c>
      <c r="I1999" s="3">
        <f>ProductLine[[#This Row],[Units]]*ProductLine[[#This Row],[Dollars]]</f>
        <v>2314</v>
      </c>
    </row>
    <row r="2000" spans="1:9" x14ac:dyDescent="0.35">
      <c r="A2000">
        <v>1999</v>
      </c>
      <c r="B2000" t="s">
        <v>17</v>
      </c>
      <c r="C2000" s="2">
        <v>44464</v>
      </c>
      <c r="D2000">
        <f>YEAR(ProductLine[[#This Row],[Date]])</f>
        <v>2021</v>
      </c>
      <c r="E2000">
        <f>MONTH(ProductLine[[#This Row],[Date]])</f>
        <v>9</v>
      </c>
      <c r="F2000" t="s">
        <v>26</v>
      </c>
      <c r="G2000">
        <v>12</v>
      </c>
      <c r="H2000" s="3">
        <v>82</v>
      </c>
      <c r="I2000" s="3">
        <f>ProductLine[[#This Row],[Units]]*ProductLine[[#This Row],[Dollars]]</f>
        <v>984</v>
      </c>
    </row>
    <row r="2001" spans="1:9" x14ac:dyDescent="0.35">
      <c r="A2001">
        <v>2000</v>
      </c>
      <c r="B2001" t="s">
        <v>13</v>
      </c>
      <c r="C2001" s="2">
        <v>44400</v>
      </c>
      <c r="D2001">
        <f>YEAR(ProductLine[[#This Row],[Date]])</f>
        <v>2021</v>
      </c>
      <c r="E2001">
        <f>MONTH(ProductLine[[#This Row],[Date]])</f>
        <v>7</v>
      </c>
      <c r="F2001" t="s">
        <v>27</v>
      </c>
      <c r="G2001">
        <v>59</v>
      </c>
      <c r="H2001" s="3">
        <v>56</v>
      </c>
      <c r="I2001" s="3">
        <f>ProductLine[[#This Row],[Units]]*ProductLine[[#This Row],[Dollars]]</f>
        <v>3304</v>
      </c>
    </row>
    <row r="2002" spans="1:9" x14ac:dyDescent="0.35">
      <c r="A2002">
        <v>2001</v>
      </c>
      <c r="B2002" t="s">
        <v>13</v>
      </c>
      <c r="C2002" s="2">
        <v>44494</v>
      </c>
      <c r="D2002">
        <f>YEAR(ProductLine[[#This Row],[Date]])</f>
        <v>2021</v>
      </c>
      <c r="E2002">
        <f>MONTH(ProductLine[[#This Row],[Date]])</f>
        <v>10</v>
      </c>
      <c r="F2002" t="s">
        <v>25</v>
      </c>
      <c r="G2002">
        <v>72</v>
      </c>
      <c r="H2002" s="3">
        <v>84.5</v>
      </c>
      <c r="I2002" s="3">
        <f>ProductLine[[#This Row],[Units]]*ProductLine[[#This Row],[Dollars]]</f>
        <v>6084</v>
      </c>
    </row>
    <row r="2003" spans="1:9" x14ac:dyDescent="0.35">
      <c r="A2003">
        <v>2002</v>
      </c>
      <c r="B2003" t="s">
        <v>13</v>
      </c>
      <c r="C2003" s="2">
        <v>44303</v>
      </c>
      <c r="D2003">
        <f>YEAR(ProductLine[[#This Row],[Date]])</f>
        <v>2021</v>
      </c>
      <c r="E2003">
        <f>MONTH(ProductLine[[#This Row],[Date]])</f>
        <v>4</v>
      </c>
      <c r="F2003" t="s">
        <v>23</v>
      </c>
      <c r="G2003">
        <v>58</v>
      </c>
      <c r="H2003" s="3">
        <v>90</v>
      </c>
      <c r="I2003" s="3">
        <f>ProductLine[[#This Row],[Units]]*ProductLine[[#This Row],[Dollars]]</f>
        <v>5220</v>
      </c>
    </row>
    <row r="2004" spans="1:9" x14ac:dyDescent="0.35">
      <c r="A2004">
        <v>2003</v>
      </c>
      <c r="B2004" t="s">
        <v>13</v>
      </c>
      <c r="C2004" s="2">
        <v>44496</v>
      </c>
      <c r="D2004">
        <f>YEAR(ProductLine[[#This Row],[Date]])</f>
        <v>2021</v>
      </c>
      <c r="E2004">
        <f>MONTH(ProductLine[[#This Row],[Date]])</f>
        <v>10</v>
      </c>
      <c r="F2004" t="s">
        <v>24</v>
      </c>
      <c r="G2004">
        <v>49</v>
      </c>
      <c r="H2004" s="3">
        <v>105.95</v>
      </c>
      <c r="I2004" s="3">
        <f>ProductLine[[#This Row],[Units]]*ProductLine[[#This Row],[Dollars]]</f>
        <v>5191.55</v>
      </c>
    </row>
    <row r="2005" spans="1:9" x14ac:dyDescent="0.35">
      <c r="A2005">
        <v>2004</v>
      </c>
      <c r="B2005" t="s">
        <v>13</v>
      </c>
      <c r="C2005" s="2">
        <v>44261</v>
      </c>
      <c r="D2005">
        <f>YEAR(ProductLine[[#This Row],[Date]])</f>
        <v>2021</v>
      </c>
      <c r="E2005">
        <f>MONTH(ProductLine[[#This Row],[Date]])</f>
        <v>3</v>
      </c>
      <c r="F2005" t="s">
        <v>26</v>
      </c>
      <c r="G2005">
        <v>30</v>
      </c>
      <c r="H2005" s="3">
        <v>76.95</v>
      </c>
      <c r="I2005" s="3">
        <f>ProductLine[[#This Row],[Units]]*ProductLine[[#This Row],[Dollars]]</f>
        <v>2308.5</v>
      </c>
    </row>
    <row r="2006" spans="1:9" x14ac:dyDescent="0.35">
      <c r="A2006">
        <v>2005</v>
      </c>
      <c r="B2006" t="s">
        <v>14</v>
      </c>
      <c r="C2006" s="2">
        <v>44205</v>
      </c>
      <c r="D2006">
        <f>YEAR(ProductLine[[#This Row],[Date]])</f>
        <v>2021</v>
      </c>
      <c r="E2006">
        <f>MONTH(ProductLine[[#This Row],[Date]])</f>
        <v>1</v>
      </c>
      <c r="F2006" t="s">
        <v>27</v>
      </c>
      <c r="G2006">
        <v>26</v>
      </c>
      <c r="H2006" s="3">
        <v>104</v>
      </c>
      <c r="I2006" s="3">
        <f>ProductLine[[#This Row],[Units]]*ProductLine[[#This Row],[Dollars]]</f>
        <v>2704</v>
      </c>
    </row>
    <row r="2007" spans="1:9" x14ac:dyDescent="0.35">
      <c r="A2007">
        <v>2006</v>
      </c>
      <c r="B2007" t="s">
        <v>14</v>
      </c>
      <c r="C2007" s="2">
        <v>44540</v>
      </c>
      <c r="D2007">
        <f>YEAR(ProductLine[[#This Row],[Date]])</f>
        <v>2021</v>
      </c>
      <c r="E2007">
        <f>MONTH(ProductLine[[#This Row],[Date]])</f>
        <v>12</v>
      </c>
      <c r="F2007" t="s">
        <v>25</v>
      </c>
      <c r="G2007">
        <v>19</v>
      </c>
      <c r="H2007" s="3">
        <v>76.849999999999994</v>
      </c>
      <c r="I2007" s="3">
        <f>ProductLine[[#This Row],[Units]]*ProductLine[[#This Row],[Dollars]]</f>
        <v>1460.1499999999999</v>
      </c>
    </row>
    <row r="2008" spans="1:9" x14ac:dyDescent="0.35">
      <c r="A2008">
        <v>2007</v>
      </c>
      <c r="B2008" t="s">
        <v>14</v>
      </c>
      <c r="C2008" s="2">
        <v>44365</v>
      </c>
      <c r="D2008">
        <f>YEAR(ProductLine[[#This Row],[Date]])</f>
        <v>2021</v>
      </c>
      <c r="E2008">
        <f>MONTH(ProductLine[[#This Row],[Date]])</f>
        <v>6</v>
      </c>
      <c r="F2008" t="s">
        <v>23</v>
      </c>
      <c r="G2008">
        <v>36</v>
      </c>
      <c r="H2008" s="3">
        <v>72.989999999999995</v>
      </c>
      <c r="I2008" s="3">
        <f>ProductLine[[#This Row],[Units]]*ProductLine[[#This Row],[Dollars]]</f>
        <v>2627.64</v>
      </c>
    </row>
    <row r="2009" spans="1:9" x14ac:dyDescent="0.35">
      <c r="A2009">
        <v>2008</v>
      </c>
      <c r="B2009" t="s">
        <v>14</v>
      </c>
      <c r="C2009" s="2">
        <v>44336</v>
      </c>
      <c r="D2009">
        <f>YEAR(ProductLine[[#This Row],[Date]])</f>
        <v>2021</v>
      </c>
      <c r="E2009">
        <f>MONTH(ProductLine[[#This Row],[Date]])</f>
        <v>5</v>
      </c>
      <c r="F2009" t="s">
        <v>24</v>
      </c>
      <c r="G2009">
        <v>52</v>
      </c>
      <c r="H2009" s="3">
        <v>118.5</v>
      </c>
      <c r="I2009" s="3">
        <f>ProductLine[[#This Row],[Units]]*ProductLine[[#This Row],[Dollars]]</f>
        <v>6162</v>
      </c>
    </row>
    <row r="2010" spans="1:9" x14ac:dyDescent="0.35">
      <c r="A2010">
        <v>2009</v>
      </c>
      <c r="B2010" t="s">
        <v>14</v>
      </c>
      <c r="C2010" s="2">
        <v>44434</v>
      </c>
      <c r="D2010">
        <f>YEAR(ProductLine[[#This Row],[Date]])</f>
        <v>2021</v>
      </c>
      <c r="E2010">
        <f>MONTH(ProductLine[[#This Row],[Date]])</f>
        <v>8</v>
      </c>
      <c r="F2010" t="s">
        <v>26</v>
      </c>
      <c r="G2010">
        <v>28</v>
      </c>
      <c r="H2010" s="3">
        <v>86.95</v>
      </c>
      <c r="I2010" s="3">
        <f>ProductLine[[#This Row],[Units]]*ProductLine[[#This Row],[Dollars]]</f>
        <v>2434.6</v>
      </c>
    </row>
    <row r="2011" spans="1:9" x14ac:dyDescent="0.35">
      <c r="A2011">
        <v>2010</v>
      </c>
      <c r="B2011" t="s">
        <v>18</v>
      </c>
      <c r="C2011" s="2">
        <v>44242</v>
      </c>
      <c r="D2011">
        <f>YEAR(ProductLine[[#This Row],[Date]])</f>
        <v>2021</v>
      </c>
      <c r="E2011">
        <f>MONTH(ProductLine[[#This Row],[Date]])</f>
        <v>2</v>
      </c>
      <c r="F2011" t="s">
        <v>27</v>
      </c>
      <c r="G2011">
        <v>46</v>
      </c>
      <c r="H2011" s="3">
        <v>69.989999999999995</v>
      </c>
      <c r="I2011" s="3">
        <f>ProductLine[[#This Row],[Units]]*ProductLine[[#This Row],[Dollars]]</f>
        <v>3219.54</v>
      </c>
    </row>
    <row r="2012" spans="1:9" x14ac:dyDescent="0.35">
      <c r="A2012">
        <v>2011</v>
      </c>
      <c r="B2012" t="s">
        <v>18</v>
      </c>
      <c r="C2012" s="2">
        <v>44366</v>
      </c>
      <c r="D2012">
        <f>YEAR(ProductLine[[#This Row],[Date]])</f>
        <v>2021</v>
      </c>
      <c r="E2012">
        <f>MONTH(ProductLine[[#This Row],[Date]])</f>
        <v>6</v>
      </c>
      <c r="F2012" t="s">
        <v>25</v>
      </c>
      <c r="G2012">
        <v>38</v>
      </c>
      <c r="H2012" s="3">
        <v>95</v>
      </c>
      <c r="I2012" s="3">
        <f>ProductLine[[#This Row],[Units]]*ProductLine[[#This Row],[Dollars]]</f>
        <v>3610</v>
      </c>
    </row>
    <row r="2013" spans="1:9" x14ac:dyDescent="0.35">
      <c r="A2013">
        <v>2012</v>
      </c>
      <c r="B2013" t="s">
        <v>18</v>
      </c>
      <c r="C2013" s="2">
        <v>44428</v>
      </c>
      <c r="D2013">
        <f>YEAR(ProductLine[[#This Row],[Date]])</f>
        <v>2021</v>
      </c>
      <c r="E2013">
        <f>MONTH(ProductLine[[#This Row],[Date]])</f>
        <v>8</v>
      </c>
      <c r="F2013" t="s">
        <v>23</v>
      </c>
      <c r="G2013">
        <v>32</v>
      </c>
      <c r="H2013" s="3">
        <v>85</v>
      </c>
      <c r="I2013" s="3">
        <f>ProductLine[[#This Row],[Units]]*ProductLine[[#This Row],[Dollars]]</f>
        <v>2720</v>
      </c>
    </row>
    <row r="2014" spans="1:9" x14ac:dyDescent="0.35">
      <c r="A2014">
        <v>2013</v>
      </c>
      <c r="B2014" t="s">
        <v>18</v>
      </c>
      <c r="C2014" s="2">
        <v>44465</v>
      </c>
      <c r="D2014">
        <f>YEAR(ProductLine[[#This Row],[Date]])</f>
        <v>2021</v>
      </c>
      <c r="E2014">
        <f>MONTH(ProductLine[[#This Row],[Date]])</f>
        <v>9</v>
      </c>
      <c r="F2014" t="s">
        <v>24</v>
      </c>
      <c r="G2014">
        <v>30</v>
      </c>
      <c r="H2014" s="3">
        <v>126</v>
      </c>
      <c r="I2014" s="3">
        <f>ProductLine[[#This Row],[Units]]*ProductLine[[#This Row],[Dollars]]</f>
        <v>3780</v>
      </c>
    </row>
    <row r="2015" spans="1:9" x14ac:dyDescent="0.35">
      <c r="A2015">
        <v>2014</v>
      </c>
      <c r="B2015" t="s">
        <v>18</v>
      </c>
      <c r="C2015" s="2">
        <v>44499</v>
      </c>
      <c r="D2015">
        <f>YEAR(ProductLine[[#This Row],[Date]])</f>
        <v>2021</v>
      </c>
      <c r="E2015">
        <f>MONTH(ProductLine[[#This Row],[Date]])</f>
        <v>10</v>
      </c>
      <c r="F2015" t="s">
        <v>26</v>
      </c>
      <c r="G2015">
        <v>29</v>
      </c>
      <c r="H2015" s="3">
        <v>76.989999999999995</v>
      </c>
      <c r="I2015" s="3">
        <f>ProductLine[[#This Row],[Units]]*ProductLine[[#This Row],[Dollars]]</f>
        <v>2232.71</v>
      </c>
    </row>
    <row r="2016" spans="1:9" x14ac:dyDescent="0.35">
      <c r="A2016">
        <v>2015</v>
      </c>
      <c r="B2016" t="s">
        <v>19</v>
      </c>
      <c r="C2016" s="2">
        <v>44220</v>
      </c>
      <c r="D2016">
        <f>YEAR(ProductLine[[#This Row],[Date]])</f>
        <v>2021</v>
      </c>
      <c r="E2016">
        <f>MONTH(ProductLine[[#This Row],[Date]])</f>
        <v>1</v>
      </c>
      <c r="F2016" t="s">
        <v>27</v>
      </c>
      <c r="G2016">
        <v>60</v>
      </c>
      <c r="H2016" s="3">
        <v>79.89</v>
      </c>
      <c r="I2016" s="3">
        <f>ProductLine[[#This Row],[Units]]*ProductLine[[#This Row],[Dollars]]</f>
        <v>4793.3999999999996</v>
      </c>
    </row>
    <row r="2017" spans="1:9" x14ac:dyDescent="0.35">
      <c r="A2017">
        <v>2016</v>
      </c>
      <c r="B2017" t="s">
        <v>19</v>
      </c>
      <c r="C2017" s="2">
        <v>44283</v>
      </c>
      <c r="D2017">
        <f>YEAR(ProductLine[[#This Row],[Date]])</f>
        <v>2021</v>
      </c>
      <c r="E2017">
        <f>MONTH(ProductLine[[#This Row],[Date]])</f>
        <v>3</v>
      </c>
      <c r="F2017" t="s">
        <v>25</v>
      </c>
      <c r="G2017">
        <v>48</v>
      </c>
      <c r="H2017" s="3">
        <v>95</v>
      </c>
      <c r="I2017" s="3">
        <f>ProductLine[[#This Row],[Units]]*ProductLine[[#This Row],[Dollars]]</f>
        <v>4560</v>
      </c>
    </row>
    <row r="2018" spans="1:9" x14ac:dyDescent="0.35">
      <c r="A2018">
        <v>2017</v>
      </c>
      <c r="B2018" t="s">
        <v>19</v>
      </c>
      <c r="C2018" s="2">
        <v>44457</v>
      </c>
      <c r="D2018">
        <f>YEAR(ProductLine[[#This Row],[Date]])</f>
        <v>2021</v>
      </c>
      <c r="E2018">
        <f>MONTH(ProductLine[[#This Row],[Date]])</f>
        <v>9</v>
      </c>
      <c r="F2018" t="s">
        <v>23</v>
      </c>
      <c r="G2018">
        <v>58</v>
      </c>
      <c r="H2018" s="3">
        <v>67</v>
      </c>
      <c r="I2018" s="3">
        <f>ProductLine[[#This Row],[Units]]*ProductLine[[#This Row],[Dollars]]</f>
        <v>3886</v>
      </c>
    </row>
    <row r="2019" spans="1:9" x14ac:dyDescent="0.35">
      <c r="A2019">
        <v>2018</v>
      </c>
      <c r="B2019" t="s">
        <v>19</v>
      </c>
      <c r="C2019" s="2">
        <v>44462</v>
      </c>
      <c r="D2019">
        <f>YEAR(ProductLine[[#This Row],[Date]])</f>
        <v>2021</v>
      </c>
      <c r="E2019">
        <f>MONTH(ProductLine[[#This Row],[Date]])</f>
        <v>9</v>
      </c>
      <c r="F2019" t="s">
        <v>24</v>
      </c>
      <c r="G2019">
        <v>56</v>
      </c>
      <c r="H2019" s="3">
        <v>79.989999999999995</v>
      </c>
      <c r="I2019" s="3">
        <f>ProductLine[[#This Row],[Units]]*ProductLine[[#This Row],[Dollars]]</f>
        <v>4479.4399999999996</v>
      </c>
    </row>
    <row r="2020" spans="1:9" x14ac:dyDescent="0.35">
      <c r="A2020">
        <v>2019</v>
      </c>
      <c r="B2020" t="s">
        <v>19</v>
      </c>
      <c r="C2020" s="2">
        <v>44345</v>
      </c>
      <c r="D2020">
        <f>YEAR(ProductLine[[#This Row],[Date]])</f>
        <v>2021</v>
      </c>
      <c r="E2020">
        <f>MONTH(ProductLine[[#This Row],[Date]])</f>
        <v>5</v>
      </c>
      <c r="F2020" t="s">
        <v>26</v>
      </c>
      <c r="G2020">
        <v>38</v>
      </c>
      <c r="H2020" s="3">
        <v>85.95</v>
      </c>
      <c r="I2020" s="3">
        <f>ProductLine[[#This Row],[Units]]*ProductLine[[#This Row],[Dollars]]</f>
        <v>3266.1</v>
      </c>
    </row>
    <row r="2021" spans="1:9" x14ac:dyDescent="0.35">
      <c r="A2021">
        <v>2020</v>
      </c>
      <c r="B2021" t="s">
        <v>20</v>
      </c>
      <c r="C2021" s="2">
        <v>44526</v>
      </c>
      <c r="D2021">
        <f>YEAR(ProductLine[[#This Row],[Date]])</f>
        <v>2021</v>
      </c>
      <c r="E2021">
        <f>MONTH(ProductLine[[#This Row],[Date]])</f>
        <v>11</v>
      </c>
      <c r="F2021" t="s">
        <v>27</v>
      </c>
      <c r="G2021">
        <v>43</v>
      </c>
      <c r="H2021" s="3">
        <v>87</v>
      </c>
      <c r="I2021" s="3">
        <f>ProductLine[[#This Row],[Units]]*ProductLine[[#This Row],[Dollars]]</f>
        <v>3741</v>
      </c>
    </row>
    <row r="2022" spans="1:9" x14ac:dyDescent="0.35">
      <c r="A2022">
        <v>2021</v>
      </c>
      <c r="B2022" t="s">
        <v>20</v>
      </c>
      <c r="C2022" s="2">
        <v>44365</v>
      </c>
      <c r="D2022">
        <f>YEAR(ProductLine[[#This Row],[Date]])</f>
        <v>2021</v>
      </c>
      <c r="E2022">
        <f>MONTH(ProductLine[[#This Row],[Date]])</f>
        <v>6</v>
      </c>
      <c r="F2022" t="s">
        <v>25</v>
      </c>
      <c r="G2022">
        <v>29</v>
      </c>
      <c r="H2022" s="3">
        <v>98.95</v>
      </c>
      <c r="I2022" s="3">
        <f>ProductLine[[#This Row],[Units]]*ProductLine[[#This Row],[Dollars]]</f>
        <v>2869.55</v>
      </c>
    </row>
    <row r="2023" spans="1:9" x14ac:dyDescent="0.35">
      <c r="A2023">
        <v>2022</v>
      </c>
      <c r="B2023" t="s">
        <v>20</v>
      </c>
      <c r="C2023" s="2">
        <v>44528</v>
      </c>
      <c r="D2023">
        <f>YEAR(ProductLine[[#This Row],[Date]])</f>
        <v>2021</v>
      </c>
      <c r="E2023">
        <f>MONTH(ProductLine[[#This Row],[Date]])</f>
        <v>11</v>
      </c>
      <c r="F2023" t="s">
        <v>23</v>
      </c>
      <c r="G2023">
        <v>38</v>
      </c>
      <c r="H2023" s="3">
        <v>120</v>
      </c>
      <c r="I2023" s="3">
        <f>ProductLine[[#This Row],[Units]]*ProductLine[[#This Row],[Dollars]]</f>
        <v>4560</v>
      </c>
    </row>
    <row r="2024" spans="1:9" x14ac:dyDescent="0.35">
      <c r="A2024">
        <v>2023</v>
      </c>
      <c r="B2024" t="s">
        <v>20</v>
      </c>
      <c r="C2024" s="2">
        <v>44327</v>
      </c>
      <c r="D2024">
        <f>YEAR(ProductLine[[#This Row],[Date]])</f>
        <v>2021</v>
      </c>
      <c r="E2024">
        <f>MONTH(ProductLine[[#This Row],[Date]])</f>
        <v>5</v>
      </c>
      <c r="F2024" t="s">
        <v>24</v>
      </c>
      <c r="G2024">
        <v>26</v>
      </c>
      <c r="H2024" s="3">
        <v>84</v>
      </c>
      <c r="I2024" s="3">
        <f>ProductLine[[#This Row],[Units]]*ProductLine[[#This Row],[Dollars]]</f>
        <v>2184</v>
      </c>
    </row>
    <row r="2025" spans="1:9" x14ac:dyDescent="0.35">
      <c r="A2025">
        <v>2024</v>
      </c>
      <c r="B2025" t="s">
        <v>20</v>
      </c>
      <c r="C2025" s="2">
        <v>44274</v>
      </c>
      <c r="D2025">
        <f>YEAR(ProductLine[[#This Row],[Date]])</f>
        <v>2021</v>
      </c>
      <c r="E2025">
        <f>MONTH(ProductLine[[#This Row],[Date]])</f>
        <v>3</v>
      </c>
      <c r="F2025" t="s">
        <v>26</v>
      </c>
      <c r="G2025">
        <v>41</v>
      </c>
      <c r="H2025" s="3">
        <v>94.99</v>
      </c>
      <c r="I2025" s="3">
        <f>ProductLine[[#This Row],[Units]]*ProductLine[[#This Row],[Dollars]]</f>
        <v>3894.5899999999997</v>
      </c>
    </row>
    <row r="2026" spans="1:9" x14ac:dyDescent="0.35">
      <c r="A2026">
        <v>2025</v>
      </c>
      <c r="B2026" t="s">
        <v>11</v>
      </c>
      <c r="C2026" s="2">
        <v>44517</v>
      </c>
      <c r="D2026">
        <f>YEAR(ProductLine[[#This Row],[Date]])</f>
        <v>2021</v>
      </c>
      <c r="E2026">
        <f>MONTH(ProductLine[[#This Row],[Date]])</f>
        <v>11</v>
      </c>
      <c r="F2026" t="s">
        <v>27</v>
      </c>
      <c r="G2026">
        <v>28</v>
      </c>
      <c r="H2026" s="3">
        <v>83</v>
      </c>
      <c r="I2026" s="3">
        <f>ProductLine[[#This Row],[Units]]*ProductLine[[#This Row],[Dollars]]</f>
        <v>2324</v>
      </c>
    </row>
    <row r="2027" spans="1:9" x14ac:dyDescent="0.35">
      <c r="A2027">
        <v>2026</v>
      </c>
      <c r="B2027" t="s">
        <v>11</v>
      </c>
      <c r="C2027" s="2">
        <v>44459</v>
      </c>
      <c r="D2027">
        <f>YEAR(ProductLine[[#This Row],[Date]])</f>
        <v>2021</v>
      </c>
      <c r="E2027">
        <f>MONTH(ProductLine[[#This Row],[Date]])</f>
        <v>9</v>
      </c>
      <c r="F2027" t="s">
        <v>25</v>
      </c>
      <c r="G2027">
        <v>40</v>
      </c>
      <c r="H2027" s="3">
        <v>98</v>
      </c>
      <c r="I2027" s="3">
        <f>ProductLine[[#This Row],[Units]]*ProductLine[[#This Row],[Dollars]]</f>
        <v>3920</v>
      </c>
    </row>
    <row r="2028" spans="1:9" x14ac:dyDescent="0.35">
      <c r="A2028">
        <v>2027</v>
      </c>
      <c r="B2028" t="s">
        <v>11</v>
      </c>
      <c r="C2028" s="2">
        <v>44303</v>
      </c>
      <c r="D2028">
        <f>YEAR(ProductLine[[#This Row],[Date]])</f>
        <v>2021</v>
      </c>
      <c r="E2028">
        <f>MONTH(ProductLine[[#This Row],[Date]])</f>
        <v>4</v>
      </c>
      <c r="F2028" t="s">
        <v>23</v>
      </c>
      <c r="G2028">
        <v>37</v>
      </c>
      <c r="H2028" s="3">
        <v>82</v>
      </c>
      <c r="I2028" s="3">
        <f>ProductLine[[#This Row],[Units]]*ProductLine[[#This Row],[Dollars]]</f>
        <v>3034</v>
      </c>
    </row>
    <row r="2029" spans="1:9" x14ac:dyDescent="0.35">
      <c r="A2029">
        <v>2028</v>
      </c>
      <c r="B2029" t="s">
        <v>11</v>
      </c>
      <c r="C2029" s="2">
        <v>44407</v>
      </c>
      <c r="D2029">
        <f>YEAR(ProductLine[[#This Row],[Date]])</f>
        <v>2021</v>
      </c>
      <c r="E2029">
        <f>MONTH(ProductLine[[#This Row],[Date]])</f>
        <v>7</v>
      </c>
      <c r="F2029" t="s">
        <v>24</v>
      </c>
      <c r="G2029">
        <v>39</v>
      </c>
      <c r="H2029" s="3">
        <v>65</v>
      </c>
      <c r="I2029" s="3">
        <f>ProductLine[[#This Row],[Units]]*ProductLine[[#This Row],[Dollars]]</f>
        <v>2535</v>
      </c>
    </row>
    <row r="2030" spans="1:9" x14ac:dyDescent="0.35">
      <c r="A2030">
        <v>2029</v>
      </c>
      <c r="B2030" t="s">
        <v>11</v>
      </c>
      <c r="C2030" s="2">
        <v>44458</v>
      </c>
      <c r="D2030">
        <f>YEAR(ProductLine[[#This Row],[Date]])</f>
        <v>2021</v>
      </c>
      <c r="E2030">
        <f>MONTH(ProductLine[[#This Row],[Date]])</f>
        <v>9</v>
      </c>
      <c r="F2030" t="s">
        <v>26</v>
      </c>
      <c r="G2030">
        <v>76</v>
      </c>
      <c r="H2030" s="3">
        <v>89</v>
      </c>
      <c r="I2030" s="3">
        <f>ProductLine[[#This Row],[Units]]*ProductLine[[#This Row],[Dollars]]</f>
        <v>6764</v>
      </c>
    </row>
    <row r="2031" spans="1:9" x14ac:dyDescent="0.35">
      <c r="A2031">
        <v>2030</v>
      </c>
      <c r="B2031" t="s">
        <v>9</v>
      </c>
      <c r="C2031" s="2">
        <v>44285</v>
      </c>
      <c r="D2031">
        <f>YEAR(ProductLine[[#This Row],[Date]])</f>
        <v>2021</v>
      </c>
      <c r="E2031">
        <f>MONTH(ProductLine[[#This Row],[Date]])</f>
        <v>3</v>
      </c>
      <c r="F2031" t="s">
        <v>27</v>
      </c>
      <c r="G2031">
        <v>45</v>
      </c>
      <c r="H2031" s="3">
        <v>82</v>
      </c>
      <c r="I2031" s="3">
        <f>ProductLine[[#This Row],[Units]]*ProductLine[[#This Row],[Dollars]]</f>
        <v>3690</v>
      </c>
    </row>
    <row r="2032" spans="1:9" x14ac:dyDescent="0.35">
      <c r="A2032">
        <v>2031</v>
      </c>
      <c r="B2032" t="s">
        <v>9</v>
      </c>
      <c r="C2032" s="2">
        <v>44225</v>
      </c>
      <c r="D2032">
        <f>YEAR(ProductLine[[#This Row],[Date]])</f>
        <v>2021</v>
      </c>
      <c r="E2032">
        <f>MONTH(ProductLine[[#This Row],[Date]])</f>
        <v>1</v>
      </c>
      <c r="F2032" t="s">
        <v>25</v>
      </c>
      <c r="G2032">
        <v>37</v>
      </c>
      <c r="H2032" s="3">
        <v>89.95</v>
      </c>
      <c r="I2032" s="3">
        <f>ProductLine[[#This Row],[Units]]*ProductLine[[#This Row],[Dollars]]</f>
        <v>3328.15</v>
      </c>
    </row>
    <row r="2033" spans="1:9" x14ac:dyDescent="0.35">
      <c r="A2033">
        <v>2032</v>
      </c>
      <c r="B2033" t="s">
        <v>9</v>
      </c>
      <c r="C2033" s="2">
        <v>44374</v>
      </c>
      <c r="D2033">
        <f>YEAR(ProductLine[[#This Row],[Date]])</f>
        <v>2021</v>
      </c>
      <c r="E2033">
        <f>MONTH(ProductLine[[#This Row],[Date]])</f>
        <v>6</v>
      </c>
      <c r="F2033" t="s">
        <v>23</v>
      </c>
      <c r="G2033">
        <v>40</v>
      </c>
      <c r="H2033" s="3">
        <v>79</v>
      </c>
      <c r="I2033" s="3">
        <f>ProductLine[[#This Row],[Units]]*ProductLine[[#This Row],[Dollars]]</f>
        <v>3160</v>
      </c>
    </row>
    <row r="2034" spans="1:9" x14ac:dyDescent="0.35">
      <c r="A2034">
        <v>2033</v>
      </c>
      <c r="B2034" t="s">
        <v>9</v>
      </c>
      <c r="C2034" s="2">
        <v>44452</v>
      </c>
      <c r="D2034">
        <f>YEAR(ProductLine[[#This Row],[Date]])</f>
        <v>2021</v>
      </c>
      <c r="E2034">
        <f>MONTH(ProductLine[[#This Row],[Date]])</f>
        <v>9</v>
      </c>
      <c r="F2034" t="s">
        <v>24</v>
      </c>
      <c r="G2034">
        <v>61</v>
      </c>
      <c r="H2034" s="3">
        <v>82</v>
      </c>
      <c r="I2034" s="3">
        <f>ProductLine[[#This Row],[Units]]*ProductLine[[#This Row],[Dollars]]</f>
        <v>5002</v>
      </c>
    </row>
    <row r="2035" spans="1:9" x14ac:dyDescent="0.35">
      <c r="A2035">
        <v>2034</v>
      </c>
      <c r="B2035" t="s">
        <v>9</v>
      </c>
      <c r="C2035" s="2">
        <v>44542</v>
      </c>
      <c r="D2035">
        <f>YEAR(ProductLine[[#This Row],[Date]])</f>
        <v>2021</v>
      </c>
      <c r="E2035">
        <f>MONTH(ProductLine[[#This Row],[Date]])</f>
        <v>12</v>
      </c>
      <c r="F2035" t="s">
        <v>26</v>
      </c>
      <c r="G2035">
        <v>42</v>
      </c>
      <c r="H2035" s="3">
        <v>76.489999999999995</v>
      </c>
      <c r="I2035" s="3">
        <f>ProductLine[[#This Row],[Units]]*ProductLine[[#This Row],[Dollars]]</f>
        <v>3212.58</v>
      </c>
    </row>
    <row r="2036" spans="1:9" x14ac:dyDescent="0.35">
      <c r="A2036">
        <v>2035</v>
      </c>
      <c r="B2036" t="s">
        <v>17</v>
      </c>
      <c r="C2036" s="2">
        <v>44537</v>
      </c>
      <c r="D2036">
        <f>YEAR(ProductLine[[#This Row],[Date]])</f>
        <v>2021</v>
      </c>
      <c r="E2036">
        <f>MONTH(ProductLine[[#This Row],[Date]])</f>
        <v>12</v>
      </c>
      <c r="F2036" t="s">
        <v>27</v>
      </c>
      <c r="G2036">
        <v>24</v>
      </c>
      <c r="H2036" s="3">
        <v>92</v>
      </c>
      <c r="I2036" s="3">
        <f>ProductLine[[#This Row],[Units]]*ProductLine[[#This Row],[Dollars]]</f>
        <v>2208</v>
      </c>
    </row>
    <row r="2037" spans="1:9" x14ac:dyDescent="0.35">
      <c r="A2037">
        <v>2036</v>
      </c>
      <c r="B2037" t="s">
        <v>17</v>
      </c>
      <c r="C2037" s="2">
        <v>44510</v>
      </c>
      <c r="D2037">
        <f>YEAR(ProductLine[[#This Row],[Date]])</f>
        <v>2021</v>
      </c>
      <c r="E2037">
        <f>MONTH(ProductLine[[#This Row],[Date]])</f>
        <v>11</v>
      </c>
      <c r="F2037" t="s">
        <v>25</v>
      </c>
      <c r="G2037">
        <v>19</v>
      </c>
      <c r="H2037" s="3">
        <v>78</v>
      </c>
      <c r="I2037" s="3">
        <f>ProductLine[[#This Row],[Units]]*ProductLine[[#This Row],[Dollars]]</f>
        <v>1482</v>
      </c>
    </row>
    <row r="2038" spans="1:9" x14ac:dyDescent="0.35">
      <c r="A2038">
        <v>2037</v>
      </c>
      <c r="B2038" t="s">
        <v>17</v>
      </c>
      <c r="C2038" s="2">
        <v>44280</v>
      </c>
      <c r="D2038">
        <f>YEAR(ProductLine[[#This Row],[Date]])</f>
        <v>2021</v>
      </c>
      <c r="E2038">
        <f>MONTH(ProductLine[[#This Row],[Date]])</f>
        <v>3</v>
      </c>
      <c r="F2038" t="s">
        <v>23</v>
      </c>
      <c r="G2038">
        <v>37</v>
      </c>
      <c r="H2038" s="3">
        <v>83</v>
      </c>
      <c r="I2038" s="3">
        <f>ProductLine[[#This Row],[Units]]*ProductLine[[#This Row],[Dollars]]</f>
        <v>3071</v>
      </c>
    </row>
    <row r="2039" spans="1:9" x14ac:dyDescent="0.35">
      <c r="A2039">
        <v>2038</v>
      </c>
      <c r="B2039" t="s">
        <v>17</v>
      </c>
      <c r="C2039" s="2">
        <v>44545</v>
      </c>
      <c r="D2039">
        <f>YEAR(ProductLine[[#This Row],[Date]])</f>
        <v>2021</v>
      </c>
      <c r="E2039">
        <f>MONTH(ProductLine[[#This Row],[Date]])</f>
        <v>12</v>
      </c>
      <c r="F2039" t="s">
        <v>24</v>
      </c>
      <c r="G2039">
        <v>69</v>
      </c>
      <c r="H2039" s="3">
        <v>95</v>
      </c>
      <c r="I2039" s="3">
        <f>ProductLine[[#This Row],[Units]]*ProductLine[[#This Row],[Dollars]]</f>
        <v>6555</v>
      </c>
    </row>
    <row r="2040" spans="1:9" x14ac:dyDescent="0.35">
      <c r="A2040">
        <v>2039</v>
      </c>
      <c r="B2040" t="s">
        <v>17</v>
      </c>
      <c r="C2040" s="2">
        <v>44272</v>
      </c>
      <c r="D2040">
        <f>YEAR(ProductLine[[#This Row],[Date]])</f>
        <v>2021</v>
      </c>
      <c r="E2040">
        <f>MONTH(ProductLine[[#This Row],[Date]])</f>
        <v>3</v>
      </c>
      <c r="F2040" t="s">
        <v>26</v>
      </c>
      <c r="G2040">
        <v>8</v>
      </c>
      <c r="H2040" s="3">
        <v>78.989999999999995</v>
      </c>
      <c r="I2040" s="3">
        <f>ProductLine[[#This Row],[Units]]*ProductLine[[#This Row],[Dollars]]</f>
        <v>631.91999999999996</v>
      </c>
    </row>
    <row r="2041" spans="1:9" x14ac:dyDescent="0.35">
      <c r="A2041">
        <v>2040</v>
      </c>
      <c r="B2041" t="s">
        <v>13</v>
      </c>
      <c r="C2041" s="2">
        <v>44245</v>
      </c>
      <c r="D2041">
        <f>YEAR(ProductLine[[#This Row],[Date]])</f>
        <v>2021</v>
      </c>
      <c r="E2041">
        <f>MONTH(ProductLine[[#This Row],[Date]])</f>
        <v>2</v>
      </c>
      <c r="F2041" t="s">
        <v>27</v>
      </c>
      <c r="G2041">
        <v>19</v>
      </c>
      <c r="H2041" s="3">
        <v>89.99</v>
      </c>
      <c r="I2041" s="3">
        <f>ProductLine[[#This Row],[Units]]*ProductLine[[#This Row],[Dollars]]</f>
        <v>1709.81</v>
      </c>
    </row>
    <row r="2042" spans="1:9" x14ac:dyDescent="0.35">
      <c r="A2042">
        <v>2041</v>
      </c>
      <c r="B2042" t="s">
        <v>13</v>
      </c>
      <c r="C2042" s="2">
        <v>44225</v>
      </c>
      <c r="D2042">
        <f>YEAR(ProductLine[[#This Row],[Date]])</f>
        <v>2021</v>
      </c>
      <c r="E2042">
        <f>MONTH(ProductLine[[#This Row],[Date]])</f>
        <v>1</v>
      </c>
      <c r="F2042" t="s">
        <v>25</v>
      </c>
      <c r="G2042">
        <v>42</v>
      </c>
      <c r="H2042" s="3">
        <v>89</v>
      </c>
      <c r="I2042" s="3">
        <f>ProductLine[[#This Row],[Units]]*ProductLine[[#This Row],[Dollars]]</f>
        <v>3738</v>
      </c>
    </row>
    <row r="2043" spans="1:9" x14ac:dyDescent="0.35">
      <c r="A2043">
        <v>2042</v>
      </c>
      <c r="B2043" t="s">
        <v>13</v>
      </c>
      <c r="C2043" s="2">
        <v>44397</v>
      </c>
      <c r="D2043">
        <f>YEAR(ProductLine[[#This Row],[Date]])</f>
        <v>2021</v>
      </c>
      <c r="E2043">
        <f>MONTH(ProductLine[[#This Row],[Date]])</f>
        <v>7</v>
      </c>
      <c r="F2043" t="s">
        <v>23</v>
      </c>
      <c r="G2043">
        <v>53</v>
      </c>
      <c r="H2043" s="3">
        <v>83</v>
      </c>
      <c r="I2043" s="3">
        <f>ProductLine[[#This Row],[Units]]*ProductLine[[#This Row],[Dollars]]</f>
        <v>4399</v>
      </c>
    </row>
    <row r="2044" spans="1:9" x14ac:dyDescent="0.35">
      <c r="A2044">
        <v>2043</v>
      </c>
      <c r="B2044" t="s">
        <v>13</v>
      </c>
      <c r="C2044" s="2">
        <v>44243</v>
      </c>
      <c r="D2044">
        <f>YEAR(ProductLine[[#This Row],[Date]])</f>
        <v>2021</v>
      </c>
      <c r="E2044">
        <f>MONTH(ProductLine[[#This Row],[Date]])</f>
        <v>2</v>
      </c>
      <c r="F2044" t="s">
        <v>24</v>
      </c>
      <c r="G2044">
        <v>48</v>
      </c>
      <c r="H2044" s="3">
        <v>78</v>
      </c>
      <c r="I2044" s="3">
        <f>ProductLine[[#This Row],[Units]]*ProductLine[[#This Row],[Dollars]]</f>
        <v>3744</v>
      </c>
    </row>
    <row r="2045" spans="1:9" x14ac:dyDescent="0.35">
      <c r="A2045">
        <v>2044</v>
      </c>
      <c r="B2045" t="s">
        <v>13</v>
      </c>
      <c r="C2045" s="2">
        <v>44210</v>
      </c>
      <c r="D2045">
        <f>YEAR(ProductLine[[#This Row],[Date]])</f>
        <v>2021</v>
      </c>
      <c r="E2045">
        <f>MONTH(ProductLine[[#This Row],[Date]])</f>
        <v>1</v>
      </c>
      <c r="F2045" t="s">
        <v>26</v>
      </c>
      <c r="G2045">
        <v>56</v>
      </c>
      <c r="H2045" s="3">
        <v>119.45</v>
      </c>
      <c r="I2045" s="3">
        <f>ProductLine[[#This Row],[Units]]*ProductLine[[#This Row],[Dollars]]</f>
        <v>6689.2</v>
      </c>
    </row>
    <row r="2046" spans="1:9" x14ac:dyDescent="0.35">
      <c r="A2046">
        <v>2045</v>
      </c>
      <c r="B2046" t="s">
        <v>14</v>
      </c>
      <c r="C2046" s="2">
        <v>44242</v>
      </c>
      <c r="D2046">
        <f>YEAR(ProductLine[[#This Row],[Date]])</f>
        <v>2021</v>
      </c>
      <c r="E2046">
        <f>MONTH(ProductLine[[#This Row],[Date]])</f>
        <v>2</v>
      </c>
      <c r="F2046" t="s">
        <v>27</v>
      </c>
      <c r="G2046">
        <v>51</v>
      </c>
      <c r="H2046" s="3">
        <v>78</v>
      </c>
      <c r="I2046" s="3">
        <f>ProductLine[[#This Row],[Units]]*ProductLine[[#This Row],[Dollars]]</f>
        <v>3978</v>
      </c>
    </row>
    <row r="2047" spans="1:9" x14ac:dyDescent="0.35">
      <c r="A2047">
        <v>2046</v>
      </c>
      <c r="B2047" t="s">
        <v>14</v>
      </c>
      <c r="C2047" s="2">
        <v>44425</v>
      </c>
      <c r="D2047">
        <f>YEAR(ProductLine[[#This Row],[Date]])</f>
        <v>2021</v>
      </c>
      <c r="E2047">
        <f>MONTH(ProductLine[[#This Row],[Date]])</f>
        <v>8</v>
      </c>
      <c r="F2047" t="s">
        <v>25</v>
      </c>
      <c r="G2047">
        <v>39</v>
      </c>
      <c r="H2047" s="3">
        <v>114</v>
      </c>
      <c r="I2047" s="3">
        <f>ProductLine[[#This Row],[Units]]*ProductLine[[#This Row],[Dollars]]</f>
        <v>4446</v>
      </c>
    </row>
    <row r="2048" spans="1:9" x14ac:dyDescent="0.35">
      <c r="A2048">
        <v>2047</v>
      </c>
      <c r="B2048" t="s">
        <v>14</v>
      </c>
      <c r="C2048" s="2">
        <v>44488</v>
      </c>
      <c r="D2048">
        <f>YEAR(ProductLine[[#This Row],[Date]])</f>
        <v>2021</v>
      </c>
      <c r="E2048">
        <f>MONTH(ProductLine[[#This Row],[Date]])</f>
        <v>10</v>
      </c>
      <c r="F2048" t="s">
        <v>23</v>
      </c>
      <c r="G2048">
        <v>28</v>
      </c>
      <c r="H2048" s="3">
        <v>78.45</v>
      </c>
      <c r="I2048" s="3">
        <f>ProductLine[[#This Row],[Units]]*ProductLine[[#This Row],[Dollars]]</f>
        <v>2196.6</v>
      </c>
    </row>
    <row r="2049" spans="1:9" x14ac:dyDescent="0.35">
      <c r="A2049">
        <v>2048</v>
      </c>
      <c r="B2049" t="s">
        <v>14</v>
      </c>
      <c r="C2049" s="2">
        <v>44387</v>
      </c>
      <c r="D2049">
        <f>YEAR(ProductLine[[#This Row],[Date]])</f>
        <v>2021</v>
      </c>
      <c r="E2049">
        <f>MONTH(ProductLine[[#This Row],[Date]])</f>
        <v>7</v>
      </c>
      <c r="F2049" t="s">
        <v>24</v>
      </c>
      <c r="G2049">
        <v>38</v>
      </c>
      <c r="H2049" s="3">
        <v>98.45</v>
      </c>
      <c r="I2049" s="3">
        <f>ProductLine[[#This Row],[Units]]*ProductLine[[#This Row],[Dollars]]</f>
        <v>3741.1</v>
      </c>
    </row>
    <row r="2050" spans="1:9" x14ac:dyDescent="0.35">
      <c r="A2050">
        <v>2049</v>
      </c>
      <c r="B2050" t="s">
        <v>14</v>
      </c>
      <c r="C2050" s="2">
        <v>44282</v>
      </c>
      <c r="D2050">
        <f>YEAR(ProductLine[[#This Row],[Date]])</f>
        <v>2021</v>
      </c>
      <c r="E2050">
        <f>MONTH(ProductLine[[#This Row],[Date]])</f>
        <v>3</v>
      </c>
      <c r="F2050" t="s">
        <v>26</v>
      </c>
      <c r="G2050">
        <v>30</v>
      </c>
      <c r="H2050" s="3">
        <v>80</v>
      </c>
      <c r="I2050" s="3">
        <f>ProductLine[[#This Row],[Units]]*ProductLine[[#This Row],[Dollars]]</f>
        <v>2400</v>
      </c>
    </row>
    <row r="2051" spans="1:9" x14ac:dyDescent="0.35">
      <c r="A2051">
        <v>2050</v>
      </c>
      <c r="B2051" t="s">
        <v>18</v>
      </c>
      <c r="C2051" s="2">
        <v>44230</v>
      </c>
      <c r="D2051">
        <f>YEAR(ProductLine[[#This Row],[Date]])</f>
        <v>2021</v>
      </c>
      <c r="E2051">
        <f>MONTH(ProductLine[[#This Row],[Date]])</f>
        <v>2</v>
      </c>
      <c r="F2051" t="s">
        <v>27</v>
      </c>
      <c r="G2051">
        <v>32</v>
      </c>
      <c r="H2051" s="3">
        <v>85.49</v>
      </c>
      <c r="I2051" s="3">
        <f>ProductLine[[#This Row],[Units]]*ProductLine[[#This Row],[Dollars]]</f>
        <v>2735.68</v>
      </c>
    </row>
    <row r="2052" spans="1:9" x14ac:dyDescent="0.35">
      <c r="A2052">
        <v>2051</v>
      </c>
      <c r="B2052" t="s">
        <v>18</v>
      </c>
      <c r="C2052" s="2">
        <v>44210</v>
      </c>
      <c r="D2052">
        <f>YEAR(ProductLine[[#This Row],[Date]])</f>
        <v>2021</v>
      </c>
      <c r="E2052">
        <f>MONTH(ProductLine[[#This Row],[Date]])</f>
        <v>1</v>
      </c>
      <c r="F2052" t="s">
        <v>25</v>
      </c>
      <c r="G2052">
        <v>40</v>
      </c>
      <c r="H2052" s="3">
        <v>56.45</v>
      </c>
      <c r="I2052" s="3">
        <f>ProductLine[[#This Row],[Units]]*ProductLine[[#This Row],[Dollars]]</f>
        <v>2258</v>
      </c>
    </row>
    <row r="2053" spans="1:9" x14ac:dyDescent="0.35">
      <c r="A2053">
        <v>2052</v>
      </c>
      <c r="B2053" t="s">
        <v>18</v>
      </c>
      <c r="C2053" s="2">
        <v>44211</v>
      </c>
      <c r="D2053">
        <f>YEAR(ProductLine[[#This Row],[Date]])</f>
        <v>2021</v>
      </c>
      <c r="E2053">
        <f>MONTH(ProductLine[[#This Row],[Date]])</f>
        <v>1</v>
      </c>
      <c r="F2053" t="s">
        <v>23</v>
      </c>
      <c r="G2053">
        <v>38</v>
      </c>
      <c r="H2053" s="3">
        <v>98.99</v>
      </c>
      <c r="I2053" s="3">
        <f>ProductLine[[#This Row],[Units]]*ProductLine[[#This Row],[Dollars]]</f>
        <v>3761.62</v>
      </c>
    </row>
    <row r="2054" spans="1:9" x14ac:dyDescent="0.35">
      <c r="A2054">
        <v>2053</v>
      </c>
      <c r="B2054" t="s">
        <v>18</v>
      </c>
      <c r="C2054" s="2">
        <v>44285</v>
      </c>
      <c r="D2054">
        <f>YEAR(ProductLine[[#This Row],[Date]])</f>
        <v>2021</v>
      </c>
      <c r="E2054">
        <f>MONTH(ProductLine[[#This Row],[Date]])</f>
        <v>3</v>
      </c>
      <c r="F2054" t="s">
        <v>24</v>
      </c>
      <c r="G2054">
        <v>42</v>
      </c>
      <c r="H2054" s="3">
        <v>85</v>
      </c>
      <c r="I2054" s="3">
        <f>ProductLine[[#This Row],[Units]]*ProductLine[[#This Row],[Dollars]]</f>
        <v>3570</v>
      </c>
    </row>
    <row r="2055" spans="1:9" x14ac:dyDescent="0.35">
      <c r="A2055">
        <v>2054</v>
      </c>
      <c r="B2055" t="s">
        <v>18</v>
      </c>
      <c r="C2055" s="2">
        <v>44347</v>
      </c>
      <c r="D2055">
        <f>YEAR(ProductLine[[#This Row],[Date]])</f>
        <v>2021</v>
      </c>
      <c r="E2055">
        <f>MONTH(ProductLine[[#This Row],[Date]])</f>
        <v>5</v>
      </c>
      <c r="F2055" t="s">
        <v>26</v>
      </c>
      <c r="G2055">
        <v>38</v>
      </c>
      <c r="H2055" s="3">
        <v>79.88</v>
      </c>
      <c r="I2055" s="3">
        <f>ProductLine[[#This Row],[Units]]*ProductLine[[#This Row],[Dollars]]</f>
        <v>3035.4399999999996</v>
      </c>
    </row>
    <row r="2056" spans="1:9" x14ac:dyDescent="0.35">
      <c r="A2056">
        <v>2055</v>
      </c>
      <c r="B2056" t="s">
        <v>19</v>
      </c>
      <c r="C2056" s="2">
        <v>44348</v>
      </c>
      <c r="D2056">
        <f>YEAR(ProductLine[[#This Row],[Date]])</f>
        <v>2021</v>
      </c>
      <c r="E2056">
        <f>MONTH(ProductLine[[#This Row],[Date]])</f>
        <v>6</v>
      </c>
      <c r="F2056" t="s">
        <v>27</v>
      </c>
      <c r="G2056">
        <v>48</v>
      </c>
      <c r="H2056" s="3">
        <v>89.99</v>
      </c>
      <c r="I2056" s="3">
        <f>ProductLine[[#This Row],[Units]]*ProductLine[[#This Row],[Dollars]]</f>
        <v>4319.5199999999995</v>
      </c>
    </row>
    <row r="2057" spans="1:9" x14ac:dyDescent="0.35">
      <c r="A2057">
        <v>2056</v>
      </c>
      <c r="B2057" t="s">
        <v>19</v>
      </c>
      <c r="C2057" s="2">
        <v>44386</v>
      </c>
      <c r="D2057">
        <f>YEAR(ProductLine[[#This Row],[Date]])</f>
        <v>2021</v>
      </c>
      <c r="E2057">
        <f>MONTH(ProductLine[[#This Row],[Date]])</f>
        <v>7</v>
      </c>
      <c r="F2057" t="s">
        <v>25</v>
      </c>
      <c r="G2057">
        <v>44</v>
      </c>
      <c r="H2057" s="3">
        <v>118.49</v>
      </c>
      <c r="I2057" s="3">
        <f>ProductLine[[#This Row],[Units]]*ProductLine[[#This Row],[Dollars]]</f>
        <v>5213.5599999999995</v>
      </c>
    </row>
    <row r="2058" spans="1:9" x14ac:dyDescent="0.35">
      <c r="A2058">
        <v>2057</v>
      </c>
      <c r="B2058" t="s">
        <v>19</v>
      </c>
      <c r="C2058" s="2">
        <v>44449</v>
      </c>
      <c r="D2058">
        <f>YEAR(ProductLine[[#This Row],[Date]])</f>
        <v>2021</v>
      </c>
      <c r="E2058">
        <f>MONTH(ProductLine[[#This Row],[Date]])</f>
        <v>9</v>
      </c>
      <c r="F2058" t="s">
        <v>23</v>
      </c>
      <c r="G2058">
        <v>51</v>
      </c>
      <c r="H2058" s="3">
        <v>81.489999999999995</v>
      </c>
      <c r="I2058" s="3">
        <f>ProductLine[[#This Row],[Units]]*ProductLine[[#This Row],[Dollars]]</f>
        <v>4155.99</v>
      </c>
    </row>
    <row r="2059" spans="1:9" x14ac:dyDescent="0.35">
      <c r="A2059">
        <v>2058</v>
      </c>
      <c r="B2059" t="s">
        <v>19</v>
      </c>
      <c r="C2059" s="2">
        <v>44468</v>
      </c>
      <c r="D2059">
        <f>YEAR(ProductLine[[#This Row],[Date]])</f>
        <v>2021</v>
      </c>
      <c r="E2059">
        <f>MONTH(ProductLine[[#This Row],[Date]])</f>
        <v>9</v>
      </c>
      <c r="F2059" t="s">
        <v>24</v>
      </c>
      <c r="G2059">
        <v>40</v>
      </c>
      <c r="H2059" s="3">
        <v>92</v>
      </c>
      <c r="I2059" s="3">
        <f>ProductLine[[#This Row],[Units]]*ProductLine[[#This Row],[Dollars]]</f>
        <v>3680</v>
      </c>
    </row>
    <row r="2060" spans="1:9" x14ac:dyDescent="0.35">
      <c r="A2060">
        <v>2059</v>
      </c>
      <c r="B2060" t="s">
        <v>19</v>
      </c>
      <c r="C2060" s="2">
        <v>44469</v>
      </c>
      <c r="D2060">
        <f>YEAR(ProductLine[[#This Row],[Date]])</f>
        <v>2021</v>
      </c>
      <c r="E2060">
        <f>MONTH(ProductLine[[#This Row],[Date]])</f>
        <v>9</v>
      </c>
      <c r="F2060" t="s">
        <v>26</v>
      </c>
      <c r="G2060">
        <v>38</v>
      </c>
      <c r="H2060" s="3">
        <v>99</v>
      </c>
      <c r="I2060" s="3">
        <f>ProductLine[[#This Row],[Units]]*ProductLine[[#This Row],[Dollars]]</f>
        <v>3762</v>
      </c>
    </row>
    <row r="2061" spans="1:9" x14ac:dyDescent="0.35">
      <c r="A2061">
        <v>2060</v>
      </c>
      <c r="B2061" t="s">
        <v>20</v>
      </c>
      <c r="C2061" s="2">
        <v>44456</v>
      </c>
      <c r="D2061">
        <f>YEAR(ProductLine[[#This Row],[Date]])</f>
        <v>2021</v>
      </c>
      <c r="E2061">
        <f>MONTH(ProductLine[[#This Row],[Date]])</f>
        <v>9</v>
      </c>
      <c r="F2061" t="s">
        <v>27</v>
      </c>
      <c r="G2061">
        <v>49</v>
      </c>
      <c r="H2061" s="3">
        <v>119.95</v>
      </c>
      <c r="I2061" s="3">
        <f>ProductLine[[#This Row],[Units]]*ProductLine[[#This Row],[Dollars]]</f>
        <v>5877.55</v>
      </c>
    </row>
    <row r="2062" spans="1:9" x14ac:dyDescent="0.35">
      <c r="A2062">
        <v>2061</v>
      </c>
      <c r="B2062" t="s">
        <v>20</v>
      </c>
      <c r="C2062" s="2">
        <v>44285</v>
      </c>
      <c r="D2062">
        <f>YEAR(ProductLine[[#This Row],[Date]])</f>
        <v>2021</v>
      </c>
      <c r="E2062">
        <f>MONTH(ProductLine[[#This Row],[Date]])</f>
        <v>3</v>
      </c>
      <c r="F2062" t="s">
        <v>25</v>
      </c>
      <c r="G2062">
        <v>40</v>
      </c>
      <c r="H2062" s="3">
        <v>89.49</v>
      </c>
      <c r="I2062" s="3">
        <f>ProductLine[[#This Row],[Units]]*ProductLine[[#This Row],[Dollars]]</f>
        <v>3579.6</v>
      </c>
    </row>
    <row r="2063" spans="1:9" x14ac:dyDescent="0.35">
      <c r="A2063">
        <v>2062</v>
      </c>
      <c r="B2063" t="s">
        <v>20</v>
      </c>
      <c r="C2063" s="2">
        <v>44341</v>
      </c>
      <c r="D2063">
        <f>YEAR(ProductLine[[#This Row],[Date]])</f>
        <v>2021</v>
      </c>
      <c r="E2063">
        <f>MONTH(ProductLine[[#This Row],[Date]])</f>
        <v>5</v>
      </c>
      <c r="F2063" t="s">
        <v>23</v>
      </c>
      <c r="G2063">
        <v>54</v>
      </c>
      <c r="H2063" s="3">
        <v>90</v>
      </c>
      <c r="I2063" s="3">
        <f>ProductLine[[#This Row],[Units]]*ProductLine[[#This Row],[Dollars]]</f>
        <v>4860</v>
      </c>
    </row>
    <row r="2064" spans="1:9" x14ac:dyDescent="0.35">
      <c r="A2064">
        <v>2063</v>
      </c>
      <c r="B2064" t="s">
        <v>20</v>
      </c>
      <c r="C2064" s="2">
        <v>44468</v>
      </c>
      <c r="D2064">
        <f>YEAR(ProductLine[[#This Row],[Date]])</f>
        <v>2021</v>
      </c>
      <c r="E2064">
        <f>MONTH(ProductLine[[#This Row],[Date]])</f>
        <v>9</v>
      </c>
      <c r="F2064" t="s">
        <v>24</v>
      </c>
      <c r="G2064">
        <v>65</v>
      </c>
      <c r="H2064" s="3">
        <v>129.94999999999999</v>
      </c>
      <c r="I2064" s="3">
        <f>ProductLine[[#This Row],[Units]]*ProductLine[[#This Row],[Dollars]]</f>
        <v>8446.75</v>
      </c>
    </row>
    <row r="2065" spans="1:9" x14ac:dyDescent="0.35">
      <c r="A2065">
        <v>2064</v>
      </c>
      <c r="B2065" t="s">
        <v>20</v>
      </c>
      <c r="C2065" s="2">
        <v>44394</v>
      </c>
      <c r="D2065">
        <f>YEAR(ProductLine[[#This Row],[Date]])</f>
        <v>2021</v>
      </c>
      <c r="E2065">
        <f>MONTH(ProductLine[[#This Row],[Date]])</f>
        <v>7</v>
      </c>
      <c r="F2065" t="s">
        <v>26</v>
      </c>
      <c r="G2065">
        <v>52</v>
      </c>
      <c r="H2065" s="3">
        <v>97.99</v>
      </c>
      <c r="I2065" s="3">
        <f>ProductLine[[#This Row],[Units]]*ProductLine[[#This Row],[Dollars]]</f>
        <v>5095.4799999999996</v>
      </c>
    </row>
    <row r="2066" spans="1:9" x14ac:dyDescent="0.35">
      <c r="A2066">
        <v>2065</v>
      </c>
      <c r="B2066" t="s">
        <v>11</v>
      </c>
      <c r="C2066" s="2">
        <v>44728</v>
      </c>
      <c r="D2066">
        <f>YEAR(ProductLine[[#This Row],[Date]])</f>
        <v>2022</v>
      </c>
      <c r="E2066">
        <f>MONTH(ProductLine[[#This Row],[Date]])</f>
        <v>6</v>
      </c>
      <c r="F2066" t="s">
        <v>27</v>
      </c>
      <c r="G2066">
        <v>43</v>
      </c>
      <c r="H2066" s="3">
        <v>79</v>
      </c>
      <c r="I2066" s="3">
        <f>ProductLine[[#This Row],[Units]]*ProductLine[[#This Row],[Dollars]]</f>
        <v>3397</v>
      </c>
    </row>
    <row r="2067" spans="1:9" x14ac:dyDescent="0.35">
      <c r="A2067">
        <v>2066</v>
      </c>
      <c r="B2067" t="s">
        <v>11</v>
      </c>
      <c r="C2067" s="2">
        <v>44650</v>
      </c>
      <c r="D2067">
        <f>YEAR(ProductLine[[#This Row],[Date]])</f>
        <v>2022</v>
      </c>
      <c r="E2067">
        <f>MONTH(ProductLine[[#This Row],[Date]])</f>
        <v>3</v>
      </c>
      <c r="F2067" t="s">
        <v>25</v>
      </c>
      <c r="G2067">
        <v>40</v>
      </c>
      <c r="H2067" s="3">
        <v>89</v>
      </c>
      <c r="I2067" s="3">
        <f>ProductLine[[#This Row],[Units]]*ProductLine[[#This Row],[Dollars]]</f>
        <v>3560</v>
      </c>
    </row>
    <row r="2068" spans="1:9" x14ac:dyDescent="0.35">
      <c r="A2068">
        <v>2067</v>
      </c>
      <c r="B2068" t="s">
        <v>11</v>
      </c>
      <c r="C2068" s="2">
        <v>44602</v>
      </c>
      <c r="D2068">
        <f>YEAR(ProductLine[[#This Row],[Date]])</f>
        <v>2022</v>
      </c>
      <c r="E2068">
        <f>MONTH(ProductLine[[#This Row],[Date]])</f>
        <v>2</v>
      </c>
      <c r="F2068" t="s">
        <v>23</v>
      </c>
      <c r="G2068">
        <v>34</v>
      </c>
      <c r="H2068" s="3">
        <v>95</v>
      </c>
      <c r="I2068" s="3">
        <f>ProductLine[[#This Row],[Units]]*ProductLine[[#This Row],[Dollars]]</f>
        <v>3230</v>
      </c>
    </row>
    <row r="2069" spans="1:9" x14ac:dyDescent="0.35">
      <c r="A2069">
        <v>2068</v>
      </c>
      <c r="B2069" t="s">
        <v>11</v>
      </c>
      <c r="C2069" s="2">
        <v>44724</v>
      </c>
      <c r="D2069">
        <f>YEAR(ProductLine[[#This Row],[Date]])</f>
        <v>2022</v>
      </c>
      <c r="E2069">
        <f>MONTH(ProductLine[[#This Row],[Date]])</f>
        <v>6</v>
      </c>
      <c r="F2069" t="s">
        <v>24</v>
      </c>
      <c r="G2069">
        <v>40</v>
      </c>
      <c r="H2069" s="3">
        <v>98</v>
      </c>
      <c r="I2069" s="3">
        <f>ProductLine[[#This Row],[Units]]*ProductLine[[#This Row],[Dollars]]</f>
        <v>3920</v>
      </c>
    </row>
    <row r="2070" spans="1:9" x14ac:dyDescent="0.35">
      <c r="A2070">
        <v>2069</v>
      </c>
      <c r="B2070" t="s">
        <v>11</v>
      </c>
      <c r="C2070" s="2">
        <v>44790</v>
      </c>
      <c r="D2070">
        <f>YEAR(ProductLine[[#This Row],[Date]])</f>
        <v>2022</v>
      </c>
      <c r="E2070">
        <f>MONTH(ProductLine[[#This Row],[Date]])</f>
        <v>8</v>
      </c>
      <c r="F2070" t="s">
        <v>26</v>
      </c>
      <c r="G2070">
        <v>18</v>
      </c>
      <c r="H2070" s="3">
        <v>112</v>
      </c>
      <c r="I2070" s="3">
        <f>ProductLine[[#This Row],[Units]]*ProductLine[[#This Row],[Dollars]]</f>
        <v>2016</v>
      </c>
    </row>
    <row r="2071" spans="1:9" x14ac:dyDescent="0.35">
      <c r="A2071">
        <v>2070</v>
      </c>
      <c r="B2071" t="s">
        <v>9</v>
      </c>
      <c r="C2071" s="2">
        <v>44656</v>
      </c>
      <c r="D2071">
        <f>YEAR(ProductLine[[#This Row],[Date]])</f>
        <v>2022</v>
      </c>
      <c r="E2071">
        <f>MONTH(ProductLine[[#This Row],[Date]])</f>
        <v>4</v>
      </c>
      <c r="F2071" t="s">
        <v>27</v>
      </c>
      <c r="G2071">
        <v>29</v>
      </c>
      <c r="H2071" s="3">
        <v>86</v>
      </c>
      <c r="I2071" s="3">
        <f>ProductLine[[#This Row],[Units]]*ProductLine[[#This Row],[Dollars]]</f>
        <v>2494</v>
      </c>
    </row>
    <row r="2072" spans="1:9" x14ac:dyDescent="0.35">
      <c r="A2072">
        <v>2071</v>
      </c>
      <c r="B2072" t="s">
        <v>9</v>
      </c>
      <c r="C2072" s="2">
        <v>44580</v>
      </c>
      <c r="D2072">
        <f>YEAR(ProductLine[[#This Row],[Date]])</f>
        <v>2022</v>
      </c>
      <c r="E2072">
        <f>MONTH(ProductLine[[#This Row],[Date]])</f>
        <v>1</v>
      </c>
      <c r="F2072" t="s">
        <v>25</v>
      </c>
      <c r="G2072">
        <v>38</v>
      </c>
      <c r="H2072" s="3">
        <v>87.45</v>
      </c>
      <c r="I2072" s="3">
        <f>ProductLine[[#This Row],[Units]]*ProductLine[[#This Row],[Dollars]]</f>
        <v>3323.1</v>
      </c>
    </row>
    <row r="2073" spans="1:9" x14ac:dyDescent="0.35">
      <c r="A2073">
        <v>2072</v>
      </c>
      <c r="B2073" t="s">
        <v>9</v>
      </c>
      <c r="C2073" s="2">
        <v>44918</v>
      </c>
      <c r="D2073">
        <f>YEAR(ProductLine[[#This Row],[Date]])</f>
        <v>2022</v>
      </c>
      <c r="E2073">
        <f>MONTH(ProductLine[[#This Row],[Date]])</f>
        <v>12</v>
      </c>
      <c r="F2073" t="s">
        <v>23</v>
      </c>
      <c r="G2073">
        <v>67</v>
      </c>
      <c r="H2073" s="3">
        <v>95.45</v>
      </c>
      <c r="I2073" s="3">
        <f>ProductLine[[#This Row],[Units]]*ProductLine[[#This Row],[Dollars]]</f>
        <v>6395.1500000000005</v>
      </c>
    </row>
    <row r="2074" spans="1:9" x14ac:dyDescent="0.35">
      <c r="A2074">
        <v>2073</v>
      </c>
      <c r="B2074" t="s">
        <v>9</v>
      </c>
      <c r="C2074" s="2">
        <v>44613</v>
      </c>
      <c r="D2074">
        <f>YEAR(ProductLine[[#This Row],[Date]])</f>
        <v>2022</v>
      </c>
      <c r="E2074">
        <f>MONTH(ProductLine[[#This Row],[Date]])</f>
        <v>2</v>
      </c>
      <c r="F2074" t="s">
        <v>24</v>
      </c>
      <c r="G2074">
        <v>32</v>
      </c>
      <c r="H2074" s="3">
        <v>119.95</v>
      </c>
      <c r="I2074" s="3">
        <f>ProductLine[[#This Row],[Units]]*ProductLine[[#This Row],[Dollars]]</f>
        <v>3838.4</v>
      </c>
    </row>
    <row r="2075" spans="1:9" x14ac:dyDescent="0.35">
      <c r="A2075">
        <v>2074</v>
      </c>
      <c r="B2075" t="s">
        <v>9</v>
      </c>
      <c r="C2075" s="2">
        <v>44796</v>
      </c>
      <c r="D2075">
        <f>YEAR(ProductLine[[#This Row],[Date]])</f>
        <v>2022</v>
      </c>
      <c r="E2075">
        <f>MONTH(ProductLine[[#This Row],[Date]])</f>
        <v>8</v>
      </c>
      <c r="F2075" t="s">
        <v>26</v>
      </c>
      <c r="G2075">
        <v>38</v>
      </c>
      <c r="H2075" s="3">
        <v>110</v>
      </c>
      <c r="I2075" s="3">
        <f>ProductLine[[#This Row],[Units]]*ProductLine[[#This Row],[Dollars]]</f>
        <v>4180</v>
      </c>
    </row>
    <row r="2076" spans="1:9" x14ac:dyDescent="0.35">
      <c r="A2076">
        <v>2075</v>
      </c>
      <c r="B2076" t="s">
        <v>17</v>
      </c>
      <c r="C2076" s="2">
        <v>44579</v>
      </c>
      <c r="D2076">
        <f>YEAR(ProductLine[[#This Row],[Date]])</f>
        <v>2022</v>
      </c>
      <c r="E2076">
        <f>MONTH(ProductLine[[#This Row],[Date]])</f>
        <v>1</v>
      </c>
      <c r="F2076" t="s">
        <v>27</v>
      </c>
      <c r="G2076">
        <v>48</v>
      </c>
      <c r="H2076" s="3">
        <v>119</v>
      </c>
      <c r="I2076" s="3">
        <f>ProductLine[[#This Row],[Units]]*ProductLine[[#This Row],[Dollars]]</f>
        <v>5712</v>
      </c>
    </row>
    <row r="2077" spans="1:9" x14ac:dyDescent="0.35">
      <c r="A2077">
        <v>2076</v>
      </c>
      <c r="B2077" t="s">
        <v>17</v>
      </c>
      <c r="C2077" s="2">
        <v>44646</v>
      </c>
      <c r="D2077">
        <f>YEAR(ProductLine[[#This Row],[Date]])</f>
        <v>2022</v>
      </c>
      <c r="E2077">
        <f>MONTH(ProductLine[[#This Row],[Date]])</f>
        <v>3</v>
      </c>
      <c r="F2077" t="s">
        <v>25</v>
      </c>
      <c r="G2077">
        <v>39</v>
      </c>
      <c r="H2077" s="3">
        <v>96</v>
      </c>
      <c r="I2077" s="3">
        <f>ProductLine[[#This Row],[Units]]*ProductLine[[#This Row],[Dollars]]</f>
        <v>3744</v>
      </c>
    </row>
    <row r="2078" spans="1:9" x14ac:dyDescent="0.35">
      <c r="A2078">
        <v>2077</v>
      </c>
      <c r="B2078" t="s">
        <v>17</v>
      </c>
      <c r="C2078" s="2">
        <v>44681</v>
      </c>
      <c r="D2078">
        <f>YEAR(ProductLine[[#This Row],[Date]])</f>
        <v>2022</v>
      </c>
      <c r="E2078">
        <f>MONTH(ProductLine[[#This Row],[Date]])</f>
        <v>4</v>
      </c>
      <c r="F2078" t="s">
        <v>23</v>
      </c>
      <c r="G2078">
        <v>26</v>
      </c>
      <c r="H2078" s="3">
        <v>98.45</v>
      </c>
      <c r="I2078" s="3">
        <f>ProductLine[[#This Row],[Units]]*ProductLine[[#This Row],[Dollars]]</f>
        <v>2559.7000000000003</v>
      </c>
    </row>
    <row r="2079" spans="1:9" x14ac:dyDescent="0.35">
      <c r="A2079">
        <v>2078</v>
      </c>
      <c r="B2079" t="s">
        <v>17</v>
      </c>
      <c r="C2079" s="2">
        <v>44573</v>
      </c>
      <c r="D2079">
        <f>YEAR(ProductLine[[#This Row],[Date]])</f>
        <v>2022</v>
      </c>
      <c r="E2079">
        <f>MONTH(ProductLine[[#This Row],[Date]])</f>
        <v>1</v>
      </c>
      <c r="F2079" t="s">
        <v>24</v>
      </c>
      <c r="G2079">
        <v>30</v>
      </c>
      <c r="H2079" s="3">
        <v>86.5</v>
      </c>
      <c r="I2079" s="3">
        <f>ProductLine[[#This Row],[Units]]*ProductLine[[#This Row],[Dollars]]</f>
        <v>2595</v>
      </c>
    </row>
    <row r="2080" spans="1:9" x14ac:dyDescent="0.35">
      <c r="A2080">
        <v>2079</v>
      </c>
      <c r="B2080" t="s">
        <v>17</v>
      </c>
      <c r="C2080" s="2">
        <v>44824</v>
      </c>
      <c r="D2080">
        <f>YEAR(ProductLine[[#This Row],[Date]])</f>
        <v>2022</v>
      </c>
      <c r="E2080">
        <f>MONTH(ProductLine[[#This Row],[Date]])</f>
        <v>9</v>
      </c>
      <c r="F2080" t="s">
        <v>26</v>
      </c>
      <c r="G2080">
        <v>42</v>
      </c>
      <c r="H2080" s="3">
        <v>98</v>
      </c>
      <c r="I2080" s="3">
        <f>ProductLine[[#This Row],[Units]]*ProductLine[[#This Row],[Dollars]]</f>
        <v>4116</v>
      </c>
    </row>
    <row r="2081" spans="1:9" x14ac:dyDescent="0.35">
      <c r="A2081">
        <v>2080</v>
      </c>
      <c r="B2081" t="s">
        <v>13</v>
      </c>
      <c r="C2081" s="2">
        <v>44664</v>
      </c>
      <c r="D2081">
        <f>YEAR(ProductLine[[#This Row],[Date]])</f>
        <v>2022</v>
      </c>
      <c r="E2081">
        <f>MONTH(ProductLine[[#This Row],[Date]])</f>
        <v>4</v>
      </c>
      <c r="F2081" t="s">
        <v>27</v>
      </c>
      <c r="G2081">
        <v>14</v>
      </c>
      <c r="H2081" s="3">
        <v>99</v>
      </c>
      <c r="I2081" s="3">
        <f>ProductLine[[#This Row],[Units]]*ProductLine[[#This Row],[Dollars]]</f>
        <v>1386</v>
      </c>
    </row>
    <row r="2082" spans="1:9" x14ac:dyDescent="0.35">
      <c r="A2082">
        <v>2081</v>
      </c>
      <c r="B2082" t="s">
        <v>13</v>
      </c>
      <c r="C2082" s="2">
        <v>44818</v>
      </c>
      <c r="D2082">
        <f>YEAR(ProductLine[[#This Row],[Date]])</f>
        <v>2022</v>
      </c>
      <c r="E2082">
        <f>MONTH(ProductLine[[#This Row],[Date]])</f>
        <v>9</v>
      </c>
      <c r="F2082" t="s">
        <v>25</v>
      </c>
      <c r="G2082">
        <v>53</v>
      </c>
      <c r="H2082" s="3">
        <v>86</v>
      </c>
      <c r="I2082" s="3">
        <f>ProductLine[[#This Row],[Units]]*ProductLine[[#This Row],[Dollars]]</f>
        <v>4558</v>
      </c>
    </row>
    <row r="2083" spans="1:9" x14ac:dyDescent="0.35">
      <c r="A2083">
        <v>2082</v>
      </c>
      <c r="B2083" t="s">
        <v>13</v>
      </c>
      <c r="C2083" s="2">
        <v>44580</v>
      </c>
      <c r="D2083">
        <f>YEAR(ProductLine[[#This Row],[Date]])</f>
        <v>2022</v>
      </c>
      <c r="E2083">
        <f>MONTH(ProductLine[[#This Row],[Date]])</f>
        <v>1</v>
      </c>
      <c r="F2083" t="s">
        <v>23</v>
      </c>
      <c r="G2083">
        <v>23</v>
      </c>
      <c r="H2083" s="3">
        <v>89</v>
      </c>
      <c r="I2083" s="3">
        <f>ProductLine[[#This Row],[Units]]*ProductLine[[#This Row],[Dollars]]</f>
        <v>2047</v>
      </c>
    </row>
    <row r="2084" spans="1:9" x14ac:dyDescent="0.35">
      <c r="A2084">
        <v>2083</v>
      </c>
      <c r="B2084" t="s">
        <v>13</v>
      </c>
      <c r="C2084" s="2">
        <v>44916</v>
      </c>
      <c r="D2084">
        <f>YEAR(ProductLine[[#This Row],[Date]])</f>
        <v>2022</v>
      </c>
      <c r="E2084">
        <f>MONTH(ProductLine[[#This Row],[Date]])</f>
        <v>12</v>
      </c>
      <c r="F2084" t="s">
        <v>24</v>
      </c>
      <c r="G2084">
        <v>76</v>
      </c>
      <c r="H2084" s="3">
        <v>119.45</v>
      </c>
      <c r="I2084" s="3">
        <f>ProductLine[[#This Row],[Units]]*ProductLine[[#This Row],[Dollars]]</f>
        <v>9078.2000000000007</v>
      </c>
    </row>
    <row r="2085" spans="1:9" x14ac:dyDescent="0.35">
      <c r="A2085">
        <v>2084</v>
      </c>
      <c r="B2085" t="s">
        <v>13</v>
      </c>
      <c r="C2085" s="2">
        <v>44885</v>
      </c>
      <c r="D2085">
        <f>YEAR(ProductLine[[#This Row],[Date]])</f>
        <v>2022</v>
      </c>
      <c r="E2085">
        <f>MONTH(ProductLine[[#This Row],[Date]])</f>
        <v>11</v>
      </c>
      <c r="F2085" t="s">
        <v>26</v>
      </c>
      <c r="G2085">
        <v>62</v>
      </c>
      <c r="H2085" s="3">
        <v>98.45</v>
      </c>
      <c r="I2085" s="3">
        <f>ProductLine[[#This Row],[Units]]*ProductLine[[#This Row],[Dollars]]</f>
        <v>6103.9000000000005</v>
      </c>
    </row>
    <row r="2086" spans="1:9" x14ac:dyDescent="0.35">
      <c r="A2086">
        <v>2085</v>
      </c>
      <c r="B2086" t="s">
        <v>21</v>
      </c>
      <c r="C2086" s="2">
        <v>44633</v>
      </c>
      <c r="D2086">
        <f>YEAR(ProductLine[[#This Row],[Date]])</f>
        <v>2022</v>
      </c>
      <c r="E2086">
        <f>MONTH(ProductLine[[#This Row],[Date]])</f>
        <v>3</v>
      </c>
      <c r="F2086" t="s">
        <v>27</v>
      </c>
      <c r="G2086">
        <v>34</v>
      </c>
      <c r="H2086" s="3">
        <v>98</v>
      </c>
      <c r="I2086" s="3">
        <f>ProductLine[[#This Row],[Units]]*ProductLine[[#This Row],[Dollars]]</f>
        <v>3332</v>
      </c>
    </row>
    <row r="2087" spans="1:9" x14ac:dyDescent="0.35">
      <c r="A2087">
        <v>2086</v>
      </c>
      <c r="B2087" t="s">
        <v>21</v>
      </c>
      <c r="C2087" s="2">
        <v>44578</v>
      </c>
      <c r="D2087">
        <f>YEAR(ProductLine[[#This Row],[Date]])</f>
        <v>2022</v>
      </c>
      <c r="E2087">
        <f>MONTH(ProductLine[[#This Row],[Date]])</f>
        <v>1</v>
      </c>
      <c r="F2087" t="s">
        <v>25</v>
      </c>
      <c r="G2087">
        <v>42</v>
      </c>
      <c r="H2087" s="3">
        <v>99.95</v>
      </c>
      <c r="I2087" s="3">
        <f>ProductLine[[#This Row],[Units]]*ProductLine[[#This Row],[Dollars]]</f>
        <v>4197.9000000000005</v>
      </c>
    </row>
    <row r="2088" spans="1:9" x14ac:dyDescent="0.35">
      <c r="A2088">
        <v>2087</v>
      </c>
      <c r="B2088" t="s">
        <v>21</v>
      </c>
      <c r="C2088" s="2">
        <v>44894</v>
      </c>
      <c r="D2088">
        <f>YEAR(ProductLine[[#This Row],[Date]])</f>
        <v>2022</v>
      </c>
      <c r="E2088">
        <f>MONTH(ProductLine[[#This Row],[Date]])</f>
        <v>11</v>
      </c>
      <c r="F2088" t="s">
        <v>23</v>
      </c>
      <c r="G2088">
        <v>13</v>
      </c>
      <c r="H2088" s="3">
        <v>96</v>
      </c>
      <c r="I2088" s="3">
        <f>ProductLine[[#This Row],[Units]]*ProductLine[[#This Row],[Dollars]]</f>
        <v>1248</v>
      </c>
    </row>
    <row r="2089" spans="1:9" x14ac:dyDescent="0.35">
      <c r="A2089">
        <v>2088</v>
      </c>
      <c r="B2089" t="s">
        <v>21</v>
      </c>
      <c r="C2089" s="2">
        <v>44925</v>
      </c>
      <c r="D2089">
        <f>YEAR(ProductLine[[#This Row],[Date]])</f>
        <v>2022</v>
      </c>
      <c r="E2089">
        <f>MONTH(ProductLine[[#This Row],[Date]])</f>
        <v>12</v>
      </c>
      <c r="F2089" t="s">
        <v>24</v>
      </c>
      <c r="G2089">
        <v>29</v>
      </c>
      <c r="H2089" s="3">
        <v>89.45</v>
      </c>
      <c r="I2089" s="3">
        <f>ProductLine[[#This Row],[Units]]*ProductLine[[#This Row],[Dollars]]</f>
        <v>2594.0500000000002</v>
      </c>
    </row>
    <row r="2090" spans="1:9" x14ac:dyDescent="0.35">
      <c r="A2090">
        <v>2089</v>
      </c>
      <c r="B2090" t="s">
        <v>21</v>
      </c>
      <c r="C2090" s="2">
        <v>44893</v>
      </c>
      <c r="D2090">
        <f>YEAR(ProductLine[[#This Row],[Date]])</f>
        <v>2022</v>
      </c>
      <c r="E2090">
        <f>MONTH(ProductLine[[#This Row],[Date]])</f>
        <v>11</v>
      </c>
      <c r="F2090" t="s">
        <v>26</v>
      </c>
      <c r="G2090">
        <v>26</v>
      </c>
      <c r="H2090" s="3">
        <v>88.25</v>
      </c>
      <c r="I2090" s="3">
        <f>ProductLine[[#This Row],[Units]]*ProductLine[[#This Row],[Dollars]]</f>
        <v>2294.5</v>
      </c>
    </row>
    <row r="2091" spans="1:9" x14ac:dyDescent="0.35">
      <c r="A2091">
        <v>2090</v>
      </c>
      <c r="B2091" t="s">
        <v>18</v>
      </c>
      <c r="C2091" s="2">
        <v>44823</v>
      </c>
      <c r="D2091">
        <f>YEAR(ProductLine[[#This Row],[Date]])</f>
        <v>2022</v>
      </c>
      <c r="E2091">
        <f>MONTH(ProductLine[[#This Row],[Date]])</f>
        <v>9</v>
      </c>
      <c r="F2091" t="s">
        <v>27</v>
      </c>
      <c r="G2091">
        <v>36</v>
      </c>
      <c r="H2091" s="3">
        <v>98.99</v>
      </c>
      <c r="I2091" s="3">
        <f>ProductLine[[#This Row],[Units]]*ProductLine[[#This Row],[Dollars]]</f>
        <v>3563.64</v>
      </c>
    </row>
    <row r="2092" spans="1:9" x14ac:dyDescent="0.35">
      <c r="A2092">
        <v>2091</v>
      </c>
      <c r="B2092" t="s">
        <v>18</v>
      </c>
      <c r="C2092" s="2">
        <v>44676</v>
      </c>
      <c r="D2092">
        <f>YEAR(ProductLine[[#This Row],[Date]])</f>
        <v>2022</v>
      </c>
      <c r="E2092">
        <f>MONTH(ProductLine[[#This Row],[Date]])</f>
        <v>4</v>
      </c>
      <c r="F2092" t="s">
        <v>25</v>
      </c>
      <c r="G2092">
        <v>29</v>
      </c>
      <c r="H2092" s="3">
        <v>99.45</v>
      </c>
      <c r="I2092" s="3">
        <f>ProductLine[[#This Row],[Units]]*ProductLine[[#This Row],[Dollars]]</f>
        <v>2884.05</v>
      </c>
    </row>
    <row r="2093" spans="1:9" x14ac:dyDescent="0.35">
      <c r="A2093">
        <v>2092</v>
      </c>
      <c r="B2093" t="s">
        <v>18</v>
      </c>
      <c r="C2093" s="2">
        <v>44582</v>
      </c>
      <c r="D2093">
        <f>YEAR(ProductLine[[#This Row],[Date]])</f>
        <v>2022</v>
      </c>
      <c r="E2093">
        <f>MONTH(ProductLine[[#This Row],[Date]])</f>
        <v>1</v>
      </c>
      <c r="F2093" t="s">
        <v>23</v>
      </c>
      <c r="G2093">
        <v>40</v>
      </c>
      <c r="H2093" s="3">
        <v>96.99</v>
      </c>
      <c r="I2093" s="3">
        <f>ProductLine[[#This Row],[Units]]*ProductLine[[#This Row],[Dollars]]</f>
        <v>3879.6</v>
      </c>
    </row>
    <row r="2094" spans="1:9" x14ac:dyDescent="0.35">
      <c r="A2094">
        <v>2093</v>
      </c>
      <c r="B2094" t="s">
        <v>18</v>
      </c>
      <c r="C2094" s="2">
        <v>44572</v>
      </c>
      <c r="D2094">
        <f>YEAR(ProductLine[[#This Row],[Date]])</f>
        <v>2022</v>
      </c>
      <c r="E2094">
        <f>MONTH(ProductLine[[#This Row],[Date]])</f>
        <v>1</v>
      </c>
      <c r="F2094" t="s">
        <v>24</v>
      </c>
      <c r="G2094">
        <v>38</v>
      </c>
      <c r="H2094" s="3">
        <v>101.99</v>
      </c>
      <c r="I2094" s="3">
        <f>ProductLine[[#This Row],[Units]]*ProductLine[[#This Row],[Dollars]]</f>
        <v>3875.62</v>
      </c>
    </row>
    <row r="2095" spans="1:9" x14ac:dyDescent="0.35">
      <c r="A2095">
        <v>2094</v>
      </c>
      <c r="B2095" t="s">
        <v>18</v>
      </c>
      <c r="C2095" s="2">
        <v>44770</v>
      </c>
      <c r="D2095">
        <f>YEAR(ProductLine[[#This Row],[Date]])</f>
        <v>2022</v>
      </c>
      <c r="E2095">
        <f>MONTH(ProductLine[[#This Row],[Date]])</f>
        <v>7</v>
      </c>
      <c r="F2095" t="s">
        <v>26</v>
      </c>
      <c r="G2095">
        <v>56</v>
      </c>
      <c r="H2095" s="3">
        <v>102.99</v>
      </c>
      <c r="I2095" s="3">
        <f>ProductLine[[#This Row],[Units]]*ProductLine[[#This Row],[Dollars]]</f>
        <v>5767.44</v>
      </c>
    </row>
    <row r="2096" spans="1:9" x14ac:dyDescent="0.35">
      <c r="A2096">
        <v>2095</v>
      </c>
      <c r="B2096" t="s">
        <v>11</v>
      </c>
      <c r="C2096" s="2">
        <v>44729</v>
      </c>
      <c r="D2096">
        <f>YEAR(ProductLine[[#This Row],[Date]])</f>
        <v>2022</v>
      </c>
      <c r="E2096">
        <f>MONTH(ProductLine[[#This Row],[Date]])</f>
        <v>6</v>
      </c>
      <c r="F2096" t="s">
        <v>27</v>
      </c>
      <c r="G2096">
        <v>16</v>
      </c>
      <c r="H2096" s="3">
        <v>106</v>
      </c>
      <c r="I2096" s="3">
        <f>ProductLine[[#This Row],[Units]]*ProductLine[[#This Row],[Dollars]]</f>
        <v>1696</v>
      </c>
    </row>
    <row r="2097" spans="1:9" x14ac:dyDescent="0.35">
      <c r="A2097">
        <v>2096</v>
      </c>
      <c r="B2097" t="s">
        <v>11</v>
      </c>
      <c r="C2097" s="2">
        <v>44822</v>
      </c>
      <c r="D2097">
        <f>YEAR(ProductLine[[#This Row],[Date]])</f>
        <v>2022</v>
      </c>
      <c r="E2097">
        <f>MONTH(ProductLine[[#This Row],[Date]])</f>
        <v>9</v>
      </c>
      <c r="F2097" t="s">
        <v>25</v>
      </c>
      <c r="G2097">
        <v>23</v>
      </c>
      <c r="H2097" s="3">
        <v>100</v>
      </c>
      <c r="I2097" s="3">
        <f>ProductLine[[#This Row],[Units]]*ProductLine[[#This Row],[Dollars]]</f>
        <v>2300</v>
      </c>
    </row>
    <row r="2098" spans="1:9" x14ac:dyDescent="0.35">
      <c r="A2098">
        <v>2097</v>
      </c>
      <c r="B2098" t="s">
        <v>11</v>
      </c>
      <c r="C2098" s="2">
        <v>44584</v>
      </c>
      <c r="D2098">
        <f>YEAR(ProductLine[[#This Row],[Date]])</f>
        <v>2022</v>
      </c>
      <c r="E2098">
        <f>MONTH(ProductLine[[#This Row],[Date]])</f>
        <v>1</v>
      </c>
      <c r="F2098" t="s">
        <v>23</v>
      </c>
      <c r="G2098">
        <v>22</v>
      </c>
      <c r="H2098" s="3">
        <v>102</v>
      </c>
      <c r="I2098" s="3">
        <f>ProductLine[[#This Row],[Units]]*ProductLine[[#This Row],[Dollars]]</f>
        <v>2244</v>
      </c>
    </row>
    <row r="2099" spans="1:9" x14ac:dyDescent="0.35">
      <c r="A2099">
        <v>2098</v>
      </c>
      <c r="B2099" t="s">
        <v>11</v>
      </c>
      <c r="C2099" s="2">
        <v>44815</v>
      </c>
      <c r="D2099">
        <f>YEAR(ProductLine[[#This Row],[Date]])</f>
        <v>2022</v>
      </c>
      <c r="E2099">
        <f>MONTH(ProductLine[[#This Row],[Date]])</f>
        <v>9</v>
      </c>
      <c r="F2099" t="s">
        <v>24</v>
      </c>
      <c r="G2099">
        <v>27</v>
      </c>
      <c r="H2099" s="3">
        <v>96</v>
      </c>
      <c r="I2099" s="3">
        <f>ProductLine[[#This Row],[Units]]*ProductLine[[#This Row],[Dollars]]</f>
        <v>2592</v>
      </c>
    </row>
    <row r="2100" spans="1:9" x14ac:dyDescent="0.35">
      <c r="A2100">
        <v>2099</v>
      </c>
      <c r="B2100" t="s">
        <v>11</v>
      </c>
      <c r="C2100" s="2">
        <v>44891</v>
      </c>
      <c r="D2100">
        <f>YEAR(ProductLine[[#This Row],[Date]])</f>
        <v>2022</v>
      </c>
      <c r="E2100">
        <f>MONTH(ProductLine[[#This Row],[Date]])</f>
        <v>11</v>
      </c>
      <c r="F2100" t="s">
        <v>26</v>
      </c>
      <c r="G2100">
        <v>18</v>
      </c>
      <c r="H2100" s="3">
        <v>102</v>
      </c>
      <c r="I2100" s="3">
        <f>ProductLine[[#This Row],[Units]]*ProductLine[[#This Row],[Dollars]]</f>
        <v>1836</v>
      </c>
    </row>
    <row r="2101" spans="1:9" x14ac:dyDescent="0.35">
      <c r="A2101">
        <v>2100</v>
      </c>
      <c r="B2101" t="s">
        <v>9</v>
      </c>
      <c r="C2101" s="2">
        <v>44859</v>
      </c>
      <c r="D2101">
        <f>YEAR(ProductLine[[#This Row],[Date]])</f>
        <v>2022</v>
      </c>
      <c r="E2101">
        <f>MONTH(ProductLine[[#This Row],[Date]])</f>
        <v>10</v>
      </c>
      <c r="F2101" t="s">
        <v>27</v>
      </c>
      <c r="G2101">
        <v>36</v>
      </c>
      <c r="H2101" s="3">
        <v>103</v>
      </c>
      <c r="I2101" s="3">
        <f>ProductLine[[#This Row],[Units]]*ProductLine[[#This Row],[Dollars]]</f>
        <v>3708</v>
      </c>
    </row>
    <row r="2102" spans="1:9" x14ac:dyDescent="0.35">
      <c r="A2102">
        <v>2101</v>
      </c>
      <c r="B2102" t="s">
        <v>9</v>
      </c>
      <c r="C2102" s="2">
        <v>44889</v>
      </c>
      <c r="D2102">
        <f>YEAR(ProductLine[[#This Row],[Date]])</f>
        <v>2022</v>
      </c>
      <c r="E2102">
        <f>MONTH(ProductLine[[#This Row],[Date]])</f>
        <v>11</v>
      </c>
      <c r="F2102" t="s">
        <v>25</v>
      </c>
      <c r="G2102">
        <v>12</v>
      </c>
      <c r="H2102" s="3">
        <v>105</v>
      </c>
      <c r="I2102" s="3">
        <f>ProductLine[[#This Row],[Units]]*ProductLine[[#This Row],[Dollars]]</f>
        <v>1260</v>
      </c>
    </row>
    <row r="2103" spans="1:9" x14ac:dyDescent="0.35">
      <c r="A2103">
        <v>2102</v>
      </c>
      <c r="B2103" t="s">
        <v>9</v>
      </c>
      <c r="C2103" s="2">
        <v>44908</v>
      </c>
      <c r="D2103">
        <f>YEAR(ProductLine[[#This Row],[Date]])</f>
        <v>2022</v>
      </c>
      <c r="E2103">
        <f>MONTH(ProductLine[[#This Row],[Date]])</f>
        <v>12</v>
      </c>
      <c r="F2103" t="s">
        <v>23</v>
      </c>
      <c r="G2103">
        <v>28</v>
      </c>
      <c r="H2103" s="3">
        <v>102</v>
      </c>
      <c r="I2103" s="3">
        <f>ProductLine[[#This Row],[Units]]*ProductLine[[#This Row],[Dollars]]</f>
        <v>2856</v>
      </c>
    </row>
    <row r="2104" spans="1:9" x14ac:dyDescent="0.35">
      <c r="A2104">
        <v>2103</v>
      </c>
      <c r="B2104" t="s">
        <v>9</v>
      </c>
      <c r="C2104" s="2">
        <v>44853</v>
      </c>
      <c r="D2104">
        <f>YEAR(ProductLine[[#This Row],[Date]])</f>
        <v>2022</v>
      </c>
      <c r="E2104">
        <f>MONTH(ProductLine[[#This Row],[Date]])</f>
        <v>10</v>
      </c>
      <c r="F2104" t="s">
        <v>24</v>
      </c>
      <c r="G2104">
        <v>23</v>
      </c>
      <c r="H2104" s="3">
        <v>105</v>
      </c>
      <c r="I2104" s="3">
        <f>ProductLine[[#This Row],[Units]]*ProductLine[[#This Row],[Dollars]]</f>
        <v>2415</v>
      </c>
    </row>
    <row r="2105" spans="1:9" x14ac:dyDescent="0.35">
      <c r="A2105">
        <v>2104</v>
      </c>
      <c r="B2105" t="s">
        <v>9</v>
      </c>
      <c r="C2105" s="2">
        <v>44886</v>
      </c>
      <c r="D2105">
        <f>YEAR(ProductLine[[#This Row],[Date]])</f>
        <v>2022</v>
      </c>
      <c r="E2105">
        <f>MONTH(ProductLine[[#This Row],[Date]])</f>
        <v>11</v>
      </c>
      <c r="F2105" t="s">
        <v>26</v>
      </c>
      <c r="G2105">
        <v>17</v>
      </c>
      <c r="H2105" s="3">
        <v>96</v>
      </c>
      <c r="I2105" s="3">
        <f>ProductLine[[#This Row],[Units]]*ProductLine[[#This Row],[Dollars]]</f>
        <v>1632</v>
      </c>
    </row>
    <row r="2106" spans="1:9" x14ac:dyDescent="0.35">
      <c r="A2106">
        <v>2105</v>
      </c>
      <c r="B2106" t="s">
        <v>17</v>
      </c>
      <c r="C2106" s="2">
        <v>44729</v>
      </c>
      <c r="D2106">
        <f>YEAR(ProductLine[[#This Row],[Date]])</f>
        <v>2022</v>
      </c>
      <c r="E2106">
        <f>MONTH(ProductLine[[#This Row],[Date]])</f>
        <v>6</v>
      </c>
      <c r="F2106" t="s">
        <v>27</v>
      </c>
      <c r="G2106">
        <v>21</v>
      </c>
      <c r="H2106" s="3">
        <v>108</v>
      </c>
      <c r="I2106" s="3">
        <f>ProductLine[[#This Row],[Units]]*ProductLine[[#This Row],[Dollars]]</f>
        <v>2268</v>
      </c>
    </row>
    <row r="2107" spans="1:9" x14ac:dyDescent="0.35">
      <c r="A2107">
        <v>2106</v>
      </c>
      <c r="B2107" t="s">
        <v>17</v>
      </c>
      <c r="C2107" s="2">
        <v>44710</v>
      </c>
      <c r="D2107">
        <f>YEAR(ProductLine[[#This Row],[Date]])</f>
        <v>2022</v>
      </c>
      <c r="E2107">
        <f>MONTH(ProductLine[[#This Row],[Date]])</f>
        <v>5</v>
      </c>
      <c r="F2107" t="s">
        <v>25</v>
      </c>
      <c r="G2107">
        <v>13</v>
      </c>
      <c r="H2107" s="3">
        <v>107</v>
      </c>
      <c r="I2107" s="3">
        <f>ProductLine[[#This Row],[Units]]*ProductLine[[#This Row],[Dollars]]</f>
        <v>1391</v>
      </c>
    </row>
    <row r="2108" spans="1:9" x14ac:dyDescent="0.35">
      <c r="A2108">
        <v>2107</v>
      </c>
      <c r="B2108" t="s">
        <v>17</v>
      </c>
      <c r="C2108" s="2">
        <v>44602</v>
      </c>
      <c r="D2108">
        <f>YEAR(ProductLine[[#This Row],[Date]])</f>
        <v>2022</v>
      </c>
      <c r="E2108">
        <f>MONTH(ProductLine[[#This Row],[Date]])</f>
        <v>2</v>
      </c>
      <c r="F2108" t="s">
        <v>23</v>
      </c>
      <c r="G2108">
        <v>26</v>
      </c>
      <c r="H2108" s="3">
        <v>103</v>
      </c>
      <c r="I2108" s="3">
        <f>ProductLine[[#This Row],[Units]]*ProductLine[[#This Row],[Dollars]]</f>
        <v>2678</v>
      </c>
    </row>
    <row r="2109" spans="1:9" x14ac:dyDescent="0.35">
      <c r="A2109">
        <v>2108</v>
      </c>
      <c r="B2109" t="s">
        <v>17</v>
      </c>
      <c r="C2109" s="2">
        <v>44669</v>
      </c>
      <c r="D2109">
        <f>YEAR(ProductLine[[#This Row],[Date]])</f>
        <v>2022</v>
      </c>
      <c r="E2109">
        <f>MONTH(ProductLine[[#This Row],[Date]])</f>
        <v>4</v>
      </c>
      <c r="F2109" t="s">
        <v>24</v>
      </c>
      <c r="G2109">
        <v>17</v>
      </c>
      <c r="H2109" s="3">
        <v>101</v>
      </c>
      <c r="I2109" s="3">
        <f>ProductLine[[#This Row],[Units]]*ProductLine[[#This Row],[Dollars]]</f>
        <v>1717</v>
      </c>
    </row>
    <row r="2110" spans="1:9" x14ac:dyDescent="0.35">
      <c r="A2110">
        <v>2109</v>
      </c>
      <c r="B2110" t="s">
        <v>17</v>
      </c>
      <c r="C2110" s="2">
        <v>44580</v>
      </c>
      <c r="D2110">
        <f>YEAR(ProductLine[[#This Row],[Date]])</f>
        <v>2022</v>
      </c>
      <c r="E2110">
        <f>MONTH(ProductLine[[#This Row],[Date]])</f>
        <v>1</v>
      </c>
      <c r="F2110" t="s">
        <v>26</v>
      </c>
      <c r="G2110">
        <v>17</v>
      </c>
      <c r="H2110" s="3">
        <v>101</v>
      </c>
      <c r="I2110" s="3">
        <f>ProductLine[[#This Row],[Units]]*ProductLine[[#This Row],[Dollars]]</f>
        <v>1717</v>
      </c>
    </row>
    <row r="2111" spans="1:9" x14ac:dyDescent="0.35">
      <c r="A2111">
        <v>2110</v>
      </c>
      <c r="B2111" t="s">
        <v>13</v>
      </c>
      <c r="C2111" s="2">
        <v>44649</v>
      </c>
      <c r="D2111">
        <f>YEAR(ProductLine[[#This Row],[Date]])</f>
        <v>2022</v>
      </c>
      <c r="E2111">
        <f>MONTH(ProductLine[[#This Row],[Date]])</f>
        <v>3</v>
      </c>
      <c r="F2111" t="s">
        <v>27</v>
      </c>
      <c r="G2111">
        <v>36</v>
      </c>
      <c r="H2111" s="3">
        <v>104</v>
      </c>
      <c r="I2111" s="3">
        <f>ProductLine[[#This Row],[Units]]*ProductLine[[#This Row],[Dollars]]</f>
        <v>3744</v>
      </c>
    </row>
    <row r="2112" spans="1:9" x14ac:dyDescent="0.35">
      <c r="A2112">
        <v>2111</v>
      </c>
      <c r="B2112" t="s">
        <v>13</v>
      </c>
      <c r="C2112" s="2">
        <v>44740</v>
      </c>
      <c r="D2112">
        <f>YEAR(ProductLine[[#This Row],[Date]])</f>
        <v>2022</v>
      </c>
      <c r="E2112">
        <f>MONTH(ProductLine[[#This Row],[Date]])</f>
        <v>6</v>
      </c>
      <c r="F2112" t="s">
        <v>25</v>
      </c>
      <c r="G2112">
        <v>25</v>
      </c>
      <c r="H2112" s="3">
        <v>101</v>
      </c>
      <c r="I2112" s="3">
        <f>ProductLine[[#This Row],[Units]]*ProductLine[[#This Row],[Dollars]]</f>
        <v>2525</v>
      </c>
    </row>
    <row r="2113" spans="1:9" x14ac:dyDescent="0.35">
      <c r="A2113">
        <v>2112</v>
      </c>
      <c r="B2113" t="s">
        <v>13</v>
      </c>
      <c r="C2113" s="2">
        <v>44699</v>
      </c>
      <c r="D2113">
        <f>YEAR(ProductLine[[#This Row],[Date]])</f>
        <v>2022</v>
      </c>
      <c r="E2113">
        <f>MONTH(ProductLine[[#This Row],[Date]])</f>
        <v>5</v>
      </c>
      <c r="F2113" t="s">
        <v>23</v>
      </c>
      <c r="G2113">
        <v>16</v>
      </c>
      <c r="H2113" s="3">
        <v>109</v>
      </c>
      <c r="I2113" s="3">
        <f>ProductLine[[#This Row],[Units]]*ProductLine[[#This Row],[Dollars]]</f>
        <v>1744</v>
      </c>
    </row>
    <row r="2114" spans="1:9" x14ac:dyDescent="0.35">
      <c r="A2114">
        <v>2113</v>
      </c>
      <c r="B2114" t="s">
        <v>13</v>
      </c>
      <c r="C2114" s="2">
        <v>44823</v>
      </c>
      <c r="D2114">
        <f>YEAR(ProductLine[[#This Row],[Date]])</f>
        <v>2022</v>
      </c>
      <c r="E2114">
        <f>MONTH(ProductLine[[#This Row],[Date]])</f>
        <v>9</v>
      </c>
      <c r="F2114" t="s">
        <v>24</v>
      </c>
      <c r="G2114">
        <v>29</v>
      </c>
      <c r="H2114" s="3">
        <v>109</v>
      </c>
      <c r="I2114" s="3">
        <f>ProductLine[[#This Row],[Units]]*ProductLine[[#This Row],[Dollars]]</f>
        <v>3161</v>
      </c>
    </row>
    <row r="2115" spans="1:9" x14ac:dyDescent="0.35">
      <c r="A2115">
        <v>2114</v>
      </c>
      <c r="B2115" t="s">
        <v>13</v>
      </c>
      <c r="C2115" s="2">
        <v>44857</v>
      </c>
      <c r="D2115">
        <f>YEAR(ProductLine[[#This Row],[Date]])</f>
        <v>2022</v>
      </c>
      <c r="E2115">
        <f>MONTH(ProductLine[[#This Row],[Date]])</f>
        <v>10</v>
      </c>
      <c r="F2115" t="s">
        <v>26</v>
      </c>
      <c r="G2115">
        <v>27</v>
      </c>
      <c r="H2115" s="3">
        <v>100</v>
      </c>
      <c r="I2115" s="3">
        <f>ProductLine[[#This Row],[Units]]*ProductLine[[#This Row],[Dollars]]</f>
        <v>2700</v>
      </c>
    </row>
    <row r="2116" spans="1:9" x14ac:dyDescent="0.35">
      <c r="A2116">
        <v>2115</v>
      </c>
      <c r="B2116" t="s">
        <v>21</v>
      </c>
      <c r="C2116" s="2">
        <v>44705</v>
      </c>
      <c r="D2116">
        <f>YEAR(ProductLine[[#This Row],[Date]])</f>
        <v>2022</v>
      </c>
      <c r="E2116">
        <f>MONTH(ProductLine[[#This Row],[Date]])</f>
        <v>5</v>
      </c>
      <c r="F2116" t="s">
        <v>27</v>
      </c>
      <c r="G2116">
        <v>39</v>
      </c>
      <c r="H2116" s="3">
        <v>97</v>
      </c>
      <c r="I2116" s="3">
        <f>ProductLine[[#This Row],[Units]]*ProductLine[[#This Row],[Dollars]]</f>
        <v>3783</v>
      </c>
    </row>
    <row r="2117" spans="1:9" x14ac:dyDescent="0.35">
      <c r="A2117">
        <v>2116</v>
      </c>
      <c r="B2117" t="s">
        <v>21</v>
      </c>
      <c r="C2117" s="2">
        <v>44861</v>
      </c>
      <c r="D2117">
        <f>YEAR(ProductLine[[#This Row],[Date]])</f>
        <v>2022</v>
      </c>
      <c r="E2117">
        <f>MONTH(ProductLine[[#This Row],[Date]])</f>
        <v>10</v>
      </c>
      <c r="F2117" t="s">
        <v>25</v>
      </c>
      <c r="G2117">
        <v>14</v>
      </c>
      <c r="H2117" s="3">
        <v>100</v>
      </c>
      <c r="I2117" s="3">
        <f>ProductLine[[#This Row],[Units]]*ProductLine[[#This Row],[Dollars]]</f>
        <v>1400</v>
      </c>
    </row>
    <row r="2118" spans="1:9" x14ac:dyDescent="0.35">
      <c r="A2118">
        <v>2117</v>
      </c>
      <c r="B2118" t="s">
        <v>21</v>
      </c>
      <c r="C2118" s="2">
        <v>44590</v>
      </c>
      <c r="D2118">
        <f>YEAR(ProductLine[[#This Row],[Date]])</f>
        <v>2022</v>
      </c>
      <c r="E2118">
        <f>MONTH(ProductLine[[#This Row],[Date]])</f>
        <v>1</v>
      </c>
      <c r="F2118" t="s">
        <v>23</v>
      </c>
      <c r="G2118">
        <v>10</v>
      </c>
      <c r="H2118" s="3">
        <v>99</v>
      </c>
      <c r="I2118" s="3">
        <f>ProductLine[[#This Row],[Units]]*ProductLine[[#This Row],[Dollars]]</f>
        <v>990</v>
      </c>
    </row>
    <row r="2119" spans="1:9" x14ac:dyDescent="0.35">
      <c r="A2119">
        <v>2118</v>
      </c>
      <c r="B2119" t="s">
        <v>21</v>
      </c>
      <c r="C2119" s="2">
        <v>44606</v>
      </c>
      <c r="D2119">
        <f>YEAR(ProductLine[[#This Row],[Date]])</f>
        <v>2022</v>
      </c>
      <c r="E2119">
        <f>MONTH(ProductLine[[#This Row],[Date]])</f>
        <v>2</v>
      </c>
      <c r="F2119" t="s">
        <v>24</v>
      </c>
      <c r="G2119">
        <v>38</v>
      </c>
      <c r="H2119" s="3">
        <v>103</v>
      </c>
      <c r="I2119" s="3">
        <f>ProductLine[[#This Row],[Units]]*ProductLine[[#This Row],[Dollars]]</f>
        <v>3914</v>
      </c>
    </row>
    <row r="2120" spans="1:9" x14ac:dyDescent="0.35">
      <c r="A2120">
        <v>2119</v>
      </c>
      <c r="B2120" t="s">
        <v>21</v>
      </c>
      <c r="C2120" s="2">
        <v>44860</v>
      </c>
      <c r="D2120">
        <f>YEAR(ProductLine[[#This Row],[Date]])</f>
        <v>2022</v>
      </c>
      <c r="E2120">
        <f>MONTH(ProductLine[[#This Row],[Date]])</f>
        <v>10</v>
      </c>
      <c r="F2120" t="s">
        <v>26</v>
      </c>
      <c r="G2120">
        <v>34</v>
      </c>
      <c r="H2120" s="3">
        <v>109</v>
      </c>
      <c r="I2120" s="3">
        <f>ProductLine[[#This Row],[Units]]*ProductLine[[#This Row],[Dollars]]</f>
        <v>3706</v>
      </c>
    </row>
    <row r="2121" spans="1:9" x14ac:dyDescent="0.35">
      <c r="A2121">
        <v>2120</v>
      </c>
      <c r="B2121" t="s">
        <v>18</v>
      </c>
      <c r="C2121" s="2">
        <v>44680</v>
      </c>
      <c r="D2121">
        <f>YEAR(ProductLine[[#This Row],[Date]])</f>
        <v>2022</v>
      </c>
      <c r="E2121">
        <f>MONTH(ProductLine[[#This Row],[Date]])</f>
        <v>4</v>
      </c>
      <c r="F2121" t="s">
        <v>27</v>
      </c>
      <c r="G2121">
        <v>28</v>
      </c>
      <c r="H2121" s="3">
        <v>101</v>
      </c>
      <c r="I2121" s="3">
        <f>ProductLine[[#This Row],[Units]]*ProductLine[[#This Row],[Dollars]]</f>
        <v>2828</v>
      </c>
    </row>
    <row r="2122" spans="1:9" x14ac:dyDescent="0.35">
      <c r="A2122">
        <v>2121</v>
      </c>
      <c r="B2122" t="s">
        <v>18</v>
      </c>
      <c r="C2122" s="2">
        <v>44701</v>
      </c>
      <c r="D2122">
        <f>YEAR(ProductLine[[#This Row],[Date]])</f>
        <v>2022</v>
      </c>
      <c r="E2122">
        <f>MONTH(ProductLine[[#This Row],[Date]])</f>
        <v>5</v>
      </c>
      <c r="F2122" t="s">
        <v>25</v>
      </c>
      <c r="G2122">
        <v>21</v>
      </c>
      <c r="H2122" s="3">
        <v>96</v>
      </c>
      <c r="I2122" s="3">
        <f>ProductLine[[#This Row],[Units]]*ProductLine[[#This Row],[Dollars]]</f>
        <v>2016</v>
      </c>
    </row>
    <row r="2123" spans="1:9" x14ac:dyDescent="0.35">
      <c r="A2123">
        <v>2122</v>
      </c>
      <c r="B2123" t="s">
        <v>18</v>
      </c>
      <c r="C2123" s="2">
        <v>44711</v>
      </c>
      <c r="D2123">
        <f>YEAR(ProductLine[[#This Row],[Date]])</f>
        <v>2022</v>
      </c>
      <c r="E2123">
        <f>MONTH(ProductLine[[#This Row],[Date]])</f>
        <v>5</v>
      </c>
      <c r="F2123" t="s">
        <v>23</v>
      </c>
      <c r="G2123">
        <v>16</v>
      </c>
      <c r="H2123" s="3">
        <v>109</v>
      </c>
      <c r="I2123" s="3">
        <f>ProductLine[[#This Row],[Units]]*ProductLine[[#This Row],[Dollars]]</f>
        <v>1744</v>
      </c>
    </row>
    <row r="2124" spans="1:9" x14ac:dyDescent="0.35">
      <c r="A2124">
        <v>2123</v>
      </c>
      <c r="B2124" t="s">
        <v>18</v>
      </c>
      <c r="C2124" s="2">
        <v>44592</v>
      </c>
      <c r="D2124">
        <f>YEAR(ProductLine[[#This Row],[Date]])</f>
        <v>2022</v>
      </c>
      <c r="E2124">
        <f>MONTH(ProductLine[[#This Row],[Date]])</f>
        <v>1</v>
      </c>
      <c r="F2124" t="s">
        <v>24</v>
      </c>
      <c r="G2124">
        <v>29</v>
      </c>
      <c r="H2124" s="3">
        <v>97</v>
      </c>
      <c r="I2124" s="3">
        <f>ProductLine[[#This Row],[Units]]*ProductLine[[#This Row],[Dollars]]</f>
        <v>2813</v>
      </c>
    </row>
    <row r="2125" spans="1:9" x14ac:dyDescent="0.35">
      <c r="A2125">
        <v>2124</v>
      </c>
      <c r="B2125" t="s">
        <v>18</v>
      </c>
      <c r="C2125" s="2">
        <v>44604</v>
      </c>
      <c r="D2125">
        <f>YEAR(ProductLine[[#This Row],[Date]])</f>
        <v>2022</v>
      </c>
      <c r="E2125">
        <f>MONTH(ProductLine[[#This Row],[Date]])</f>
        <v>2</v>
      </c>
      <c r="F2125" t="s">
        <v>26</v>
      </c>
      <c r="G2125">
        <v>10</v>
      </c>
      <c r="H2125" s="3">
        <v>102</v>
      </c>
      <c r="I2125" s="3">
        <f>ProductLine[[#This Row],[Units]]*ProductLine[[#This Row],[Dollars]]</f>
        <v>1020</v>
      </c>
    </row>
    <row r="2126" spans="1:9" x14ac:dyDescent="0.35">
      <c r="A2126">
        <v>2125</v>
      </c>
      <c r="B2126" t="s">
        <v>22</v>
      </c>
      <c r="C2126" s="2">
        <v>43853</v>
      </c>
      <c r="D2126">
        <f>YEAR(ProductLine[[#This Row],[Date]])</f>
        <v>2020</v>
      </c>
      <c r="E2126">
        <f>MONTH(ProductLine[[#This Row],[Date]])</f>
        <v>1</v>
      </c>
      <c r="F2126" t="s">
        <v>23</v>
      </c>
      <c r="G2126">
        <v>4</v>
      </c>
      <c r="H2126" s="3">
        <v>114.99</v>
      </c>
      <c r="I2126" s="3">
        <f>ProductLine[[#This Row],[Units]]*ProductLine[[#This Row],[Dollars]]</f>
        <v>459.96</v>
      </c>
    </row>
    <row r="2127" spans="1:9" x14ac:dyDescent="0.35">
      <c r="A2127">
        <v>2126</v>
      </c>
      <c r="B2127" t="s">
        <v>13</v>
      </c>
      <c r="C2127" s="2">
        <v>43831</v>
      </c>
      <c r="D2127">
        <f>YEAR(ProductLine[[#This Row],[Date]])</f>
        <v>2020</v>
      </c>
      <c r="E2127">
        <f>MONTH(ProductLine[[#This Row],[Date]])</f>
        <v>1</v>
      </c>
      <c r="F2127" t="s">
        <v>23</v>
      </c>
      <c r="G2127">
        <v>19</v>
      </c>
      <c r="H2127" s="3">
        <v>89.49</v>
      </c>
      <c r="I2127" s="3">
        <f>ProductLine[[#This Row],[Units]]*ProductLine[[#This Row],[Dollars]]</f>
        <v>1700.31</v>
      </c>
    </row>
    <row r="2128" spans="1:9" x14ac:dyDescent="0.35">
      <c r="A2128">
        <v>2127</v>
      </c>
      <c r="B2128" t="s">
        <v>14</v>
      </c>
      <c r="C2128" s="2">
        <v>43847</v>
      </c>
      <c r="D2128">
        <f>YEAR(ProductLine[[#This Row],[Date]])</f>
        <v>2020</v>
      </c>
      <c r="E2128">
        <f>MONTH(ProductLine[[#This Row],[Date]])</f>
        <v>1</v>
      </c>
      <c r="F2128" t="s">
        <v>27</v>
      </c>
      <c r="G2128">
        <v>18</v>
      </c>
      <c r="H2128" s="3">
        <v>133.99</v>
      </c>
      <c r="I2128" s="3">
        <f>ProductLine[[#This Row],[Units]]*ProductLine[[#This Row],[Dollars]]</f>
        <v>2411.8200000000002</v>
      </c>
    </row>
    <row r="2129" spans="1:9" x14ac:dyDescent="0.35">
      <c r="A2129">
        <v>2128</v>
      </c>
      <c r="B2129" t="s">
        <v>19</v>
      </c>
      <c r="C2129" s="2">
        <v>43835</v>
      </c>
      <c r="D2129">
        <f>YEAR(ProductLine[[#This Row],[Date]])</f>
        <v>2020</v>
      </c>
      <c r="E2129">
        <f>MONTH(ProductLine[[#This Row],[Date]])</f>
        <v>1</v>
      </c>
      <c r="F2129" t="s">
        <v>27</v>
      </c>
      <c r="G2129">
        <v>23</v>
      </c>
      <c r="H2129" s="3">
        <v>98.49</v>
      </c>
      <c r="I2129" s="3">
        <f>ProductLine[[#This Row],[Units]]*ProductLine[[#This Row],[Dollars]]</f>
        <v>2265.27</v>
      </c>
    </row>
    <row r="2130" spans="1:9" x14ac:dyDescent="0.35">
      <c r="A2130">
        <v>2129</v>
      </c>
      <c r="B2130" t="s">
        <v>11</v>
      </c>
      <c r="C2130" s="2">
        <v>43847</v>
      </c>
      <c r="D2130">
        <f>YEAR(ProductLine[[#This Row],[Date]])</f>
        <v>2020</v>
      </c>
      <c r="E2130">
        <f>MONTH(ProductLine[[#This Row],[Date]])</f>
        <v>1</v>
      </c>
      <c r="F2130" t="s">
        <v>27</v>
      </c>
      <c r="G2130">
        <v>13</v>
      </c>
      <c r="H2130" s="3">
        <v>109.49</v>
      </c>
      <c r="I2130" s="3">
        <f>ProductLine[[#This Row],[Units]]*ProductLine[[#This Row],[Dollars]]</f>
        <v>1423.37</v>
      </c>
    </row>
    <row r="2131" spans="1:9" x14ac:dyDescent="0.35">
      <c r="A2131">
        <v>2130</v>
      </c>
      <c r="B2131" t="s">
        <v>17</v>
      </c>
      <c r="C2131" s="2">
        <v>44105</v>
      </c>
      <c r="D2131">
        <f>YEAR(ProductLine[[#This Row],[Date]])</f>
        <v>2020</v>
      </c>
      <c r="E2131">
        <f>MONTH(ProductLine[[#This Row],[Date]])</f>
        <v>10</v>
      </c>
      <c r="F2131" t="s">
        <v>26</v>
      </c>
      <c r="G2131">
        <v>9</v>
      </c>
      <c r="H2131" s="3">
        <v>69.489999999999995</v>
      </c>
      <c r="I2131" s="3">
        <f>ProductLine[[#This Row],[Units]]*ProductLine[[#This Row],[Dollars]]</f>
        <v>625.41</v>
      </c>
    </row>
    <row r="2132" spans="1:9" x14ac:dyDescent="0.35">
      <c r="A2132">
        <v>2131</v>
      </c>
      <c r="B2132" t="s">
        <v>17</v>
      </c>
      <c r="C2132" s="2">
        <v>44117</v>
      </c>
      <c r="D2132">
        <f>YEAR(ProductLine[[#This Row],[Date]])</f>
        <v>2020</v>
      </c>
      <c r="E2132">
        <f>MONTH(ProductLine[[#This Row],[Date]])</f>
        <v>10</v>
      </c>
      <c r="F2132" t="s">
        <v>27</v>
      </c>
      <c r="G2132">
        <v>11</v>
      </c>
      <c r="H2132" s="3">
        <v>109.99</v>
      </c>
      <c r="I2132" s="3">
        <f>ProductLine[[#This Row],[Units]]*ProductLine[[#This Row],[Dollars]]</f>
        <v>1209.8899999999999</v>
      </c>
    </row>
    <row r="2133" spans="1:9" x14ac:dyDescent="0.35">
      <c r="A2133">
        <v>2132</v>
      </c>
      <c r="B2133" t="s">
        <v>17</v>
      </c>
      <c r="C2133" s="2">
        <v>44121</v>
      </c>
      <c r="D2133">
        <f>YEAR(ProductLine[[#This Row],[Date]])</f>
        <v>2020</v>
      </c>
      <c r="E2133">
        <f>MONTH(ProductLine[[#This Row],[Date]])</f>
        <v>10</v>
      </c>
      <c r="F2133" t="s">
        <v>26</v>
      </c>
      <c r="G2133">
        <v>16</v>
      </c>
      <c r="H2133" s="3">
        <v>69.489999999999995</v>
      </c>
      <c r="I2133" s="3">
        <f>ProductLine[[#This Row],[Units]]*ProductLine[[#This Row],[Dollars]]</f>
        <v>1111.8399999999999</v>
      </c>
    </row>
    <row r="2134" spans="1:9" x14ac:dyDescent="0.35">
      <c r="A2134">
        <v>2133</v>
      </c>
      <c r="B2134" t="s">
        <v>17</v>
      </c>
      <c r="C2134" s="2">
        <v>44127</v>
      </c>
      <c r="D2134">
        <f>YEAR(ProductLine[[#This Row],[Date]])</f>
        <v>2020</v>
      </c>
      <c r="E2134">
        <f>MONTH(ProductLine[[#This Row],[Date]])</f>
        <v>10</v>
      </c>
      <c r="F2134" t="s">
        <v>24</v>
      </c>
      <c r="G2134">
        <v>8</v>
      </c>
      <c r="H2134" s="3">
        <v>129.99</v>
      </c>
      <c r="I2134" s="3">
        <f>ProductLine[[#This Row],[Units]]*ProductLine[[#This Row],[Dollars]]</f>
        <v>1039.92</v>
      </c>
    </row>
    <row r="2135" spans="1:9" x14ac:dyDescent="0.35">
      <c r="A2135">
        <v>2134</v>
      </c>
      <c r="B2135" t="s">
        <v>17</v>
      </c>
      <c r="C2135" s="2">
        <v>44119</v>
      </c>
      <c r="D2135">
        <f>YEAR(ProductLine[[#This Row],[Date]])</f>
        <v>2020</v>
      </c>
      <c r="E2135">
        <f>MONTH(ProductLine[[#This Row],[Date]])</f>
        <v>10</v>
      </c>
      <c r="F2135" t="s">
        <v>25</v>
      </c>
      <c r="G2135">
        <v>18</v>
      </c>
      <c r="H2135" s="3">
        <v>47.99</v>
      </c>
      <c r="I2135" s="3">
        <f>ProductLine[[#This Row],[Units]]*ProductLine[[#This Row],[Dollars]]</f>
        <v>863.82</v>
      </c>
    </row>
    <row r="2136" spans="1:9" x14ac:dyDescent="0.35">
      <c r="A2136">
        <v>2135</v>
      </c>
      <c r="B2136" t="s">
        <v>17</v>
      </c>
      <c r="C2136" s="2">
        <v>44151</v>
      </c>
      <c r="D2136">
        <f>YEAR(ProductLine[[#This Row],[Date]])</f>
        <v>2020</v>
      </c>
      <c r="E2136">
        <f>MONTH(ProductLine[[#This Row],[Date]])</f>
        <v>11</v>
      </c>
      <c r="F2136" t="s">
        <v>25</v>
      </c>
      <c r="G2136">
        <v>15</v>
      </c>
      <c r="H2136" s="3">
        <v>47.99</v>
      </c>
      <c r="I2136" s="3">
        <f>ProductLine[[#This Row],[Units]]*ProductLine[[#This Row],[Dollars]]</f>
        <v>719.85</v>
      </c>
    </row>
    <row r="2137" spans="1:9" x14ac:dyDescent="0.35">
      <c r="A2137">
        <v>2136</v>
      </c>
      <c r="B2137" t="s">
        <v>17</v>
      </c>
      <c r="C2137" s="2">
        <v>44158</v>
      </c>
      <c r="D2137">
        <f>YEAR(ProductLine[[#This Row],[Date]])</f>
        <v>2020</v>
      </c>
      <c r="E2137">
        <f>MONTH(ProductLine[[#This Row],[Date]])</f>
        <v>11</v>
      </c>
      <c r="F2137" t="s">
        <v>23</v>
      </c>
      <c r="G2137">
        <v>17</v>
      </c>
      <c r="H2137" s="3">
        <v>145.49</v>
      </c>
      <c r="I2137" s="3">
        <f>ProductLine[[#This Row],[Units]]*ProductLine[[#This Row],[Dollars]]</f>
        <v>2473.33</v>
      </c>
    </row>
    <row r="2138" spans="1:9" x14ac:dyDescent="0.35">
      <c r="A2138">
        <v>2137</v>
      </c>
      <c r="B2138" t="s">
        <v>17</v>
      </c>
      <c r="C2138" s="2">
        <v>44168</v>
      </c>
      <c r="D2138">
        <f>YEAR(ProductLine[[#This Row],[Date]])</f>
        <v>2020</v>
      </c>
      <c r="E2138">
        <f>MONTH(ProductLine[[#This Row],[Date]])</f>
        <v>12</v>
      </c>
      <c r="F2138" t="s">
        <v>23</v>
      </c>
      <c r="G2138">
        <v>7</v>
      </c>
      <c r="H2138" s="3">
        <v>145.49</v>
      </c>
      <c r="I2138" s="3">
        <f>ProductLine[[#This Row],[Units]]*ProductLine[[#This Row],[Dollars]]</f>
        <v>1018.4300000000001</v>
      </c>
    </row>
    <row r="2139" spans="1:9" x14ac:dyDescent="0.35">
      <c r="A2139">
        <v>2138</v>
      </c>
      <c r="B2139" t="s">
        <v>17</v>
      </c>
      <c r="C2139" s="2">
        <v>44172</v>
      </c>
      <c r="D2139">
        <f>YEAR(ProductLine[[#This Row],[Date]])</f>
        <v>2020</v>
      </c>
      <c r="E2139">
        <f>MONTH(ProductLine[[#This Row],[Date]])</f>
        <v>12</v>
      </c>
      <c r="F2139" t="s">
        <v>24</v>
      </c>
      <c r="G2139">
        <v>9</v>
      </c>
      <c r="H2139" s="3">
        <v>129.99</v>
      </c>
      <c r="I2139" s="3">
        <f>ProductLine[[#This Row],[Units]]*ProductLine[[#This Row],[Dollars]]</f>
        <v>1169.9100000000001</v>
      </c>
    </row>
    <row r="2140" spans="1:9" x14ac:dyDescent="0.35">
      <c r="A2140">
        <v>2139</v>
      </c>
      <c r="B2140" t="s">
        <v>17</v>
      </c>
      <c r="C2140" s="2">
        <v>44180</v>
      </c>
      <c r="D2140">
        <f>YEAR(ProductLine[[#This Row],[Date]])</f>
        <v>2020</v>
      </c>
      <c r="E2140">
        <f>MONTH(ProductLine[[#This Row],[Date]])</f>
        <v>12</v>
      </c>
      <c r="F2140" t="s">
        <v>27</v>
      </c>
      <c r="G2140">
        <v>11</v>
      </c>
      <c r="H2140" s="3">
        <v>94.49</v>
      </c>
      <c r="I2140" s="3">
        <f>ProductLine[[#This Row],[Units]]*ProductLine[[#This Row],[Dollars]]</f>
        <v>1039.3899999999999</v>
      </c>
    </row>
    <row r="2141" spans="1:9" x14ac:dyDescent="0.35">
      <c r="A2141">
        <v>2140</v>
      </c>
      <c r="B2141" t="s">
        <v>13</v>
      </c>
      <c r="C2141" s="2">
        <v>43862</v>
      </c>
      <c r="D2141">
        <f>YEAR(ProductLine[[#This Row],[Date]])</f>
        <v>2020</v>
      </c>
      <c r="E2141">
        <f>MONTH(ProductLine[[#This Row],[Date]])</f>
        <v>2</v>
      </c>
      <c r="F2141" t="s">
        <v>26</v>
      </c>
      <c r="G2141">
        <v>11</v>
      </c>
      <c r="H2141" s="3">
        <v>114.99</v>
      </c>
      <c r="I2141" s="3">
        <f>ProductLine[[#This Row],[Units]]*ProductLine[[#This Row],[Dollars]]</f>
        <v>1264.8899999999999</v>
      </c>
    </row>
    <row r="2142" spans="1:9" x14ac:dyDescent="0.35">
      <c r="A2142">
        <v>2141</v>
      </c>
      <c r="B2142" t="s">
        <v>13</v>
      </c>
      <c r="C2142" s="2">
        <v>43870</v>
      </c>
      <c r="D2142">
        <f>YEAR(ProductLine[[#This Row],[Date]])</f>
        <v>2020</v>
      </c>
      <c r="E2142">
        <f>MONTH(ProductLine[[#This Row],[Date]])</f>
        <v>2</v>
      </c>
      <c r="F2142" t="s">
        <v>26</v>
      </c>
      <c r="G2142">
        <v>9</v>
      </c>
      <c r="H2142" s="3">
        <v>108.99</v>
      </c>
      <c r="I2142" s="3">
        <f>ProductLine[[#This Row],[Units]]*ProductLine[[#This Row],[Dollars]]</f>
        <v>980.91</v>
      </c>
    </row>
    <row r="2143" spans="1:9" x14ac:dyDescent="0.35">
      <c r="A2143">
        <v>2142</v>
      </c>
      <c r="B2143" t="s">
        <v>18</v>
      </c>
      <c r="C2143" s="2">
        <v>43844</v>
      </c>
      <c r="D2143">
        <f>YEAR(ProductLine[[#This Row],[Date]])</f>
        <v>2020</v>
      </c>
      <c r="E2143">
        <f>MONTH(ProductLine[[#This Row],[Date]])</f>
        <v>1</v>
      </c>
      <c r="F2143" t="s">
        <v>26</v>
      </c>
      <c r="G2143">
        <v>13</v>
      </c>
      <c r="H2143" s="3">
        <v>114.99</v>
      </c>
      <c r="I2143" s="3">
        <f>ProductLine[[#This Row],[Units]]*ProductLine[[#This Row],[Dollars]]</f>
        <v>1494.87</v>
      </c>
    </row>
    <row r="2144" spans="1:9" x14ac:dyDescent="0.35">
      <c r="A2144">
        <v>2143</v>
      </c>
      <c r="B2144" t="s">
        <v>18</v>
      </c>
      <c r="C2144" s="2">
        <v>43848</v>
      </c>
      <c r="D2144">
        <f>YEAR(ProductLine[[#This Row],[Date]])</f>
        <v>2020</v>
      </c>
      <c r="E2144">
        <f>MONTH(ProductLine[[#This Row],[Date]])</f>
        <v>1</v>
      </c>
      <c r="F2144" t="s">
        <v>26</v>
      </c>
      <c r="G2144">
        <v>12</v>
      </c>
      <c r="H2144" s="3">
        <v>108.99</v>
      </c>
      <c r="I2144" s="3">
        <f>ProductLine[[#This Row],[Units]]*ProductLine[[#This Row],[Dollars]]</f>
        <v>1307.8799999999999</v>
      </c>
    </row>
    <row r="2145" spans="1:9" x14ac:dyDescent="0.35">
      <c r="A2145">
        <v>2144</v>
      </c>
      <c r="B2145" t="s">
        <v>11</v>
      </c>
      <c r="C2145" s="2">
        <v>43849</v>
      </c>
      <c r="D2145">
        <f>YEAR(ProductLine[[#This Row],[Date]])</f>
        <v>2020</v>
      </c>
      <c r="E2145">
        <f>MONTH(ProductLine[[#This Row],[Date]])</f>
        <v>1</v>
      </c>
      <c r="F2145" t="s">
        <v>24</v>
      </c>
      <c r="G2145">
        <v>10</v>
      </c>
      <c r="H2145" s="3">
        <v>118.99</v>
      </c>
      <c r="I2145" s="3">
        <f>ProductLine[[#This Row],[Units]]*ProductLine[[#This Row],[Dollars]]</f>
        <v>1189.8999999999999</v>
      </c>
    </row>
    <row r="2146" spans="1:9" x14ac:dyDescent="0.35">
      <c r="A2146">
        <v>2145</v>
      </c>
      <c r="B2146" t="s">
        <v>11</v>
      </c>
      <c r="C2146" s="2">
        <v>43894</v>
      </c>
      <c r="D2146">
        <f>YEAR(ProductLine[[#This Row],[Date]])</f>
        <v>2020</v>
      </c>
      <c r="E2146">
        <f>MONTH(ProductLine[[#This Row],[Date]])</f>
        <v>3</v>
      </c>
      <c r="F2146" t="s">
        <v>24</v>
      </c>
      <c r="G2146">
        <v>13</v>
      </c>
      <c r="H2146" s="3">
        <v>104.99</v>
      </c>
      <c r="I2146" s="3">
        <f>ProductLine[[#This Row],[Units]]*ProductLine[[#This Row],[Dollars]]</f>
        <v>1364.87</v>
      </c>
    </row>
    <row r="2147" spans="1:9" x14ac:dyDescent="0.35">
      <c r="A2147">
        <v>2146</v>
      </c>
      <c r="B2147" t="s">
        <v>13</v>
      </c>
      <c r="C2147" s="2">
        <v>43854</v>
      </c>
      <c r="D2147">
        <f>YEAR(ProductLine[[#This Row],[Date]])</f>
        <v>2020</v>
      </c>
      <c r="E2147">
        <f>MONTH(ProductLine[[#This Row],[Date]])</f>
        <v>1</v>
      </c>
      <c r="F2147" t="s">
        <v>24</v>
      </c>
      <c r="G2147">
        <v>10</v>
      </c>
      <c r="H2147" s="3">
        <v>109.89</v>
      </c>
      <c r="I2147" s="3">
        <f>ProductLine[[#This Row],[Units]]*ProductLine[[#This Row],[Dollars]]</f>
        <v>1098.9000000000001</v>
      </c>
    </row>
    <row r="2148" spans="1:9" x14ac:dyDescent="0.35">
      <c r="A2148">
        <v>2147</v>
      </c>
      <c r="B2148" t="s">
        <v>13</v>
      </c>
      <c r="C2148" s="2">
        <v>43874</v>
      </c>
      <c r="D2148">
        <f>YEAR(ProductLine[[#This Row],[Date]])</f>
        <v>2020</v>
      </c>
      <c r="E2148">
        <f>MONTH(ProductLine[[#This Row],[Date]])</f>
        <v>2</v>
      </c>
      <c r="F2148" t="s">
        <v>24</v>
      </c>
      <c r="G2148">
        <v>18</v>
      </c>
      <c r="H2148" s="3">
        <v>104.99</v>
      </c>
      <c r="I2148" s="3">
        <f>ProductLine[[#This Row],[Units]]*ProductLine[[#This Row],[Dollars]]</f>
        <v>1889.82</v>
      </c>
    </row>
    <row r="2149" spans="1:9" x14ac:dyDescent="0.35">
      <c r="A2149">
        <v>2148</v>
      </c>
      <c r="B2149" t="s">
        <v>14</v>
      </c>
      <c r="C2149" s="2">
        <v>43842</v>
      </c>
      <c r="D2149">
        <f>YEAR(ProductLine[[#This Row],[Date]])</f>
        <v>2020</v>
      </c>
      <c r="E2149">
        <f>MONTH(ProductLine[[#This Row],[Date]])</f>
        <v>1</v>
      </c>
      <c r="F2149" t="s">
        <v>24</v>
      </c>
      <c r="G2149">
        <v>8</v>
      </c>
      <c r="H2149" s="3">
        <v>118.99</v>
      </c>
      <c r="I2149" s="3">
        <f>ProductLine[[#This Row],[Units]]*ProductLine[[#This Row],[Dollars]]</f>
        <v>951.92</v>
      </c>
    </row>
    <row r="2150" spans="1:9" x14ac:dyDescent="0.35">
      <c r="A2150">
        <v>2149</v>
      </c>
      <c r="B2150" t="s">
        <v>14</v>
      </c>
      <c r="C2150" s="2">
        <v>43847</v>
      </c>
      <c r="D2150">
        <f>YEAR(ProductLine[[#This Row],[Date]])</f>
        <v>2020</v>
      </c>
      <c r="E2150">
        <f>MONTH(ProductLine[[#This Row],[Date]])</f>
        <v>1</v>
      </c>
      <c r="F2150" t="s">
        <v>24</v>
      </c>
      <c r="G2150">
        <v>11</v>
      </c>
      <c r="H2150" s="3">
        <v>88.99</v>
      </c>
      <c r="I2150" s="3">
        <f>ProductLine[[#This Row],[Units]]*ProductLine[[#This Row],[Dollars]]</f>
        <v>978.89</v>
      </c>
    </row>
    <row r="2151" spans="1:9" x14ac:dyDescent="0.35">
      <c r="A2151">
        <v>2150</v>
      </c>
      <c r="B2151" t="s">
        <v>19</v>
      </c>
      <c r="C2151" s="2">
        <v>43892</v>
      </c>
      <c r="D2151">
        <f>YEAR(ProductLine[[#This Row],[Date]])</f>
        <v>2020</v>
      </c>
      <c r="E2151">
        <f>MONTH(ProductLine[[#This Row],[Date]])</f>
        <v>3</v>
      </c>
      <c r="F2151" t="s">
        <v>24</v>
      </c>
      <c r="G2151">
        <v>13</v>
      </c>
      <c r="H2151" s="3">
        <v>104.99</v>
      </c>
      <c r="I2151" s="3">
        <f>ProductLine[[#This Row],[Units]]*ProductLine[[#This Row],[Dollars]]</f>
        <v>1364.87</v>
      </c>
    </row>
    <row r="2152" spans="1:9" x14ac:dyDescent="0.35">
      <c r="A2152">
        <v>2151</v>
      </c>
      <c r="B2152" t="s">
        <v>19</v>
      </c>
      <c r="C2152" s="2">
        <v>43878</v>
      </c>
      <c r="D2152">
        <f>YEAR(ProductLine[[#This Row],[Date]])</f>
        <v>2020</v>
      </c>
      <c r="E2152">
        <f>MONTH(ProductLine[[#This Row],[Date]])</f>
        <v>2</v>
      </c>
      <c r="F2152" t="s">
        <v>24</v>
      </c>
      <c r="G2152">
        <v>9</v>
      </c>
      <c r="H2152" s="3">
        <v>118.99</v>
      </c>
      <c r="I2152" s="3">
        <f>ProductLine[[#This Row],[Units]]*ProductLine[[#This Row],[Dollars]]</f>
        <v>1070.9099999999999</v>
      </c>
    </row>
    <row r="2153" spans="1:9" x14ac:dyDescent="0.35">
      <c r="A2153">
        <v>2152</v>
      </c>
      <c r="B2153" t="s">
        <v>11</v>
      </c>
      <c r="C2153" s="2">
        <v>43839</v>
      </c>
      <c r="D2153">
        <f>YEAR(ProductLine[[#This Row],[Date]])</f>
        <v>2020</v>
      </c>
      <c r="E2153">
        <f>MONTH(ProductLine[[#This Row],[Date]])</f>
        <v>1</v>
      </c>
      <c r="F2153" t="s">
        <v>23</v>
      </c>
      <c r="G2153">
        <v>12</v>
      </c>
      <c r="H2153" s="3">
        <v>129.49</v>
      </c>
      <c r="I2153" s="3">
        <f>ProductLine[[#This Row],[Units]]*ProductLine[[#This Row],[Dollars]]</f>
        <v>1553.88</v>
      </c>
    </row>
    <row r="2154" spans="1:9" x14ac:dyDescent="0.35">
      <c r="A2154">
        <v>2153</v>
      </c>
      <c r="B2154" t="s">
        <v>11</v>
      </c>
      <c r="C2154" s="2">
        <v>43899</v>
      </c>
      <c r="D2154">
        <f>YEAR(ProductLine[[#This Row],[Date]])</f>
        <v>2020</v>
      </c>
      <c r="E2154">
        <f>MONTH(ProductLine[[#This Row],[Date]])</f>
        <v>3</v>
      </c>
      <c r="F2154" t="s">
        <v>23</v>
      </c>
      <c r="G2154">
        <v>10</v>
      </c>
      <c r="H2154" s="3">
        <v>145.49</v>
      </c>
      <c r="I2154" s="3">
        <f>ProductLine[[#This Row],[Units]]*ProductLine[[#This Row],[Dollars]]</f>
        <v>1454.9</v>
      </c>
    </row>
    <row r="2155" spans="1:9" x14ac:dyDescent="0.35">
      <c r="A2155">
        <v>2154</v>
      </c>
      <c r="B2155" t="s">
        <v>9</v>
      </c>
      <c r="C2155" s="2">
        <v>43836</v>
      </c>
      <c r="D2155">
        <f>YEAR(ProductLine[[#This Row],[Date]])</f>
        <v>2020</v>
      </c>
      <c r="E2155">
        <f>MONTH(ProductLine[[#This Row],[Date]])</f>
        <v>1</v>
      </c>
      <c r="F2155" t="s">
        <v>23</v>
      </c>
      <c r="G2155">
        <v>9</v>
      </c>
      <c r="H2155" s="3">
        <v>97.49</v>
      </c>
      <c r="I2155" s="3">
        <f>ProductLine[[#This Row],[Units]]*ProductLine[[#This Row],[Dollars]]</f>
        <v>877.41</v>
      </c>
    </row>
    <row r="2156" spans="1:9" x14ac:dyDescent="0.35">
      <c r="A2156">
        <v>2155</v>
      </c>
      <c r="B2156" t="s">
        <v>9</v>
      </c>
      <c r="C2156" s="2">
        <v>43838</v>
      </c>
      <c r="D2156">
        <f>YEAR(ProductLine[[#This Row],[Date]])</f>
        <v>2020</v>
      </c>
      <c r="E2156">
        <f>MONTH(ProductLine[[#This Row],[Date]])</f>
        <v>1</v>
      </c>
      <c r="F2156" t="s">
        <v>23</v>
      </c>
      <c r="G2156">
        <v>14</v>
      </c>
      <c r="H2156" s="3">
        <v>129.49</v>
      </c>
      <c r="I2156" s="3">
        <f>ProductLine[[#This Row],[Units]]*ProductLine[[#This Row],[Dollars]]</f>
        <v>1812.8600000000001</v>
      </c>
    </row>
    <row r="2157" spans="1:9" x14ac:dyDescent="0.35">
      <c r="A2157">
        <v>2156</v>
      </c>
      <c r="B2157" t="s">
        <v>19</v>
      </c>
      <c r="C2157" s="2">
        <v>43847</v>
      </c>
      <c r="D2157">
        <f>YEAR(ProductLine[[#This Row],[Date]])</f>
        <v>2020</v>
      </c>
      <c r="E2157">
        <f>MONTH(ProductLine[[#This Row],[Date]])</f>
        <v>1</v>
      </c>
      <c r="F2157" t="s">
        <v>23</v>
      </c>
      <c r="G2157">
        <v>13</v>
      </c>
      <c r="H2157" s="3">
        <v>109.49</v>
      </c>
      <c r="I2157" s="3">
        <f>ProductLine[[#This Row],[Units]]*ProductLine[[#This Row],[Dollars]]</f>
        <v>1423.37</v>
      </c>
    </row>
    <row r="2158" spans="1:9" x14ac:dyDescent="0.35">
      <c r="A2158">
        <v>2157</v>
      </c>
      <c r="B2158" t="s">
        <v>19</v>
      </c>
      <c r="C2158" s="2">
        <v>43892</v>
      </c>
      <c r="D2158">
        <f>YEAR(ProductLine[[#This Row],[Date]])</f>
        <v>2020</v>
      </c>
      <c r="E2158">
        <f>MONTH(ProductLine[[#This Row],[Date]])</f>
        <v>3</v>
      </c>
      <c r="F2158" t="s">
        <v>23</v>
      </c>
      <c r="G2158">
        <v>7</v>
      </c>
      <c r="H2158" s="3">
        <v>129.49</v>
      </c>
      <c r="I2158" s="3">
        <f>ProductLine[[#This Row],[Units]]*ProductLine[[#This Row],[Dollars]]</f>
        <v>906.43000000000006</v>
      </c>
    </row>
    <row r="2159" spans="1:9" x14ac:dyDescent="0.35">
      <c r="A2159">
        <v>2158</v>
      </c>
      <c r="B2159" t="s">
        <v>17</v>
      </c>
      <c r="C2159" s="2">
        <v>43839</v>
      </c>
      <c r="D2159">
        <f>YEAR(ProductLine[[#This Row],[Date]])</f>
        <v>2020</v>
      </c>
      <c r="E2159">
        <f>MONTH(ProductLine[[#This Row],[Date]])</f>
        <v>1</v>
      </c>
      <c r="F2159" t="s">
        <v>25</v>
      </c>
      <c r="G2159">
        <v>13</v>
      </c>
      <c r="H2159" s="3">
        <v>38.99</v>
      </c>
      <c r="I2159" s="3">
        <f>ProductLine[[#This Row],[Units]]*ProductLine[[#This Row],[Dollars]]</f>
        <v>506.87</v>
      </c>
    </row>
    <row r="2160" spans="1:9" x14ac:dyDescent="0.35">
      <c r="A2160">
        <v>2159</v>
      </c>
      <c r="B2160" t="s">
        <v>17</v>
      </c>
      <c r="C2160" s="2">
        <v>43843</v>
      </c>
      <c r="D2160">
        <f>YEAR(ProductLine[[#This Row],[Date]])</f>
        <v>2020</v>
      </c>
      <c r="E2160">
        <f>MONTH(ProductLine[[#This Row],[Date]])</f>
        <v>1</v>
      </c>
      <c r="F2160" t="s">
        <v>25</v>
      </c>
      <c r="G2160">
        <v>18</v>
      </c>
      <c r="H2160" s="3">
        <v>44.99</v>
      </c>
      <c r="I2160" s="3">
        <f>ProductLine[[#This Row],[Units]]*ProductLine[[#This Row],[Dollars]]</f>
        <v>809.82</v>
      </c>
    </row>
    <row r="2161" spans="1:9" x14ac:dyDescent="0.35">
      <c r="A2161">
        <v>2160</v>
      </c>
      <c r="B2161" t="s">
        <v>14</v>
      </c>
      <c r="C2161" s="2">
        <v>43837</v>
      </c>
      <c r="D2161">
        <f>YEAR(ProductLine[[#This Row],[Date]])</f>
        <v>2020</v>
      </c>
      <c r="E2161">
        <f>MONTH(ProductLine[[#This Row],[Date]])</f>
        <v>1</v>
      </c>
      <c r="F2161" t="s">
        <v>25</v>
      </c>
      <c r="G2161">
        <v>9</v>
      </c>
      <c r="H2161" s="3">
        <v>39.49</v>
      </c>
      <c r="I2161" s="3">
        <f>ProductLine[[#This Row],[Units]]*ProductLine[[#This Row],[Dollars]]</f>
        <v>355.41</v>
      </c>
    </row>
    <row r="2162" spans="1:9" x14ac:dyDescent="0.35">
      <c r="A2162">
        <v>2161</v>
      </c>
      <c r="B2162" t="s">
        <v>14</v>
      </c>
      <c r="C2162" s="2">
        <v>43864</v>
      </c>
      <c r="D2162">
        <f>YEAR(ProductLine[[#This Row],[Date]])</f>
        <v>2020</v>
      </c>
      <c r="E2162">
        <f>MONTH(ProductLine[[#This Row],[Date]])</f>
        <v>2</v>
      </c>
      <c r="F2162" t="s">
        <v>25</v>
      </c>
      <c r="G2162">
        <v>14</v>
      </c>
      <c r="H2162" s="3">
        <v>44.99</v>
      </c>
      <c r="I2162" s="3">
        <f>ProductLine[[#This Row],[Units]]*ProductLine[[#This Row],[Dollars]]</f>
        <v>629.86</v>
      </c>
    </row>
    <row r="2163" spans="1:9" x14ac:dyDescent="0.35">
      <c r="A2163">
        <v>2162</v>
      </c>
      <c r="B2163" t="s">
        <v>19</v>
      </c>
      <c r="C2163" s="2">
        <v>43845</v>
      </c>
      <c r="D2163">
        <f>YEAR(ProductLine[[#This Row],[Date]])</f>
        <v>2020</v>
      </c>
      <c r="E2163">
        <f>MONTH(ProductLine[[#This Row],[Date]])</f>
        <v>1</v>
      </c>
      <c r="F2163" t="s">
        <v>25</v>
      </c>
      <c r="G2163">
        <v>7</v>
      </c>
      <c r="H2163" s="3">
        <v>48.99</v>
      </c>
      <c r="I2163" s="3">
        <f>ProductLine[[#This Row],[Units]]*ProductLine[[#This Row],[Dollars]]</f>
        <v>342.93</v>
      </c>
    </row>
    <row r="2164" spans="1:9" x14ac:dyDescent="0.35">
      <c r="A2164">
        <v>2163</v>
      </c>
      <c r="B2164" t="s">
        <v>19</v>
      </c>
      <c r="C2164" s="2">
        <v>43904</v>
      </c>
      <c r="D2164">
        <f>YEAR(ProductLine[[#This Row],[Date]])</f>
        <v>2020</v>
      </c>
      <c r="E2164">
        <f>MONTH(ProductLine[[#This Row],[Date]])</f>
        <v>3</v>
      </c>
      <c r="F2164" t="s">
        <v>25</v>
      </c>
      <c r="G2164">
        <v>15</v>
      </c>
      <c r="H2164" s="3">
        <v>68.989999999999995</v>
      </c>
      <c r="I2164" s="3">
        <f>ProductLine[[#This Row],[Units]]*ProductLine[[#This Row],[Dollars]]</f>
        <v>1034.8499999999999</v>
      </c>
    </row>
    <row r="2165" spans="1:9" x14ac:dyDescent="0.35">
      <c r="A2165">
        <v>2164</v>
      </c>
      <c r="B2165" t="s">
        <v>18</v>
      </c>
      <c r="C2165" s="2">
        <v>43839</v>
      </c>
      <c r="D2165">
        <f>YEAR(ProductLine[[#This Row],[Date]])</f>
        <v>2020</v>
      </c>
      <c r="E2165">
        <f>MONTH(ProductLine[[#This Row],[Date]])</f>
        <v>1</v>
      </c>
      <c r="F2165" t="s">
        <v>25</v>
      </c>
      <c r="G2165">
        <v>11</v>
      </c>
      <c r="H2165" s="3">
        <v>108.99</v>
      </c>
      <c r="I2165" s="3">
        <f>ProductLine[[#This Row],[Units]]*ProductLine[[#This Row],[Dollars]]</f>
        <v>1198.8899999999999</v>
      </c>
    </row>
    <row r="2166" spans="1:9" x14ac:dyDescent="0.35">
      <c r="A2166">
        <v>2165</v>
      </c>
      <c r="B2166" t="s">
        <v>18</v>
      </c>
      <c r="C2166" s="2">
        <v>43880</v>
      </c>
      <c r="D2166">
        <f>YEAR(ProductLine[[#This Row],[Date]])</f>
        <v>2020</v>
      </c>
      <c r="E2166">
        <f>MONTH(ProductLine[[#This Row],[Date]])</f>
        <v>2</v>
      </c>
      <c r="F2166" t="s">
        <v>25</v>
      </c>
      <c r="G2166">
        <v>16</v>
      </c>
      <c r="H2166" s="3">
        <v>129.99</v>
      </c>
      <c r="I2166" s="3">
        <f>ProductLine[[#This Row],[Units]]*ProductLine[[#This Row],[Dollars]]</f>
        <v>2079.84</v>
      </c>
    </row>
    <row r="2167" spans="1:9" x14ac:dyDescent="0.35">
      <c r="A2167">
        <v>2166</v>
      </c>
      <c r="B2167" t="s">
        <v>18</v>
      </c>
      <c r="C2167" s="2">
        <v>43896</v>
      </c>
      <c r="D2167">
        <f>YEAR(ProductLine[[#This Row],[Date]])</f>
        <v>2020</v>
      </c>
      <c r="E2167">
        <f>MONTH(ProductLine[[#This Row],[Date]])</f>
        <v>3</v>
      </c>
      <c r="F2167" t="s">
        <v>25</v>
      </c>
      <c r="G2167">
        <v>14</v>
      </c>
      <c r="H2167" s="3">
        <v>109.99</v>
      </c>
      <c r="I2167" s="3">
        <f>ProductLine[[#This Row],[Units]]*ProductLine[[#This Row],[Dollars]]</f>
        <v>1539.86</v>
      </c>
    </row>
    <row r="2168" spans="1:9" x14ac:dyDescent="0.35">
      <c r="A2168">
        <v>2167</v>
      </c>
      <c r="B2168" t="s">
        <v>17</v>
      </c>
      <c r="C2168" s="2">
        <v>43846</v>
      </c>
      <c r="D2168">
        <f>YEAR(ProductLine[[#This Row],[Date]])</f>
        <v>2020</v>
      </c>
      <c r="E2168">
        <f>MONTH(ProductLine[[#This Row],[Date]])</f>
        <v>1</v>
      </c>
      <c r="F2168" t="s">
        <v>27</v>
      </c>
      <c r="G2168">
        <v>7</v>
      </c>
      <c r="H2168" s="3">
        <v>119.49</v>
      </c>
      <c r="I2168" s="3">
        <f>ProductLine[[#This Row],[Units]]*ProductLine[[#This Row],[Dollars]]</f>
        <v>836.43</v>
      </c>
    </row>
    <row r="2169" spans="1:9" x14ac:dyDescent="0.35">
      <c r="A2169">
        <v>2168</v>
      </c>
      <c r="B2169" t="s">
        <v>17</v>
      </c>
      <c r="C2169" s="2">
        <v>43847</v>
      </c>
      <c r="D2169">
        <f>YEAR(ProductLine[[#This Row],[Date]])</f>
        <v>2020</v>
      </c>
      <c r="E2169">
        <f>MONTH(ProductLine[[#This Row],[Date]])</f>
        <v>1</v>
      </c>
      <c r="F2169" t="s">
        <v>27</v>
      </c>
      <c r="G2169">
        <v>11</v>
      </c>
      <c r="H2169" s="3">
        <v>129.99</v>
      </c>
      <c r="I2169" s="3">
        <f>ProductLine[[#This Row],[Units]]*ProductLine[[#This Row],[Dollars]]</f>
        <v>1429.89</v>
      </c>
    </row>
    <row r="2170" spans="1:9" x14ac:dyDescent="0.35">
      <c r="A2170">
        <v>2169</v>
      </c>
      <c r="B2170" t="s">
        <v>17</v>
      </c>
      <c r="C2170" s="2">
        <v>43854</v>
      </c>
      <c r="D2170">
        <f>YEAR(ProductLine[[#This Row],[Date]])</f>
        <v>2020</v>
      </c>
      <c r="E2170">
        <f>MONTH(ProductLine[[#This Row],[Date]])</f>
        <v>1</v>
      </c>
      <c r="F2170" t="s">
        <v>27</v>
      </c>
      <c r="G2170">
        <v>14</v>
      </c>
      <c r="H2170" s="3">
        <v>98.99</v>
      </c>
      <c r="I2170" s="3">
        <f>ProductLine[[#This Row],[Units]]*ProductLine[[#This Row],[Dollars]]</f>
        <v>1385.86</v>
      </c>
    </row>
    <row r="2171" spans="1:9" x14ac:dyDescent="0.35">
      <c r="A2171">
        <v>2170</v>
      </c>
      <c r="B2171" t="s">
        <v>17</v>
      </c>
      <c r="C2171" s="2">
        <v>43876</v>
      </c>
      <c r="D2171">
        <f>YEAR(ProductLine[[#This Row],[Date]])</f>
        <v>2020</v>
      </c>
      <c r="E2171">
        <f>MONTH(ProductLine[[#This Row],[Date]])</f>
        <v>2</v>
      </c>
      <c r="F2171" t="s">
        <v>27</v>
      </c>
      <c r="G2171">
        <v>8</v>
      </c>
      <c r="H2171" s="3">
        <v>109.49</v>
      </c>
      <c r="I2171" s="3">
        <f>ProductLine[[#This Row],[Units]]*ProductLine[[#This Row],[Dollars]]</f>
        <v>875.92</v>
      </c>
    </row>
    <row r="2172" spans="1:9" x14ac:dyDescent="0.35">
      <c r="A2172">
        <v>2171</v>
      </c>
      <c r="B2172" t="s">
        <v>17</v>
      </c>
      <c r="C2172" s="2">
        <v>43906</v>
      </c>
      <c r="D2172">
        <f>YEAR(ProductLine[[#This Row],[Date]])</f>
        <v>2020</v>
      </c>
      <c r="E2172">
        <f>MONTH(ProductLine[[#This Row],[Date]])</f>
        <v>3</v>
      </c>
      <c r="F2172" t="s">
        <v>27</v>
      </c>
      <c r="G2172">
        <v>15</v>
      </c>
      <c r="H2172" s="3">
        <v>119.99</v>
      </c>
      <c r="I2172" s="3">
        <f>ProductLine[[#This Row],[Units]]*ProductLine[[#This Row],[Dollars]]</f>
        <v>1799.85</v>
      </c>
    </row>
    <row r="2173" spans="1:9" x14ac:dyDescent="0.35">
      <c r="A2173">
        <v>2172</v>
      </c>
      <c r="B2173" t="s">
        <v>18</v>
      </c>
      <c r="C2173" s="2">
        <v>43850</v>
      </c>
      <c r="D2173">
        <f>YEAR(ProductLine[[#This Row],[Date]])</f>
        <v>2020</v>
      </c>
      <c r="E2173">
        <f>MONTH(ProductLine[[#This Row],[Date]])</f>
        <v>1</v>
      </c>
      <c r="F2173" t="s">
        <v>27</v>
      </c>
      <c r="G2173">
        <v>14</v>
      </c>
      <c r="H2173" s="3">
        <v>129.99</v>
      </c>
      <c r="I2173" s="3">
        <f>ProductLine[[#This Row],[Units]]*ProductLine[[#This Row],[Dollars]]</f>
        <v>1819.8600000000001</v>
      </c>
    </row>
    <row r="2174" spans="1:9" x14ac:dyDescent="0.35">
      <c r="A2174">
        <v>2173</v>
      </c>
      <c r="B2174" t="s">
        <v>18</v>
      </c>
      <c r="C2174" s="2">
        <v>43845</v>
      </c>
      <c r="D2174">
        <f>YEAR(ProductLine[[#This Row],[Date]])</f>
        <v>2020</v>
      </c>
      <c r="E2174">
        <f>MONTH(ProductLine[[#This Row],[Date]])</f>
        <v>1</v>
      </c>
      <c r="F2174" t="s">
        <v>27</v>
      </c>
      <c r="G2174">
        <v>8</v>
      </c>
      <c r="H2174" s="3">
        <v>114.99</v>
      </c>
      <c r="I2174" s="3">
        <f>ProductLine[[#This Row],[Units]]*ProductLine[[#This Row],[Dollars]]</f>
        <v>919.92</v>
      </c>
    </row>
    <row r="2175" spans="1:9" x14ac:dyDescent="0.35">
      <c r="A2175">
        <v>2174</v>
      </c>
      <c r="B2175" t="s">
        <v>18</v>
      </c>
      <c r="C2175" s="2">
        <v>43902</v>
      </c>
      <c r="D2175">
        <f>YEAR(ProductLine[[#This Row],[Date]])</f>
        <v>2020</v>
      </c>
      <c r="E2175">
        <f>MONTH(ProductLine[[#This Row],[Date]])</f>
        <v>3</v>
      </c>
      <c r="F2175" t="s">
        <v>27</v>
      </c>
      <c r="G2175">
        <v>16</v>
      </c>
      <c r="H2175" s="3">
        <v>98.99</v>
      </c>
      <c r="I2175" s="3">
        <f>ProductLine[[#This Row],[Units]]*ProductLine[[#This Row],[Dollars]]</f>
        <v>1583.84</v>
      </c>
    </row>
    <row r="2176" spans="1:9" x14ac:dyDescent="0.35">
      <c r="A2176">
        <v>2175</v>
      </c>
      <c r="B2176" t="s">
        <v>18</v>
      </c>
      <c r="C2176" s="2">
        <v>43913</v>
      </c>
      <c r="D2176">
        <f>YEAR(ProductLine[[#This Row],[Date]])</f>
        <v>2020</v>
      </c>
      <c r="E2176">
        <f>MONTH(ProductLine[[#This Row],[Date]])</f>
        <v>3</v>
      </c>
      <c r="F2176" t="s">
        <v>27</v>
      </c>
      <c r="G2176">
        <v>12</v>
      </c>
      <c r="H2176" s="3">
        <v>149.49</v>
      </c>
      <c r="I2176" s="3">
        <f>ProductLine[[#This Row],[Units]]*ProductLine[[#This Row],[Dollars]]</f>
        <v>1793.88</v>
      </c>
    </row>
    <row r="2177" spans="1:9" x14ac:dyDescent="0.35">
      <c r="A2177">
        <v>2176</v>
      </c>
      <c r="B2177" t="s">
        <v>9</v>
      </c>
      <c r="C2177" s="2">
        <v>43933</v>
      </c>
      <c r="D2177">
        <f>YEAR(ProductLine[[#This Row],[Date]])</f>
        <v>2020</v>
      </c>
      <c r="E2177">
        <f>MONTH(ProductLine[[#This Row],[Date]])</f>
        <v>4</v>
      </c>
      <c r="F2177" t="s">
        <v>26</v>
      </c>
      <c r="G2177">
        <v>8</v>
      </c>
      <c r="H2177" s="3">
        <v>69.489999999999995</v>
      </c>
      <c r="I2177" s="3">
        <f>ProductLine[[#This Row],[Units]]*ProductLine[[#This Row],[Dollars]]</f>
        <v>555.91999999999996</v>
      </c>
    </row>
    <row r="2178" spans="1:9" x14ac:dyDescent="0.35">
      <c r="A2178">
        <v>2177</v>
      </c>
      <c r="B2178" t="s">
        <v>9</v>
      </c>
      <c r="C2178" s="2">
        <v>43953</v>
      </c>
      <c r="D2178">
        <f>YEAR(ProductLine[[#This Row],[Date]])</f>
        <v>2020</v>
      </c>
      <c r="E2178">
        <f>MONTH(ProductLine[[#This Row],[Date]])</f>
        <v>5</v>
      </c>
      <c r="F2178" t="s">
        <v>26</v>
      </c>
      <c r="G2178">
        <v>7</v>
      </c>
      <c r="H2178" s="3">
        <v>89.49</v>
      </c>
      <c r="I2178" s="3">
        <f>ProductLine[[#This Row],[Units]]*ProductLine[[#This Row],[Dollars]]</f>
        <v>626.42999999999995</v>
      </c>
    </row>
    <row r="2179" spans="1:9" x14ac:dyDescent="0.35">
      <c r="A2179">
        <v>2178</v>
      </c>
      <c r="B2179" t="s">
        <v>14</v>
      </c>
      <c r="C2179" s="2">
        <v>43940</v>
      </c>
      <c r="D2179">
        <f>YEAR(ProductLine[[#This Row],[Date]])</f>
        <v>2020</v>
      </c>
      <c r="E2179">
        <f>MONTH(ProductLine[[#This Row],[Date]])</f>
        <v>4</v>
      </c>
      <c r="F2179" t="s">
        <v>26</v>
      </c>
      <c r="G2179">
        <v>14</v>
      </c>
      <c r="H2179" s="3">
        <v>54.99</v>
      </c>
      <c r="I2179" s="3">
        <f>ProductLine[[#This Row],[Units]]*ProductLine[[#This Row],[Dollars]]</f>
        <v>769.86</v>
      </c>
    </row>
    <row r="2180" spans="1:9" x14ac:dyDescent="0.35">
      <c r="A2180">
        <v>2179</v>
      </c>
      <c r="B2180" t="s">
        <v>14</v>
      </c>
      <c r="C2180" s="2">
        <v>43946</v>
      </c>
      <c r="D2180">
        <f>YEAR(ProductLine[[#This Row],[Date]])</f>
        <v>2020</v>
      </c>
      <c r="E2180">
        <f>MONTH(ProductLine[[#This Row],[Date]])</f>
        <v>4</v>
      </c>
      <c r="F2180" t="s">
        <v>26</v>
      </c>
      <c r="G2180">
        <v>6</v>
      </c>
      <c r="H2180" s="3">
        <v>89.99</v>
      </c>
      <c r="I2180" s="3">
        <f>ProductLine[[#This Row],[Units]]*ProductLine[[#This Row],[Dollars]]</f>
        <v>539.93999999999994</v>
      </c>
    </row>
    <row r="2181" spans="1:9" x14ac:dyDescent="0.35">
      <c r="A2181">
        <v>2180</v>
      </c>
      <c r="B2181" t="s">
        <v>14</v>
      </c>
      <c r="C2181" s="2">
        <v>43963</v>
      </c>
      <c r="D2181">
        <f>YEAR(ProductLine[[#This Row],[Date]])</f>
        <v>2020</v>
      </c>
      <c r="E2181">
        <f>MONTH(ProductLine[[#This Row],[Date]])</f>
        <v>5</v>
      </c>
      <c r="F2181" t="s">
        <v>26</v>
      </c>
      <c r="G2181">
        <v>10</v>
      </c>
      <c r="H2181" s="3">
        <v>69.489999999999995</v>
      </c>
      <c r="I2181" s="3">
        <f>ProductLine[[#This Row],[Units]]*ProductLine[[#This Row],[Dollars]]</f>
        <v>694.9</v>
      </c>
    </row>
    <row r="2182" spans="1:9" x14ac:dyDescent="0.35">
      <c r="A2182">
        <v>2181</v>
      </c>
      <c r="B2182" t="s">
        <v>14</v>
      </c>
      <c r="C2182" s="2">
        <v>43996</v>
      </c>
      <c r="D2182">
        <f>YEAR(ProductLine[[#This Row],[Date]])</f>
        <v>2020</v>
      </c>
      <c r="E2182">
        <f>MONTH(ProductLine[[#This Row],[Date]])</f>
        <v>6</v>
      </c>
      <c r="F2182" t="s">
        <v>26</v>
      </c>
      <c r="G2182">
        <v>11</v>
      </c>
      <c r="H2182" s="3">
        <v>89.99</v>
      </c>
      <c r="I2182" s="3">
        <f>ProductLine[[#This Row],[Units]]*ProductLine[[#This Row],[Dollars]]</f>
        <v>989.89</v>
      </c>
    </row>
    <row r="2183" spans="1:9" x14ac:dyDescent="0.35">
      <c r="A2183">
        <v>2182</v>
      </c>
      <c r="B2183" t="s">
        <v>14</v>
      </c>
      <c r="C2183" s="2">
        <v>43999</v>
      </c>
      <c r="D2183">
        <f>YEAR(ProductLine[[#This Row],[Date]])</f>
        <v>2020</v>
      </c>
      <c r="E2183">
        <f>MONTH(ProductLine[[#This Row],[Date]])</f>
        <v>6</v>
      </c>
      <c r="F2183" t="s">
        <v>26</v>
      </c>
      <c r="G2183">
        <v>15</v>
      </c>
      <c r="H2183" s="3">
        <v>69.489999999999995</v>
      </c>
      <c r="I2183" s="3">
        <f>ProductLine[[#This Row],[Units]]*ProductLine[[#This Row],[Dollars]]</f>
        <v>1042.3499999999999</v>
      </c>
    </row>
    <row r="2184" spans="1:9" x14ac:dyDescent="0.35">
      <c r="A2184">
        <v>2183</v>
      </c>
      <c r="B2184" t="s">
        <v>11</v>
      </c>
      <c r="C2184" s="2">
        <v>43938</v>
      </c>
      <c r="D2184">
        <f>YEAR(ProductLine[[#This Row],[Date]])</f>
        <v>2020</v>
      </c>
      <c r="E2184">
        <f>MONTH(ProductLine[[#This Row],[Date]])</f>
        <v>4</v>
      </c>
      <c r="F2184" t="s">
        <v>24</v>
      </c>
      <c r="G2184">
        <v>18</v>
      </c>
      <c r="H2184" s="3">
        <v>119.99</v>
      </c>
      <c r="I2184" s="3">
        <f>ProductLine[[#This Row],[Units]]*ProductLine[[#This Row],[Dollars]]</f>
        <v>2159.8199999999997</v>
      </c>
    </row>
    <row r="2185" spans="1:9" x14ac:dyDescent="0.35">
      <c r="A2185">
        <v>2184</v>
      </c>
      <c r="B2185" t="s">
        <v>11</v>
      </c>
      <c r="C2185" s="2">
        <v>43961</v>
      </c>
      <c r="D2185">
        <f>YEAR(ProductLine[[#This Row],[Date]])</f>
        <v>2020</v>
      </c>
      <c r="E2185">
        <f>MONTH(ProductLine[[#This Row],[Date]])</f>
        <v>5</v>
      </c>
      <c r="F2185" t="s">
        <v>24</v>
      </c>
      <c r="G2185">
        <v>10</v>
      </c>
      <c r="H2185" s="3">
        <v>98.99</v>
      </c>
      <c r="I2185" s="3">
        <f>ProductLine[[#This Row],[Units]]*ProductLine[[#This Row],[Dollars]]</f>
        <v>989.9</v>
      </c>
    </row>
    <row r="2186" spans="1:9" x14ac:dyDescent="0.35">
      <c r="A2186">
        <v>2185</v>
      </c>
      <c r="B2186" t="s">
        <v>13</v>
      </c>
      <c r="C2186" s="2">
        <v>43940</v>
      </c>
      <c r="D2186">
        <f>YEAR(ProductLine[[#This Row],[Date]])</f>
        <v>2020</v>
      </c>
      <c r="E2186">
        <f>MONTH(ProductLine[[#This Row],[Date]])</f>
        <v>4</v>
      </c>
      <c r="F2186" t="s">
        <v>24</v>
      </c>
      <c r="G2186">
        <v>16</v>
      </c>
      <c r="H2186" s="3">
        <v>129.99</v>
      </c>
      <c r="I2186" s="3">
        <f>ProductLine[[#This Row],[Units]]*ProductLine[[#This Row],[Dollars]]</f>
        <v>2079.84</v>
      </c>
    </row>
    <row r="2187" spans="1:9" x14ac:dyDescent="0.35">
      <c r="A2187">
        <v>2186</v>
      </c>
      <c r="B2187" t="s">
        <v>13</v>
      </c>
      <c r="C2187" s="2">
        <v>43994</v>
      </c>
      <c r="D2187">
        <f>YEAR(ProductLine[[#This Row],[Date]])</f>
        <v>2020</v>
      </c>
      <c r="E2187">
        <f>MONTH(ProductLine[[#This Row],[Date]])</f>
        <v>6</v>
      </c>
      <c r="F2187" t="s">
        <v>24</v>
      </c>
      <c r="G2187">
        <v>10</v>
      </c>
      <c r="H2187" s="3">
        <v>119.99</v>
      </c>
      <c r="I2187" s="3">
        <f>ProductLine[[#This Row],[Units]]*ProductLine[[#This Row],[Dollars]]</f>
        <v>1199.8999999999999</v>
      </c>
    </row>
    <row r="2188" spans="1:9" x14ac:dyDescent="0.35">
      <c r="A2188">
        <v>2187</v>
      </c>
      <c r="B2188" t="s">
        <v>14</v>
      </c>
      <c r="C2188" s="2">
        <v>43940</v>
      </c>
      <c r="D2188">
        <f>YEAR(ProductLine[[#This Row],[Date]])</f>
        <v>2020</v>
      </c>
      <c r="E2188">
        <f>MONTH(ProductLine[[#This Row],[Date]])</f>
        <v>4</v>
      </c>
      <c r="F2188" t="s">
        <v>24</v>
      </c>
      <c r="G2188">
        <v>18</v>
      </c>
      <c r="H2188" s="3">
        <v>119.99</v>
      </c>
      <c r="I2188" s="3">
        <f>ProductLine[[#This Row],[Units]]*ProductLine[[#This Row],[Dollars]]</f>
        <v>2159.8199999999997</v>
      </c>
    </row>
    <row r="2189" spans="1:9" x14ac:dyDescent="0.35">
      <c r="A2189">
        <v>2188</v>
      </c>
      <c r="B2189" t="s">
        <v>14</v>
      </c>
      <c r="C2189" s="2">
        <v>43929</v>
      </c>
      <c r="D2189">
        <f>YEAR(ProductLine[[#This Row],[Date]])</f>
        <v>2020</v>
      </c>
      <c r="E2189">
        <f>MONTH(ProductLine[[#This Row],[Date]])</f>
        <v>4</v>
      </c>
      <c r="F2189" t="s">
        <v>24</v>
      </c>
      <c r="G2189">
        <v>12</v>
      </c>
      <c r="H2189" s="3">
        <v>89.99</v>
      </c>
      <c r="I2189" s="3">
        <f>ProductLine[[#This Row],[Units]]*ProductLine[[#This Row],[Dollars]]</f>
        <v>1079.8799999999999</v>
      </c>
    </row>
    <row r="2190" spans="1:9" x14ac:dyDescent="0.35">
      <c r="A2190">
        <v>2189</v>
      </c>
      <c r="B2190" t="s">
        <v>14</v>
      </c>
      <c r="C2190" s="2">
        <v>43957</v>
      </c>
      <c r="D2190">
        <f>YEAR(ProductLine[[#This Row],[Date]])</f>
        <v>2020</v>
      </c>
      <c r="E2190">
        <f>MONTH(ProductLine[[#This Row],[Date]])</f>
        <v>5</v>
      </c>
      <c r="F2190" t="s">
        <v>24</v>
      </c>
      <c r="G2190">
        <v>14</v>
      </c>
      <c r="H2190" s="3">
        <v>119.99</v>
      </c>
      <c r="I2190" s="3">
        <f>ProductLine[[#This Row],[Units]]*ProductLine[[#This Row],[Dollars]]</f>
        <v>1679.86</v>
      </c>
    </row>
    <row r="2191" spans="1:9" x14ac:dyDescent="0.35">
      <c r="A2191">
        <v>2190</v>
      </c>
      <c r="B2191" t="s">
        <v>14</v>
      </c>
      <c r="C2191" s="2">
        <v>43987</v>
      </c>
      <c r="D2191">
        <f>YEAR(ProductLine[[#This Row],[Date]])</f>
        <v>2020</v>
      </c>
      <c r="E2191">
        <f>MONTH(ProductLine[[#This Row],[Date]])</f>
        <v>6</v>
      </c>
      <c r="F2191" t="s">
        <v>24</v>
      </c>
      <c r="G2191">
        <v>8</v>
      </c>
      <c r="H2191" s="3">
        <v>89.99</v>
      </c>
      <c r="I2191" s="3">
        <f>ProductLine[[#This Row],[Units]]*ProductLine[[#This Row],[Dollars]]</f>
        <v>719.92</v>
      </c>
    </row>
    <row r="2192" spans="1:9" x14ac:dyDescent="0.35">
      <c r="A2192">
        <v>2191</v>
      </c>
      <c r="B2192" t="s">
        <v>18</v>
      </c>
      <c r="C2192" s="2">
        <v>43931</v>
      </c>
      <c r="D2192">
        <f>YEAR(ProductLine[[#This Row],[Date]])</f>
        <v>2020</v>
      </c>
      <c r="E2192">
        <f>MONTH(ProductLine[[#This Row],[Date]])</f>
        <v>4</v>
      </c>
      <c r="F2192" t="s">
        <v>24</v>
      </c>
      <c r="G2192">
        <v>10</v>
      </c>
      <c r="H2192" s="3">
        <v>119.99</v>
      </c>
      <c r="I2192" s="3">
        <f>ProductLine[[#This Row],[Units]]*ProductLine[[#This Row],[Dollars]]</f>
        <v>1199.8999999999999</v>
      </c>
    </row>
    <row r="2193" spans="1:9" x14ac:dyDescent="0.35">
      <c r="A2193">
        <v>2192</v>
      </c>
      <c r="B2193" t="s">
        <v>18</v>
      </c>
      <c r="C2193" s="2">
        <v>43933</v>
      </c>
      <c r="D2193">
        <f>YEAR(ProductLine[[#This Row],[Date]])</f>
        <v>2020</v>
      </c>
      <c r="E2193">
        <f>MONTH(ProductLine[[#This Row],[Date]])</f>
        <v>4</v>
      </c>
      <c r="F2193" t="s">
        <v>24</v>
      </c>
      <c r="G2193">
        <v>14</v>
      </c>
      <c r="H2193" s="3">
        <v>129.99</v>
      </c>
      <c r="I2193" s="3">
        <f>ProductLine[[#This Row],[Units]]*ProductLine[[#This Row],[Dollars]]</f>
        <v>1819.8600000000001</v>
      </c>
    </row>
    <row r="2194" spans="1:9" x14ac:dyDescent="0.35">
      <c r="A2194">
        <v>2193</v>
      </c>
      <c r="B2194" t="s">
        <v>18</v>
      </c>
      <c r="C2194" s="2">
        <v>43946</v>
      </c>
      <c r="D2194">
        <f>YEAR(ProductLine[[#This Row],[Date]])</f>
        <v>2020</v>
      </c>
      <c r="E2194">
        <f>MONTH(ProductLine[[#This Row],[Date]])</f>
        <v>4</v>
      </c>
      <c r="F2194" t="s">
        <v>24</v>
      </c>
      <c r="G2194">
        <v>6</v>
      </c>
      <c r="H2194" s="3">
        <v>149.99</v>
      </c>
      <c r="I2194" s="3">
        <f>ProductLine[[#This Row],[Units]]*ProductLine[[#This Row],[Dollars]]</f>
        <v>899.94</v>
      </c>
    </row>
    <row r="2195" spans="1:9" x14ac:dyDescent="0.35">
      <c r="A2195">
        <v>2194</v>
      </c>
      <c r="B2195" t="s">
        <v>18</v>
      </c>
      <c r="C2195" s="2">
        <v>43984</v>
      </c>
      <c r="D2195">
        <f>YEAR(ProductLine[[#This Row],[Date]])</f>
        <v>2020</v>
      </c>
      <c r="E2195">
        <f>MONTH(ProductLine[[#This Row],[Date]])</f>
        <v>6</v>
      </c>
      <c r="F2195" t="s">
        <v>24</v>
      </c>
      <c r="G2195">
        <v>8</v>
      </c>
      <c r="H2195" s="3">
        <v>119.99</v>
      </c>
      <c r="I2195" s="3">
        <f>ProductLine[[#This Row],[Units]]*ProductLine[[#This Row],[Dollars]]</f>
        <v>959.92</v>
      </c>
    </row>
    <row r="2196" spans="1:9" x14ac:dyDescent="0.35">
      <c r="A2196">
        <v>2195</v>
      </c>
      <c r="B2196" t="s">
        <v>18</v>
      </c>
      <c r="C2196" s="2">
        <v>43989</v>
      </c>
      <c r="D2196">
        <f>YEAR(ProductLine[[#This Row],[Date]])</f>
        <v>2020</v>
      </c>
      <c r="E2196">
        <f>MONTH(ProductLine[[#This Row],[Date]])</f>
        <v>6</v>
      </c>
      <c r="F2196" t="s">
        <v>24</v>
      </c>
      <c r="G2196">
        <v>5</v>
      </c>
      <c r="H2196" s="3">
        <v>129.99</v>
      </c>
      <c r="I2196" s="3">
        <f>ProductLine[[#This Row],[Units]]*ProductLine[[#This Row],[Dollars]]</f>
        <v>649.95000000000005</v>
      </c>
    </row>
    <row r="2197" spans="1:9" x14ac:dyDescent="0.35">
      <c r="A2197">
        <v>2196</v>
      </c>
      <c r="B2197" t="s">
        <v>18</v>
      </c>
      <c r="C2197" s="2">
        <v>43993</v>
      </c>
      <c r="D2197">
        <f>YEAR(ProductLine[[#This Row],[Date]])</f>
        <v>2020</v>
      </c>
      <c r="E2197">
        <f>MONTH(ProductLine[[#This Row],[Date]])</f>
        <v>6</v>
      </c>
      <c r="F2197" t="s">
        <v>24</v>
      </c>
      <c r="G2197">
        <v>6</v>
      </c>
      <c r="H2197" s="3">
        <v>89.45</v>
      </c>
      <c r="I2197" s="3">
        <f>ProductLine[[#This Row],[Units]]*ProductLine[[#This Row],[Dollars]]</f>
        <v>536.70000000000005</v>
      </c>
    </row>
    <row r="2198" spans="1:9" x14ac:dyDescent="0.35">
      <c r="A2198">
        <v>2197</v>
      </c>
      <c r="B2198" t="s">
        <v>11</v>
      </c>
      <c r="C2198" s="2">
        <v>43932</v>
      </c>
      <c r="D2198">
        <f>YEAR(ProductLine[[#This Row],[Date]])</f>
        <v>2020</v>
      </c>
      <c r="E2198">
        <f>MONTH(ProductLine[[#This Row],[Date]])</f>
        <v>4</v>
      </c>
      <c r="F2198" t="s">
        <v>23</v>
      </c>
      <c r="G2198">
        <v>12</v>
      </c>
      <c r="H2198" s="3">
        <v>39.99</v>
      </c>
      <c r="I2198" s="3">
        <f>ProductLine[[#This Row],[Units]]*ProductLine[[#This Row],[Dollars]]</f>
        <v>479.88</v>
      </c>
    </row>
    <row r="2199" spans="1:9" x14ac:dyDescent="0.35">
      <c r="A2199">
        <v>2198</v>
      </c>
      <c r="B2199" t="s">
        <v>11</v>
      </c>
      <c r="C2199" s="2">
        <v>43967</v>
      </c>
      <c r="D2199">
        <f>YEAR(ProductLine[[#This Row],[Date]])</f>
        <v>2020</v>
      </c>
      <c r="E2199">
        <f>MONTH(ProductLine[[#This Row],[Date]])</f>
        <v>5</v>
      </c>
      <c r="F2199" t="s">
        <v>23</v>
      </c>
      <c r="G2199">
        <v>8</v>
      </c>
      <c r="H2199" s="3">
        <v>49.45</v>
      </c>
      <c r="I2199" s="3">
        <f>ProductLine[[#This Row],[Units]]*ProductLine[[#This Row],[Dollars]]</f>
        <v>395.6</v>
      </c>
    </row>
    <row r="2200" spans="1:9" x14ac:dyDescent="0.35">
      <c r="A2200">
        <v>2199</v>
      </c>
      <c r="B2200" t="s">
        <v>11</v>
      </c>
      <c r="C2200" s="2">
        <v>43971</v>
      </c>
      <c r="D2200">
        <f>YEAR(ProductLine[[#This Row],[Date]])</f>
        <v>2020</v>
      </c>
      <c r="E2200">
        <f>MONTH(ProductLine[[#This Row],[Date]])</f>
        <v>5</v>
      </c>
      <c r="F2200" t="s">
        <v>23</v>
      </c>
      <c r="G2200">
        <v>9</v>
      </c>
      <c r="H2200" s="3">
        <v>64.45</v>
      </c>
      <c r="I2200" s="3">
        <f>ProductLine[[#This Row],[Units]]*ProductLine[[#This Row],[Dollars]]</f>
        <v>580.05000000000007</v>
      </c>
    </row>
    <row r="2201" spans="1:9" x14ac:dyDescent="0.35">
      <c r="A2201">
        <v>2200</v>
      </c>
      <c r="B2201" t="s">
        <v>9</v>
      </c>
      <c r="C2201" s="2">
        <v>43936</v>
      </c>
      <c r="D2201">
        <f>YEAR(ProductLine[[#This Row],[Date]])</f>
        <v>2020</v>
      </c>
      <c r="E2201">
        <f>MONTH(ProductLine[[#This Row],[Date]])</f>
        <v>4</v>
      </c>
      <c r="F2201" t="s">
        <v>23</v>
      </c>
      <c r="G2201">
        <v>4</v>
      </c>
      <c r="H2201" s="3">
        <v>49.45</v>
      </c>
      <c r="I2201" s="3">
        <f>ProductLine[[#This Row],[Units]]*ProductLine[[#This Row],[Dollars]]</f>
        <v>197.8</v>
      </c>
    </row>
    <row r="2202" spans="1:9" x14ac:dyDescent="0.35">
      <c r="A2202">
        <v>2201</v>
      </c>
      <c r="B2202" t="s">
        <v>9</v>
      </c>
      <c r="C2202" s="2">
        <v>43944</v>
      </c>
      <c r="D2202">
        <f>YEAR(ProductLine[[#This Row],[Date]])</f>
        <v>2020</v>
      </c>
      <c r="E2202">
        <f>MONTH(ProductLine[[#This Row],[Date]])</f>
        <v>4</v>
      </c>
      <c r="F2202" t="s">
        <v>23</v>
      </c>
      <c r="G2202">
        <v>6</v>
      </c>
      <c r="H2202" s="3">
        <v>68.989999999999995</v>
      </c>
      <c r="I2202" s="3">
        <f>ProductLine[[#This Row],[Units]]*ProductLine[[#This Row],[Dollars]]</f>
        <v>413.93999999999994</v>
      </c>
    </row>
    <row r="2203" spans="1:9" x14ac:dyDescent="0.35">
      <c r="A2203">
        <v>2202</v>
      </c>
      <c r="B2203" t="s">
        <v>9</v>
      </c>
      <c r="C2203" s="2">
        <v>44000</v>
      </c>
      <c r="D2203">
        <f>YEAR(ProductLine[[#This Row],[Date]])</f>
        <v>2020</v>
      </c>
      <c r="E2203">
        <f>MONTH(ProductLine[[#This Row],[Date]])</f>
        <v>6</v>
      </c>
      <c r="F2203" t="s">
        <v>23</v>
      </c>
      <c r="G2203">
        <v>8</v>
      </c>
      <c r="H2203" s="3">
        <v>78.989999999999995</v>
      </c>
      <c r="I2203" s="3">
        <f>ProductLine[[#This Row],[Units]]*ProductLine[[#This Row],[Dollars]]</f>
        <v>631.91999999999996</v>
      </c>
    </row>
    <row r="2204" spans="1:9" x14ac:dyDescent="0.35">
      <c r="A2204">
        <v>2203</v>
      </c>
      <c r="B2204" t="s">
        <v>13</v>
      </c>
      <c r="C2204" s="2">
        <v>43940</v>
      </c>
      <c r="D2204">
        <f>YEAR(ProductLine[[#This Row],[Date]])</f>
        <v>2020</v>
      </c>
      <c r="E2204">
        <f>MONTH(ProductLine[[#This Row],[Date]])</f>
        <v>4</v>
      </c>
      <c r="F2204" t="s">
        <v>23</v>
      </c>
      <c r="G2204">
        <v>11</v>
      </c>
      <c r="H2204" s="3">
        <v>109.89</v>
      </c>
      <c r="I2204" s="3">
        <f>ProductLine[[#This Row],[Units]]*ProductLine[[#This Row],[Dollars]]</f>
        <v>1208.79</v>
      </c>
    </row>
    <row r="2205" spans="1:9" x14ac:dyDescent="0.35">
      <c r="A2205">
        <v>2204</v>
      </c>
      <c r="B2205" t="s">
        <v>13</v>
      </c>
      <c r="C2205" s="2">
        <v>43935</v>
      </c>
      <c r="D2205">
        <f>YEAR(ProductLine[[#This Row],[Date]])</f>
        <v>2020</v>
      </c>
      <c r="E2205">
        <f>MONTH(ProductLine[[#This Row],[Date]])</f>
        <v>4</v>
      </c>
      <c r="F2205" t="s">
        <v>23</v>
      </c>
      <c r="G2205">
        <v>14</v>
      </c>
      <c r="H2205" s="3">
        <v>48.99</v>
      </c>
      <c r="I2205" s="3">
        <f>ProductLine[[#This Row],[Units]]*ProductLine[[#This Row],[Dollars]]</f>
        <v>685.86</v>
      </c>
    </row>
    <row r="2206" spans="1:9" x14ac:dyDescent="0.35">
      <c r="A2206">
        <v>2205</v>
      </c>
      <c r="B2206" t="s">
        <v>14</v>
      </c>
      <c r="C2206" s="2">
        <v>43952</v>
      </c>
      <c r="D2206">
        <f>YEAR(ProductLine[[#This Row],[Date]])</f>
        <v>2020</v>
      </c>
      <c r="E2206">
        <f>MONTH(ProductLine[[#This Row],[Date]])</f>
        <v>5</v>
      </c>
      <c r="F2206" t="s">
        <v>23</v>
      </c>
      <c r="G2206">
        <v>9</v>
      </c>
      <c r="H2206" s="3">
        <v>89.89</v>
      </c>
      <c r="I2206" s="3">
        <f>ProductLine[[#This Row],[Units]]*ProductLine[[#This Row],[Dollars]]</f>
        <v>809.01</v>
      </c>
    </row>
    <row r="2207" spans="1:9" x14ac:dyDescent="0.35">
      <c r="A2207">
        <v>2206</v>
      </c>
      <c r="B2207" t="s">
        <v>14</v>
      </c>
      <c r="C2207" s="2">
        <v>43954</v>
      </c>
      <c r="D2207">
        <f>YEAR(ProductLine[[#This Row],[Date]])</f>
        <v>2020</v>
      </c>
      <c r="E2207">
        <f>MONTH(ProductLine[[#This Row],[Date]])</f>
        <v>5</v>
      </c>
      <c r="F2207" t="s">
        <v>23</v>
      </c>
      <c r="G2207">
        <v>14</v>
      </c>
      <c r="H2207" s="3">
        <v>38.99</v>
      </c>
      <c r="I2207" s="3">
        <f>ProductLine[[#This Row],[Units]]*ProductLine[[#This Row],[Dollars]]</f>
        <v>545.86</v>
      </c>
    </row>
    <row r="2208" spans="1:9" x14ac:dyDescent="0.35">
      <c r="A2208">
        <v>2207</v>
      </c>
      <c r="B2208" t="s">
        <v>14</v>
      </c>
      <c r="C2208" s="2">
        <v>43991</v>
      </c>
      <c r="D2208">
        <f>YEAR(ProductLine[[#This Row],[Date]])</f>
        <v>2020</v>
      </c>
      <c r="E2208">
        <f>MONTH(ProductLine[[#This Row],[Date]])</f>
        <v>6</v>
      </c>
      <c r="F2208" t="s">
        <v>23</v>
      </c>
      <c r="G2208">
        <v>10</v>
      </c>
      <c r="H2208" s="3">
        <v>49.39</v>
      </c>
      <c r="I2208" s="3">
        <f>ProductLine[[#This Row],[Units]]*ProductLine[[#This Row],[Dollars]]</f>
        <v>493.9</v>
      </c>
    </row>
    <row r="2209" spans="1:9" x14ac:dyDescent="0.35">
      <c r="A2209">
        <v>2208</v>
      </c>
      <c r="B2209" t="s">
        <v>14</v>
      </c>
      <c r="C2209" s="2">
        <v>44000</v>
      </c>
      <c r="D2209">
        <f>YEAR(ProductLine[[#This Row],[Date]])</f>
        <v>2020</v>
      </c>
      <c r="E2209">
        <f>MONTH(ProductLine[[#This Row],[Date]])</f>
        <v>6</v>
      </c>
      <c r="F2209" t="s">
        <v>23</v>
      </c>
      <c r="G2209">
        <v>14</v>
      </c>
      <c r="H2209" s="3">
        <v>78.989999999999995</v>
      </c>
      <c r="I2209" s="3">
        <f>ProductLine[[#This Row],[Units]]*ProductLine[[#This Row],[Dollars]]</f>
        <v>1105.8599999999999</v>
      </c>
    </row>
    <row r="2210" spans="1:9" x14ac:dyDescent="0.35">
      <c r="A2210">
        <v>2209</v>
      </c>
      <c r="B2210" t="s">
        <v>19</v>
      </c>
      <c r="C2210" s="2">
        <v>43984</v>
      </c>
      <c r="D2210">
        <f>YEAR(ProductLine[[#This Row],[Date]])</f>
        <v>2020</v>
      </c>
      <c r="E2210">
        <f>MONTH(ProductLine[[#This Row],[Date]])</f>
        <v>6</v>
      </c>
      <c r="F2210" t="s">
        <v>23</v>
      </c>
      <c r="G2210">
        <v>6</v>
      </c>
      <c r="H2210" s="3">
        <v>39.99</v>
      </c>
      <c r="I2210" s="3">
        <f>ProductLine[[#This Row],[Units]]*ProductLine[[#This Row],[Dollars]]</f>
        <v>239.94</v>
      </c>
    </row>
    <row r="2211" spans="1:9" x14ac:dyDescent="0.35">
      <c r="A2211">
        <v>2210</v>
      </c>
      <c r="B2211" t="s">
        <v>19</v>
      </c>
      <c r="C2211" s="2">
        <v>43994</v>
      </c>
      <c r="D2211">
        <f>YEAR(ProductLine[[#This Row],[Date]])</f>
        <v>2020</v>
      </c>
      <c r="E2211">
        <f>MONTH(ProductLine[[#This Row],[Date]])</f>
        <v>6</v>
      </c>
      <c r="F2211" t="s">
        <v>23</v>
      </c>
      <c r="G2211">
        <v>8</v>
      </c>
      <c r="H2211" s="3">
        <v>78.989999999999995</v>
      </c>
      <c r="I2211" s="3">
        <f>ProductLine[[#This Row],[Units]]*ProductLine[[#This Row],[Dollars]]</f>
        <v>631.91999999999996</v>
      </c>
    </row>
    <row r="2212" spans="1:9" x14ac:dyDescent="0.35">
      <c r="A2212">
        <v>2211</v>
      </c>
      <c r="B2212" t="s">
        <v>19</v>
      </c>
      <c r="C2212" s="2">
        <v>43965</v>
      </c>
      <c r="D2212">
        <f>YEAR(ProductLine[[#This Row],[Date]])</f>
        <v>2020</v>
      </c>
      <c r="E2212">
        <f>MONTH(ProductLine[[#This Row],[Date]])</f>
        <v>5</v>
      </c>
      <c r="F2212" t="s">
        <v>23</v>
      </c>
      <c r="G2212">
        <v>14</v>
      </c>
      <c r="H2212" s="3">
        <v>89.45</v>
      </c>
      <c r="I2212" s="3">
        <f>ProductLine[[#This Row],[Units]]*ProductLine[[#This Row],[Dollars]]</f>
        <v>1252.3</v>
      </c>
    </row>
    <row r="2213" spans="1:9" x14ac:dyDescent="0.35">
      <c r="A2213">
        <v>2212</v>
      </c>
      <c r="B2213" t="s">
        <v>19</v>
      </c>
      <c r="C2213" s="2">
        <v>43969</v>
      </c>
      <c r="D2213">
        <f>YEAR(ProductLine[[#This Row],[Date]])</f>
        <v>2020</v>
      </c>
      <c r="E2213">
        <f>MONTH(ProductLine[[#This Row],[Date]])</f>
        <v>5</v>
      </c>
      <c r="F2213" t="s">
        <v>23</v>
      </c>
      <c r="G2213">
        <v>11</v>
      </c>
      <c r="H2213" s="3">
        <v>38.99</v>
      </c>
      <c r="I2213" s="3">
        <f>ProductLine[[#This Row],[Units]]*ProductLine[[#This Row],[Dollars]]</f>
        <v>428.89000000000004</v>
      </c>
    </row>
    <row r="2214" spans="1:9" x14ac:dyDescent="0.35">
      <c r="A2214">
        <v>2213</v>
      </c>
      <c r="B2214" t="s">
        <v>19</v>
      </c>
      <c r="C2214" s="2">
        <v>43940</v>
      </c>
      <c r="D2214">
        <f>YEAR(ProductLine[[#This Row],[Date]])</f>
        <v>2020</v>
      </c>
      <c r="E2214">
        <f>MONTH(ProductLine[[#This Row],[Date]])</f>
        <v>4</v>
      </c>
      <c r="F2214" t="s">
        <v>23</v>
      </c>
      <c r="G2214">
        <v>6</v>
      </c>
      <c r="H2214" s="3">
        <v>49.99</v>
      </c>
      <c r="I2214" s="3">
        <f>ProductLine[[#This Row],[Units]]*ProductLine[[#This Row],[Dollars]]</f>
        <v>299.94</v>
      </c>
    </row>
    <row r="2215" spans="1:9" x14ac:dyDescent="0.35">
      <c r="A2215">
        <v>2214</v>
      </c>
      <c r="B2215" t="s">
        <v>19</v>
      </c>
      <c r="C2215" s="2">
        <v>43923</v>
      </c>
      <c r="D2215">
        <f>YEAR(ProductLine[[#This Row],[Date]])</f>
        <v>2020</v>
      </c>
      <c r="E2215">
        <f>MONTH(ProductLine[[#This Row],[Date]])</f>
        <v>4</v>
      </c>
      <c r="F2215" t="s">
        <v>23</v>
      </c>
      <c r="G2215">
        <v>4</v>
      </c>
      <c r="H2215" s="3">
        <v>79.989999999999995</v>
      </c>
      <c r="I2215" s="3">
        <f>ProductLine[[#This Row],[Units]]*ProductLine[[#This Row],[Dollars]]</f>
        <v>319.95999999999998</v>
      </c>
    </row>
    <row r="2216" spans="1:9" x14ac:dyDescent="0.35">
      <c r="A2216">
        <v>2215</v>
      </c>
      <c r="B2216" t="s">
        <v>18</v>
      </c>
      <c r="C2216" s="2">
        <v>43933</v>
      </c>
      <c r="D2216">
        <f>YEAR(ProductLine[[#This Row],[Date]])</f>
        <v>2020</v>
      </c>
      <c r="E2216">
        <f>MONTH(ProductLine[[#This Row],[Date]])</f>
        <v>4</v>
      </c>
      <c r="F2216" t="s">
        <v>23</v>
      </c>
      <c r="G2216">
        <v>3</v>
      </c>
      <c r="H2216" s="3">
        <v>49.99</v>
      </c>
      <c r="I2216" s="3">
        <f>ProductLine[[#This Row],[Units]]*ProductLine[[#This Row],[Dollars]]</f>
        <v>149.97</v>
      </c>
    </row>
    <row r="2217" spans="1:9" x14ac:dyDescent="0.35">
      <c r="A2217">
        <v>2216</v>
      </c>
      <c r="B2217" t="s">
        <v>18</v>
      </c>
      <c r="C2217" s="2">
        <v>43932</v>
      </c>
      <c r="D2217">
        <f>YEAR(ProductLine[[#This Row],[Date]])</f>
        <v>2020</v>
      </c>
      <c r="E2217">
        <f>MONTH(ProductLine[[#This Row],[Date]])</f>
        <v>4</v>
      </c>
      <c r="F2217" t="s">
        <v>23</v>
      </c>
      <c r="G2217">
        <v>5</v>
      </c>
      <c r="H2217" s="3">
        <v>69.989999999999995</v>
      </c>
      <c r="I2217" s="3">
        <f>ProductLine[[#This Row],[Units]]*ProductLine[[#This Row],[Dollars]]</f>
        <v>349.95</v>
      </c>
    </row>
    <row r="2218" spans="1:9" x14ac:dyDescent="0.35">
      <c r="A2218">
        <v>2217</v>
      </c>
      <c r="B2218" t="s">
        <v>18</v>
      </c>
      <c r="C2218" s="2">
        <v>43926</v>
      </c>
      <c r="D2218">
        <f>YEAR(ProductLine[[#This Row],[Date]])</f>
        <v>2020</v>
      </c>
      <c r="E2218">
        <f>MONTH(ProductLine[[#This Row],[Date]])</f>
        <v>4</v>
      </c>
      <c r="F2218" t="s">
        <v>23</v>
      </c>
      <c r="G2218">
        <v>7</v>
      </c>
      <c r="H2218" s="3">
        <v>78.989999999999995</v>
      </c>
      <c r="I2218" s="3">
        <f>ProductLine[[#This Row],[Units]]*ProductLine[[#This Row],[Dollars]]</f>
        <v>552.92999999999995</v>
      </c>
    </row>
    <row r="2219" spans="1:9" x14ac:dyDescent="0.35">
      <c r="A2219">
        <v>2218</v>
      </c>
      <c r="B2219" t="s">
        <v>18</v>
      </c>
      <c r="C2219" s="2">
        <v>43992</v>
      </c>
      <c r="D2219">
        <f>YEAR(ProductLine[[#This Row],[Date]])</f>
        <v>2020</v>
      </c>
      <c r="E2219">
        <f>MONTH(ProductLine[[#This Row],[Date]])</f>
        <v>6</v>
      </c>
      <c r="F2219" t="s">
        <v>23</v>
      </c>
      <c r="G2219">
        <v>12</v>
      </c>
      <c r="H2219" s="3">
        <v>34.99</v>
      </c>
      <c r="I2219" s="3">
        <f>ProductLine[[#This Row],[Units]]*ProductLine[[#This Row],[Dollars]]</f>
        <v>419.88</v>
      </c>
    </row>
    <row r="2220" spans="1:9" x14ac:dyDescent="0.35">
      <c r="A2220">
        <v>2219</v>
      </c>
      <c r="B2220" t="s">
        <v>18</v>
      </c>
      <c r="C2220" s="2">
        <v>44003</v>
      </c>
      <c r="D2220">
        <f>YEAR(ProductLine[[#This Row],[Date]])</f>
        <v>2020</v>
      </c>
      <c r="E2220">
        <f>MONTH(ProductLine[[#This Row],[Date]])</f>
        <v>6</v>
      </c>
      <c r="F2220" t="s">
        <v>23</v>
      </c>
      <c r="G2220">
        <v>8</v>
      </c>
      <c r="H2220" s="3">
        <v>79.989999999999995</v>
      </c>
      <c r="I2220" s="3">
        <f>ProductLine[[#This Row],[Units]]*ProductLine[[#This Row],[Dollars]]</f>
        <v>639.91999999999996</v>
      </c>
    </row>
    <row r="2221" spans="1:9" x14ac:dyDescent="0.35">
      <c r="A2221">
        <v>2220</v>
      </c>
      <c r="B2221" t="s">
        <v>18</v>
      </c>
      <c r="C2221" s="2">
        <v>44002</v>
      </c>
      <c r="D2221">
        <f>YEAR(ProductLine[[#This Row],[Date]])</f>
        <v>2020</v>
      </c>
      <c r="E2221">
        <f>MONTH(ProductLine[[#This Row],[Date]])</f>
        <v>6</v>
      </c>
      <c r="F2221" t="s">
        <v>23</v>
      </c>
      <c r="G2221">
        <v>14</v>
      </c>
      <c r="H2221" s="3">
        <v>49.45</v>
      </c>
      <c r="I2221" s="3">
        <f>ProductLine[[#This Row],[Units]]*ProductLine[[#This Row],[Dollars]]</f>
        <v>692.30000000000007</v>
      </c>
    </row>
    <row r="2222" spans="1:9" x14ac:dyDescent="0.35">
      <c r="A2222">
        <v>2221</v>
      </c>
      <c r="B2222" t="s">
        <v>18</v>
      </c>
      <c r="C2222" s="2">
        <v>43937</v>
      </c>
      <c r="D2222">
        <f>YEAR(ProductLine[[#This Row],[Date]])</f>
        <v>2020</v>
      </c>
      <c r="E2222">
        <f>MONTH(ProductLine[[#This Row],[Date]])</f>
        <v>4</v>
      </c>
      <c r="F2222" t="s">
        <v>25</v>
      </c>
      <c r="G2222">
        <v>21</v>
      </c>
      <c r="H2222" s="3">
        <v>49.99</v>
      </c>
      <c r="I2222" s="3">
        <f>ProductLine[[#This Row],[Units]]*ProductLine[[#This Row],[Dollars]]</f>
        <v>1049.79</v>
      </c>
    </row>
    <row r="2223" spans="1:9" x14ac:dyDescent="0.35">
      <c r="A2223">
        <v>2222</v>
      </c>
      <c r="B2223" t="s">
        <v>18</v>
      </c>
      <c r="C2223" s="2">
        <v>43969</v>
      </c>
      <c r="D2223">
        <f>YEAR(ProductLine[[#This Row],[Date]])</f>
        <v>2020</v>
      </c>
      <c r="E2223">
        <f>MONTH(ProductLine[[#This Row],[Date]])</f>
        <v>5</v>
      </c>
      <c r="F2223" t="s">
        <v>25</v>
      </c>
      <c r="G2223">
        <v>18</v>
      </c>
      <c r="H2223" s="3">
        <v>99.5</v>
      </c>
      <c r="I2223" s="3">
        <f>ProductLine[[#This Row],[Units]]*ProductLine[[#This Row],[Dollars]]</f>
        <v>1791</v>
      </c>
    </row>
    <row r="2224" spans="1:9" x14ac:dyDescent="0.35">
      <c r="A2224">
        <v>2223</v>
      </c>
      <c r="B2224" t="s">
        <v>18</v>
      </c>
      <c r="C2224" s="2">
        <v>43970</v>
      </c>
      <c r="D2224">
        <f>YEAR(ProductLine[[#This Row],[Date]])</f>
        <v>2020</v>
      </c>
      <c r="E2224">
        <f>MONTH(ProductLine[[#This Row],[Date]])</f>
        <v>5</v>
      </c>
      <c r="F2224" t="s">
        <v>25</v>
      </c>
      <c r="G2224">
        <v>20</v>
      </c>
      <c r="H2224" s="3">
        <v>39.49</v>
      </c>
      <c r="I2224" s="3">
        <f>ProductLine[[#This Row],[Units]]*ProductLine[[#This Row],[Dollars]]</f>
        <v>789.80000000000007</v>
      </c>
    </row>
    <row r="2225" spans="1:9" x14ac:dyDescent="0.35">
      <c r="A2225">
        <v>2224</v>
      </c>
      <c r="B2225" t="s">
        <v>18</v>
      </c>
      <c r="C2225" s="2">
        <v>43975</v>
      </c>
      <c r="D2225">
        <f>YEAR(ProductLine[[#This Row],[Date]])</f>
        <v>2020</v>
      </c>
      <c r="E2225">
        <f>MONTH(ProductLine[[#This Row],[Date]])</f>
        <v>5</v>
      </c>
      <c r="F2225" t="s">
        <v>25</v>
      </c>
      <c r="G2225">
        <v>15</v>
      </c>
      <c r="H2225" s="3">
        <v>69.489999999999995</v>
      </c>
      <c r="I2225" s="3">
        <f>ProductLine[[#This Row],[Units]]*ProductLine[[#This Row],[Dollars]]</f>
        <v>1042.3499999999999</v>
      </c>
    </row>
    <row r="2226" spans="1:9" x14ac:dyDescent="0.35">
      <c r="A2226">
        <v>2225</v>
      </c>
      <c r="B2226" t="s">
        <v>13</v>
      </c>
      <c r="C2226" s="2">
        <v>43930</v>
      </c>
      <c r="D2226">
        <f>YEAR(ProductLine[[#This Row],[Date]])</f>
        <v>2020</v>
      </c>
      <c r="E2226">
        <f>MONTH(ProductLine[[#This Row],[Date]])</f>
        <v>4</v>
      </c>
      <c r="F2226" t="s">
        <v>27</v>
      </c>
      <c r="G2226">
        <v>12</v>
      </c>
      <c r="H2226" s="3">
        <v>79.989999999999995</v>
      </c>
      <c r="I2226" s="3">
        <f>ProductLine[[#This Row],[Units]]*ProductLine[[#This Row],[Dollars]]</f>
        <v>959.87999999999988</v>
      </c>
    </row>
    <row r="2227" spans="1:9" x14ac:dyDescent="0.35">
      <c r="A2227">
        <v>2226</v>
      </c>
      <c r="B2227" t="s">
        <v>13</v>
      </c>
      <c r="C2227" s="2">
        <v>43940</v>
      </c>
      <c r="D2227">
        <f>YEAR(ProductLine[[#This Row],[Date]])</f>
        <v>2020</v>
      </c>
      <c r="E2227">
        <f>MONTH(ProductLine[[#This Row],[Date]])</f>
        <v>4</v>
      </c>
      <c r="F2227" t="s">
        <v>27</v>
      </c>
      <c r="G2227">
        <v>8</v>
      </c>
      <c r="H2227" s="3">
        <v>119.49</v>
      </c>
      <c r="I2227" s="3">
        <f>ProductLine[[#This Row],[Units]]*ProductLine[[#This Row],[Dollars]]</f>
        <v>955.92</v>
      </c>
    </row>
    <row r="2228" spans="1:9" x14ac:dyDescent="0.35">
      <c r="A2228">
        <v>2227</v>
      </c>
      <c r="B2228" t="s">
        <v>13</v>
      </c>
      <c r="C2228" s="2">
        <v>43969</v>
      </c>
      <c r="D2228">
        <f>YEAR(ProductLine[[#This Row],[Date]])</f>
        <v>2020</v>
      </c>
      <c r="E2228">
        <f>MONTH(ProductLine[[#This Row],[Date]])</f>
        <v>5</v>
      </c>
      <c r="F2228" t="s">
        <v>27</v>
      </c>
      <c r="G2228">
        <v>5</v>
      </c>
      <c r="H2228" s="3">
        <v>139.99</v>
      </c>
      <c r="I2228" s="3">
        <f>ProductLine[[#This Row],[Units]]*ProductLine[[#This Row],[Dollars]]</f>
        <v>699.95</v>
      </c>
    </row>
    <row r="2229" spans="1:9" x14ac:dyDescent="0.35">
      <c r="A2229">
        <v>2228</v>
      </c>
      <c r="B2229" t="s">
        <v>13</v>
      </c>
      <c r="C2229" s="2">
        <v>43989</v>
      </c>
      <c r="D2229">
        <f>YEAR(ProductLine[[#This Row],[Date]])</f>
        <v>2020</v>
      </c>
      <c r="E2229">
        <f>MONTH(ProductLine[[#This Row],[Date]])</f>
        <v>6</v>
      </c>
      <c r="F2229" t="s">
        <v>27</v>
      </c>
      <c r="G2229">
        <v>6</v>
      </c>
      <c r="H2229" s="3">
        <v>98.99</v>
      </c>
      <c r="I2229" s="3">
        <f>ProductLine[[#This Row],[Units]]*ProductLine[[#This Row],[Dollars]]</f>
        <v>593.93999999999994</v>
      </c>
    </row>
    <row r="2230" spans="1:9" x14ac:dyDescent="0.35">
      <c r="A2230">
        <v>2229</v>
      </c>
      <c r="B2230" t="s">
        <v>13</v>
      </c>
      <c r="C2230" s="2">
        <v>43996</v>
      </c>
      <c r="D2230">
        <f>YEAR(ProductLine[[#This Row],[Date]])</f>
        <v>2020</v>
      </c>
      <c r="E2230">
        <f>MONTH(ProductLine[[#This Row],[Date]])</f>
        <v>6</v>
      </c>
      <c r="F2230" t="s">
        <v>27</v>
      </c>
      <c r="G2230">
        <v>12</v>
      </c>
      <c r="H2230" s="3">
        <v>123.59</v>
      </c>
      <c r="I2230" s="3">
        <f>ProductLine[[#This Row],[Units]]*ProductLine[[#This Row],[Dollars]]</f>
        <v>1483.08</v>
      </c>
    </row>
    <row r="2231" spans="1:9" x14ac:dyDescent="0.35">
      <c r="A2231">
        <v>2230</v>
      </c>
      <c r="B2231" t="s">
        <v>13</v>
      </c>
      <c r="C2231" s="2">
        <v>44010</v>
      </c>
      <c r="D2231">
        <f>YEAR(ProductLine[[#This Row],[Date]])</f>
        <v>2020</v>
      </c>
      <c r="E2231">
        <f>MONTH(ProductLine[[#This Row],[Date]])</f>
        <v>6</v>
      </c>
      <c r="F2231" t="s">
        <v>27</v>
      </c>
      <c r="G2231">
        <v>9</v>
      </c>
      <c r="H2231" s="3">
        <v>79.989999999999995</v>
      </c>
      <c r="I2231" s="3">
        <f>ProductLine[[#This Row],[Units]]*ProductLine[[#This Row],[Dollars]]</f>
        <v>719.91</v>
      </c>
    </row>
    <row r="2232" spans="1:9" x14ac:dyDescent="0.35">
      <c r="A2232">
        <v>2231</v>
      </c>
      <c r="B2232" t="s">
        <v>19</v>
      </c>
      <c r="C2232" s="2">
        <v>43928</v>
      </c>
      <c r="D2232">
        <f>YEAR(ProductLine[[#This Row],[Date]])</f>
        <v>2020</v>
      </c>
      <c r="E2232">
        <f>MONTH(ProductLine[[#This Row],[Date]])</f>
        <v>4</v>
      </c>
      <c r="F2232" t="s">
        <v>27</v>
      </c>
      <c r="G2232">
        <v>4</v>
      </c>
      <c r="H2232" s="3">
        <v>49.99</v>
      </c>
      <c r="I2232" s="3">
        <f>ProductLine[[#This Row],[Units]]*ProductLine[[#This Row],[Dollars]]</f>
        <v>199.96</v>
      </c>
    </row>
    <row r="2233" spans="1:9" x14ac:dyDescent="0.35">
      <c r="A2233">
        <v>2232</v>
      </c>
      <c r="B2233" t="s">
        <v>19</v>
      </c>
      <c r="C2233" s="2">
        <v>43935</v>
      </c>
      <c r="D2233">
        <f>YEAR(ProductLine[[#This Row],[Date]])</f>
        <v>2020</v>
      </c>
      <c r="E2233">
        <f>MONTH(ProductLine[[#This Row],[Date]])</f>
        <v>4</v>
      </c>
      <c r="F2233" t="s">
        <v>27</v>
      </c>
      <c r="G2233">
        <v>6</v>
      </c>
      <c r="H2233" s="3">
        <v>119.99</v>
      </c>
      <c r="I2233" s="3">
        <f>ProductLine[[#This Row],[Units]]*ProductLine[[#This Row],[Dollars]]</f>
        <v>719.93999999999994</v>
      </c>
    </row>
    <row r="2234" spans="1:9" x14ac:dyDescent="0.35">
      <c r="A2234">
        <v>2233</v>
      </c>
      <c r="B2234" t="s">
        <v>19</v>
      </c>
      <c r="C2234" s="2">
        <v>43945</v>
      </c>
      <c r="D2234">
        <f>YEAR(ProductLine[[#This Row],[Date]])</f>
        <v>2020</v>
      </c>
      <c r="E2234">
        <f>MONTH(ProductLine[[#This Row],[Date]])</f>
        <v>4</v>
      </c>
      <c r="F2234" t="s">
        <v>27</v>
      </c>
      <c r="G2234">
        <v>10</v>
      </c>
      <c r="H2234" s="3">
        <v>79.989999999999995</v>
      </c>
      <c r="I2234" s="3">
        <f>ProductLine[[#This Row],[Units]]*ProductLine[[#This Row],[Dollars]]</f>
        <v>799.9</v>
      </c>
    </row>
    <row r="2235" spans="1:9" x14ac:dyDescent="0.35">
      <c r="A2235">
        <v>2234</v>
      </c>
      <c r="B2235" t="s">
        <v>11</v>
      </c>
      <c r="C2235" s="2">
        <v>44024</v>
      </c>
      <c r="D2235">
        <f>YEAR(ProductLine[[#This Row],[Date]])</f>
        <v>2020</v>
      </c>
      <c r="E2235">
        <f>MONTH(ProductLine[[#This Row],[Date]])</f>
        <v>7</v>
      </c>
      <c r="F2235" t="s">
        <v>26</v>
      </c>
      <c r="G2235">
        <v>18</v>
      </c>
      <c r="H2235" s="3">
        <v>104.99</v>
      </c>
      <c r="I2235" s="3">
        <f>ProductLine[[#This Row],[Units]]*ProductLine[[#This Row],[Dollars]]</f>
        <v>1889.82</v>
      </c>
    </row>
    <row r="2236" spans="1:9" x14ac:dyDescent="0.35">
      <c r="A2236">
        <v>2235</v>
      </c>
      <c r="B2236" t="s">
        <v>11</v>
      </c>
      <c r="C2236" s="2">
        <v>44039</v>
      </c>
      <c r="D2236">
        <f>YEAR(ProductLine[[#This Row],[Date]])</f>
        <v>2020</v>
      </c>
      <c r="E2236">
        <f>MONTH(ProductLine[[#This Row],[Date]])</f>
        <v>7</v>
      </c>
      <c r="F2236" t="s">
        <v>26</v>
      </c>
      <c r="G2236">
        <v>15</v>
      </c>
      <c r="H2236" s="3">
        <v>119.49</v>
      </c>
      <c r="I2236" s="3">
        <f>ProductLine[[#This Row],[Units]]*ProductLine[[#This Row],[Dollars]]</f>
        <v>1792.35</v>
      </c>
    </row>
    <row r="2237" spans="1:9" x14ac:dyDescent="0.35">
      <c r="A2237">
        <v>2236</v>
      </c>
      <c r="B2237" t="s">
        <v>11</v>
      </c>
      <c r="C2237" s="2">
        <v>44047</v>
      </c>
      <c r="D2237">
        <f>YEAR(ProductLine[[#This Row],[Date]])</f>
        <v>2020</v>
      </c>
      <c r="E2237">
        <f>MONTH(ProductLine[[#This Row],[Date]])</f>
        <v>8</v>
      </c>
      <c r="F2237" t="s">
        <v>26</v>
      </c>
      <c r="G2237">
        <v>18</v>
      </c>
      <c r="H2237" s="3">
        <v>88.99</v>
      </c>
      <c r="I2237" s="3">
        <f>ProductLine[[#This Row],[Units]]*ProductLine[[#This Row],[Dollars]]</f>
        <v>1601.82</v>
      </c>
    </row>
    <row r="2238" spans="1:9" x14ac:dyDescent="0.35">
      <c r="A2238">
        <v>2237</v>
      </c>
      <c r="B2238" t="s">
        <v>11</v>
      </c>
      <c r="C2238" s="2">
        <v>44071</v>
      </c>
      <c r="D2238">
        <f>YEAR(ProductLine[[#This Row],[Date]])</f>
        <v>2020</v>
      </c>
      <c r="E2238">
        <f>MONTH(ProductLine[[#This Row],[Date]])</f>
        <v>8</v>
      </c>
      <c r="F2238" t="s">
        <v>26</v>
      </c>
      <c r="G2238">
        <v>10</v>
      </c>
      <c r="H2238" s="3">
        <v>119.49</v>
      </c>
      <c r="I2238" s="3">
        <f>ProductLine[[#This Row],[Units]]*ProductLine[[#This Row],[Dollars]]</f>
        <v>1194.8999999999999</v>
      </c>
    </row>
    <row r="2239" spans="1:9" x14ac:dyDescent="0.35">
      <c r="A2239">
        <v>2238</v>
      </c>
      <c r="B2239" t="s">
        <v>11</v>
      </c>
      <c r="C2239" s="2">
        <v>44103</v>
      </c>
      <c r="D2239">
        <f>YEAR(ProductLine[[#This Row],[Date]])</f>
        <v>2020</v>
      </c>
      <c r="E2239">
        <f>MONTH(ProductLine[[#This Row],[Date]])</f>
        <v>9</v>
      </c>
      <c r="F2239" t="s">
        <v>26</v>
      </c>
      <c r="G2239">
        <v>16</v>
      </c>
      <c r="H2239" s="3">
        <v>99.49</v>
      </c>
      <c r="I2239" s="3">
        <f>ProductLine[[#This Row],[Units]]*ProductLine[[#This Row],[Dollars]]</f>
        <v>1591.84</v>
      </c>
    </row>
    <row r="2240" spans="1:9" x14ac:dyDescent="0.35">
      <c r="A2240">
        <v>2239</v>
      </c>
      <c r="B2240" t="s">
        <v>17</v>
      </c>
      <c r="C2240" s="2">
        <v>44014</v>
      </c>
      <c r="D2240">
        <f>YEAR(ProductLine[[#This Row],[Date]])</f>
        <v>2020</v>
      </c>
      <c r="E2240">
        <f>MONTH(ProductLine[[#This Row],[Date]])</f>
        <v>7</v>
      </c>
      <c r="F2240" t="s">
        <v>26</v>
      </c>
      <c r="G2240">
        <v>14</v>
      </c>
      <c r="H2240" s="3">
        <v>91.45</v>
      </c>
      <c r="I2240" s="3">
        <f>ProductLine[[#This Row],[Units]]*ProductLine[[#This Row],[Dollars]]</f>
        <v>1280.3</v>
      </c>
    </row>
    <row r="2241" spans="1:9" x14ac:dyDescent="0.35">
      <c r="A2241">
        <v>2240</v>
      </c>
      <c r="B2241" t="s">
        <v>17</v>
      </c>
      <c r="C2241" s="2">
        <v>44040</v>
      </c>
      <c r="D2241">
        <f>YEAR(ProductLine[[#This Row],[Date]])</f>
        <v>2020</v>
      </c>
      <c r="E2241">
        <f>MONTH(ProductLine[[#This Row],[Date]])</f>
        <v>7</v>
      </c>
      <c r="F2241" t="s">
        <v>26</v>
      </c>
      <c r="G2241">
        <v>19</v>
      </c>
      <c r="H2241" s="3">
        <v>88.99</v>
      </c>
      <c r="I2241" s="3">
        <f>ProductLine[[#This Row],[Units]]*ProductLine[[#This Row],[Dollars]]</f>
        <v>1690.81</v>
      </c>
    </row>
    <row r="2242" spans="1:9" x14ac:dyDescent="0.35">
      <c r="A2242">
        <v>2241</v>
      </c>
      <c r="B2242" t="s">
        <v>17</v>
      </c>
      <c r="C2242" s="2">
        <v>44098</v>
      </c>
      <c r="D2242">
        <f>YEAR(ProductLine[[#This Row],[Date]])</f>
        <v>2020</v>
      </c>
      <c r="E2242">
        <f>MONTH(ProductLine[[#This Row],[Date]])</f>
        <v>9</v>
      </c>
      <c r="F2242" t="s">
        <v>26</v>
      </c>
      <c r="G2242">
        <v>20</v>
      </c>
      <c r="H2242" s="3">
        <v>99.49</v>
      </c>
      <c r="I2242" s="3">
        <f>ProductLine[[#This Row],[Units]]*ProductLine[[#This Row],[Dollars]]</f>
        <v>1989.8</v>
      </c>
    </row>
    <row r="2243" spans="1:9" x14ac:dyDescent="0.35">
      <c r="A2243">
        <v>2242</v>
      </c>
      <c r="B2243" t="s">
        <v>13</v>
      </c>
      <c r="C2243" s="2">
        <v>44013</v>
      </c>
      <c r="D2243">
        <f>YEAR(ProductLine[[#This Row],[Date]])</f>
        <v>2020</v>
      </c>
      <c r="E2243">
        <f>MONTH(ProductLine[[#This Row],[Date]])</f>
        <v>7</v>
      </c>
      <c r="F2243" t="s">
        <v>26</v>
      </c>
      <c r="G2243">
        <v>14</v>
      </c>
      <c r="H2243" s="3">
        <v>109.89</v>
      </c>
      <c r="I2243" s="3">
        <f>ProductLine[[#This Row],[Units]]*ProductLine[[#This Row],[Dollars]]</f>
        <v>1538.46</v>
      </c>
    </row>
    <row r="2244" spans="1:9" x14ac:dyDescent="0.35">
      <c r="A2244">
        <v>2243</v>
      </c>
      <c r="B2244" t="s">
        <v>13</v>
      </c>
      <c r="C2244" s="2">
        <v>44020</v>
      </c>
      <c r="D2244">
        <f>YEAR(ProductLine[[#This Row],[Date]])</f>
        <v>2020</v>
      </c>
      <c r="E2244">
        <f>MONTH(ProductLine[[#This Row],[Date]])</f>
        <v>7</v>
      </c>
      <c r="F2244" t="s">
        <v>26</v>
      </c>
      <c r="G2244">
        <v>9</v>
      </c>
      <c r="H2244" s="3">
        <v>99.49</v>
      </c>
      <c r="I2244" s="3">
        <f>ProductLine[[#This Row],[Units]]*ProductLine[[#This Row],[Dollars]]</f>
        <v>895.41</v>
      </c>
    </row>
    <row r="2245" spans="1:9" x14ac:dyDescent="0.35">
      <c r="A2245">
        <v>2244</v>
      </c>
      <c r="B2245" t="s">
        <v>13</v>
      </c>
      <c r="C2245" s="2">
        <v>44053</v>
      </c>
      <c r="D2245">
        <f>YEAR(ProductLine[[#This Row],[Date]])</f>
        <v>2020</v>
      </c>
      <c r="E2245">
        <f>MONTH(ProductLine[[#This Row],[Date]])</f>
        <v>8</v>
      </c>
      <c r="F2245" t="s">
        <v>26</v>
      </c>
      <c r="G2245">
        <v>8</v>
      </c>
      <c r="H2245" s="3">
        <v>99.49</v>
      </c>
      <c r="I2245" s="3">
        <f>ProductLine[[#This Row],[Units]]*ProductLine[[#This Row],[Dollars]]</f>
        <v>795.92</v>
      </c>
    </row>
    <row r="2246" spans="1:9" x14ac:dyDescent="0.35">
      <c r="A2246">
        <v>2245</v>
      </c>
      <c r="B2246" t="s">
        <v>13</v>
      </c>
      <c r="C2246" s="2">
        <v>44065</v>
      </c>
      <c r="D2246">
        <f>YEAR(ProductLine[[#This Row],[Date]])</f>
        <v>2020</v>
      </c>
      <c r="E2246">
        <f>MONTH(ProductLine[[#This Row],[Date]])</f>
        <v>8</v>
      </c>
      <c r="F2246" t="s">
        <v>26</v>
      </c>
      <c r="G2246">
        <v>6</v>
      </c>
      <c r="H2246" s="3">
        <v>109.89</v>
      </c>
      <c r="I2246" s="3">
        <f>ProductLine[[#This Row],[Units]]*ProductLine[[#This Row],[Dollars]]</f>
        <v>659.34</v>
      </c>
    </row>
    <row r="2247" spans="1:9" x14ac:dyDescent="0.35">
      <c r="A2247">
        <v>2246</v>
      </c>
      <c r="B2247" t="s">
        <v>14</v>
      </c>
      <c r="C2247" s="2">
        <v>44031</v>
      </c>
      <c r="D2247">
        <f>YEAR(ProductLine[[#This Row],[Date]])</f>
        <v>2020</v>
      </c>
      <c r="E2247">
        <f>MONTH(ProductLine[[#This Row],[Date]])</f>
        <v>7</v>
      </c>
      <c r="F2247" t="s">
        <v>26</v>
      </c>
      <c r="G2247">
        <v>14</v>
      </c>
      <c r="H2247" s="3">
        <v>69.989999999999995</v>
      </c>
      <c r="I2247" s="3">
        <f>ProductLine[[#This Row],[Units]]*ProductLine[[#This Row],[Dollars]]</f>
        <v>979.8599999999999</v>
      </c>
    </row>
    <row r="2248" spans="1:9" x14ac:dyDescent="0.35">
      <c r="A2248">
        <v>2247</v>
      </c>
      <c r="B2248" t="s">
        <v>14</v>
      </c>
      <c r="C2248" s="2">
        <v>44019</v>
      </c>
      <c r="D2248">
        <f>YEAR(ProductLine[[#This Row],[Date]])</f>
        <v>2020</v>
      </c>
      <c r="E2248">
        <f>MONTH(ProductLine[[#This Row],[Date]])</f>
        <v>7</v>
      </c>
      <c r="F2248" t="s">
        <v>26</v>
      </c>
      <c r="G2248">
        <v>8</v>
      </c>
      <c r="H2248" s="3">
        <v>44.99</v>
      </c>
      <c r="I2248" s="3">
        <f>ProductLine[[#This Row],[Units]]*ProductLine[[#This Row],[Dollars]]</f>
        <v>359.92</v>
      </c>
    </row>
    <row r="2249" spans="1:9" x14ac:dyDescent="0.35">
      <c r="A2249">
        <v>2248</v>
      </c>
      <c r="B2249" t="s">
        <v>19</v>
      </c>
      <c r="C2249" s="2">
        <v>44022</v>
      </c>
      <c r="D2249">
        <f>YEAR(ProductLine[[#This Row],[Date]])</f>
        <v>2020</v>
      </c>
      <c r="E2249">
        <f>MONTH(ProductLine[[#This Row],[Date]])</f>
        <v>7</v>
      </c>
      <c r="F2249" t="s">
        <v>26</v>
      </c>
      <c r="G2249">
        <v>10</v>
      </c>
      <c r="H2249" s="3">
        <v>88.49</v>
      </c>
      <c r="I2249" s="3">
        <f>ProductLine[[#This Row],[Units]]*ProductLine[[#This Row],[Dollars]]</f>
        <v>884.9</v>
      </c>
    </row>
    <row r="2250" spans="1:9" x14ac:dyDescent="0.35">
      <c r="A2250">
        <v>2249</v>
      </c>
      <c r="B2250" t="s">
        <v>19</v>
      </c>
      <c r="C2250" s="2">
        <v>44030</v>
      </c>
      <c r="D2250">
        <f>YEAR(ProductLine[[#This Row],[Date]])</f>
        <v>2020</v>
      </c>
      <c r="E2250">
        <f>MONTH(ProductLine[[#This Row],[Date]])</f>
        <v>7</v>
      </c>
      <c r="F2250" t="s">
        <v>26</v>
      </c>
      <c r="G2250">
        <v>14</v>
      </c>
      <c r="H2250" s="3">
        <v>119.49</v>
      </c>
      <c r="I2250" s="3">
        <f>ProductLine[[#This Row],[Units]]*ProductLine[[#This Row],[Dollars]]</f>
        <v>1672.86</v>
      </c>
    </row>
    <row r="2251" spans="1:9" x14ac:dyDescent="0.35">
      <c r="A2251">
        <v>2250</v>
      </c>
      <c r="B2251" t="s">
        <v>19</v>
      </c>
      <c r="C2251" s="2">
        <v>44058</v>
      </c>
      <c r="D2251">
        <f>YEAR(ProductLine[[#This Row],[Date]])</f>
        <v>2020</v>
      </c>
      <c r="E2251">
        <f>MONTH(ProductLine[[#This Row],[Date]])</f>
        <v>8</v>
      </c>
      <c r="F2251" t="s">
        <v>26</v>
      </c>
      <c r="G2251">
        <v>8</v>
      </c>
      <c r="H2251" s="3">
        <v>109.89</v>
      </c>
      <c r="I2251" s="3">
        <f>ProductLine[[#This Row],[Units]]*ProductLine[[#This Row],[Dollars]]</f>
        <v>879.12</v>
      </c>
    </row>
    <row r="2252" spans="1:9" x14ac:dyDescent="0.35">
      <c r="A2252">
        <v>2251</v>
      </c>
      <c r="B2252" t="s">
        <v>19</v>
      </c>
      <c r="C2252" s="2">
        <v>44062</v>
      </c>
      <c r="D2252">
        <f>YEAR(ProductLine[[#This Row],[Date]])</f>
        <v>2020</v>
      </c>
      <c r="E2252">
        <f>MONTH(ProductLine[[#This Row],[Date]])</f>
        <v>8</v>
      </c>
      <c r="F2252" t="s">
        <v>26</v>
      </c>
      <c r="G2252">
        <v>8</v>
      </c>
      <c r="H2252" s="3">
        <v>69.489999999999995</v>
      </c>
      <c r="I2252" s="3">
        <f>ProductLine[[#This Row],[Units]]*ProductLine[[#This Row],[Dollars]]</f>
        <v>555.91999999999996</v>
      </c>
    </row>
    <row r="2253" spans="1:9" x14ac:dyDescent="0.35">
      <c r="A2253">
        <v>2252</v>
      </c>
      <c r="B2253" t="s">
        <v>19</v>
      </c>
      <c r="C2253" s="2">
        <v>44086</v>
      </c>
      <c r="D2253">
        <f>YEAR(ProductLine[[#This Row],[Date]])</f>
        <v>2020</v>
      </c>
      <c r="E2253">
        <f>MONTH(ProductLine[[#This Row],[Date]])</f>
        <v>9</v>
      </c>
      <c r="F2253" t="s">
        <v>26</v>
      </c>
      <c r="G2253">
        <v>14</v>
      </c>
      <c r="H2253" s="3">
        <v>64.989999999999995</v>
      </c>
      <c r="I2253" s="3">
        <f>ProductLine[[#This Row],[Units]]*ProductLine[[#This Row],[Dollars]]</f>
        <v>909.8599999999999</v>
      </c>
    </row>
    <row r="2254" spans="1:9" x14ac:dyDescent="0.35">
      <c r="A2254">
        <v>2253</v>
      </c>
      <c r="B2254" t="s">
        <v>19</v>
      </c>
      <c r="C2254" s="2">
        <v>44091</v>
      </c>
      <c r="D2254">
        <f>YEAR(ProductLine[[#This Row],[Date]])</f>
        <v>2020</v>
      </c>
      <c r="E2254">
        <f>MONTH(ProductLine[[#This Row],[Date]])</f>
        <v>9</v>
      </c>
      <c r="F2254" t="s">
        <v>26</v>
      </c>
      <c r="G2254">
        <v>15</v>
      </c>
      <c r="H2254" s="3">
        <v>88.49</v>
      </c>
      <c r="I2254" s="3">
        <f>ProductLine[[#This Row],[Units]]*ProductLine[[#This Row],[Dollars]]</f>
        <v>1327.35</v>
      </c>
    </row>
    <row r="2255" spans="1:9" x14ac:dyDescent="0.35">
      <c r="A2255">
        <v>2254</v>
      </c>
      <c r="B2255" t="s">
        <v>18</v>
      </c>
      <c r="C2255" s="2">
        <v>44019</v>
      </c>
      <c r="D2255">
        <f>YEAR(ProductLine[[#This Row],[Date]])</f>
        <v>2020</v>
      </c>
      <c r="E2255">
        <f>MONTH(ProductLine[[#This Row],[Date]])</f>
        <v>7</v>
      </c>
      <c r="F2255" t="s">
        <v>26</v>
      </c>
      <c r="G2255">
        <v>16</v>
      </c>
      <c r="H2255" s="3">
        <v>109.49</v>
      </c>
      <c r="I2255" s="3">
        <f>ProductLine[[#This Row],[Units]]*ProductLine[[#This Row],[Dollars]]</f>
        <v>1751.84</v>
      </c>
    </row>
    <row r="2256" spans="1:9" x14ac:dyDescent="0.35">
      <c r="A2256">
        <v>2255</v>
      </c>
      <c r="B2256" t="s">
        <v>18</v>
      </c>
      <c r="C2256" s="2">
        <v>44031</v>
      </c>
      <c r="D2256">
        <f>YEAR(ProductLine[[#This Row],[Date]])</f>
        <v>2020</v>
      </c>
      <c r="E2256">
        <f>MONTH(ProductLine[[#This Row],[Date]])</f>
        <v>7</v>
      </c>
      <c r="F2256" t="s">
        <v>26</v>
      </c>
      <c r="G2256">
        <v>6</v>
      </c>
      <c r="H2256" s="3">
        <v>119.49</v>
      </c>
      <c r="I2256" s="3">
        <f>ProductLine[[#This Row],[Units]]*ProductLine[[#This Row],[Dollars]]</f>
        <v>716.93999999999994</v>
      </c>
    </row>
    <row r="2257" spans="1:9" x14ac:dyDescent="0.35">
      <c r="A2257">
        <v>2256</v>
      </c>
      <c r="B2257" t="s">
        <v>18</v>
      </c>
      <c r="C2257" s="2">
        <v>44033</v>
      </c>
      <c r="D2257">
        <f>YEAR(ProductLine[[#This Row],[Date]])</f>
        <v>2020</v>
      </c>
      <c r="E2257">
        <f>MONTH(ProductLine[[#This Row],[Date]])</f>
        <v>7</v>
      </c>
      <c r="F2257" t="s">
        <v>26</v>
      </c>
      <c r="G2257">
        <v>7</v>
      </c>
      <c r="H2257" s="3">
        <v>109.99</v>
      </c>
      <c r="I2257" s="3">
        <f>ProductLine[[#This Row],[Units]]*ProductLine[[#This Row],[Dollars]]</f>
        <v>769.93</v>
      </c>
    </row>
    <row r="2258" spans="1:9" x14ac:dyDescent="0.35">
      <c r="A2258">
        <v>2257</v>
      </c>
      <c r="B2258" t="s">
        <v>18</v>
      </c>
      <c r="C2258" s="2">
        <v>44030</v>
      </c>
      <c r="D2258">
        <f>YEAR(ProductLine[[#This Row],[Date]])</f>
        <v>2020</v>
      </c>
      <c r="E2258">
        <f>MONTH(ProductLine[[#This Row],[Date]])</f>
        <v>7</v>
      </c>
      <c r="F2258" t="s">
        <v>26</v>
      </c>
      <c r="G2258">
        <v>4</v>
      </c>
      <c r="H2258" s="3">
        <v>61.99</v>
      </c>
      <c r="I2258" s="3">
        <f>ProductLine[[#This Row],[Units]]*ProductLine[[#This Row],[Dollars]]</f>
        <v>247.96</v>
      </c>
    </row>
    <row r="2259" spans="1:9" x14ac:dyDescent="0.35">
      <c r="A2259">
        <v>2258</v>
      </c>
      <c r="B2259" t="s">
        <v>18</v>
      </c>
      <c r="C2259" s="2">
        <v>44072</v>
      </c>
      <c r="D2259">
        <f>YEAR(ProductLine[[#This Row],[Date]])</f>
        <v>2020</v>
      </c>
      <c r="E2259">
        <f>MONTH(ProductLine[[#This Row],[Date]])</f>
        <v>8</v>
      </c>
      <c r="F2259" t="s">
        <v>26</v>
      </c>
      <c r="G2259">
        <v>5</v>
      </c>
      <c r="H2259" s="3">
        <v>88.49</v>
      </c>
      <c r="I2259" s="3">
        <f>ProductLine[[#This Row],[Units]]*ProductLine[[#This Row],[Dollars]]</f>
        <v>442.45</v>
      </c>
    </row>
    <row r="2260" spans="1:9" x14ac:dyDescent="0.35">
      <c r="A2260">
        <v>2259</v>
      </c>
      <c r="B2260" t="s">
        <v>18</v>
      </c>
      <c r="C2260" s="2">
        <v>44092</v>
      </c>
      <c r="D2260">
        <f>YEAR(ProductLine[[#This Row],[Date]])</f>
        <v>2020</v>
      </c>
      <c r="E2260">
        <f>MONTH(ProductLine[[#This Row],[Date]])</f>
        <v>9</v>
      </c>
      <c r="F2260" t="s">
        <v>26</v>
      </c>
      <c r="G2260">
        <v>2</v>
      </c>
      <c r="H2260" s="3">
        <v>109.99</v>
      </c>
      <c r="I2260" s="3">
        <f>ProductLine[[#This Row],[Units]]*ProductLine[[#This Row],[Dollars]]</f>
        <v>219.98</v>
      </c>
    </row>
    <row r="2261" spans="1:9" x14ac:dyDescent="0.35">
      <c r="A2261">
        <v>2260</v>
      </c>
      <c r="B2261" t="s">
        <v>18</v>
      </c>
      <c r="C2261" s="2">
        <v>44093</v>
      </c>
      <c r="D2261">
        <f>YEAR(ProductLine[[#This Row],[Date]])</f>
        <v>2020</v>
      </c>
      <c r="E2261">
        <f>MONTH(ProductLine[[#This Row],[Date]])</f>
        <v>9</v>
      </c>
      <c r="F2261" t="s">
        <v>26</v>
      </c>
      <c r="G2261">
        <v>13</v>
      </c>
      <c r="H2261" s="3">
        <v>119.49</v>
      </c>
      <c r="I2261" s="3">
        <f>ProductLine[[#This Row],[Units]]*ProductLine[[#This Row],[Dollars]]</f>
        <v>1553.37</v>
      </c>
    </row>
    <row r="2262" spans="1:9" x14ac:dyDescent="0.35">
      <c r="A2262">
        <v>2261</v>
      </c>
      <c r="B2262" t="s">
        <v>18</v>
      </c>
      <c r="C2262" s="2">
        <v>44094</v>
      </c>
      <c r="D2262">
        <f>YEAR(ProductLine[[#This Row],[Date]])</f>
        <v>2020</v>
      </c>
      <c r="E2262">
        <f>MONTH(ProductLine[[#This Row],[Date]])</f>
        <v>9</v>
      </c>
      <c r="F2262" t="s">
        <v>26</v>
      </c>
      <c r="G2262">
        <v>6</v>
      </c>
      <c r="H2262" s="3">
        <v>68.989999999999995</v>
      </c>
      <c r="I2262" s="3">
        <f>ProductLine[[#This Row],[Units]]*ProductLine[[#This Row],[Dollars]]</f>
        <v>413.93999999999994</v>
      </c>
    </row>
    <row r="2263" spans="1:9" x14ac:dyDescent="0.35">
      <c r="A2263">
        <v>2262</v>
      </c>
      <c r="B2263" t="s">
        <v>9</v>
      </c>
      <c r="C2263" s="2">
        <v>44040</v>
      </c>
      <c r="D2263">
        <f>YEAR(ProductLine[[#This Row],[Date]])</f>
        <v>2020</v>
      </c>
      <c r="E2263">
        <f>MONTH(ProductLine[[#This Row],[Date]])</f>
        <v>7</v>
      </c>
      <c r="F2263" t="s">
        <v>24</v>
      </c>
      <c r="G2263">
        <v>26</v>
      </c>
      <c r="H2263" s="3">
        <v>12.5</v>
      </c>
      <c r="I2263" s="3">
        <f>ProductLine[[#This Row],[Units]]*ProductLine[[#This Row],[Dollars]]</f>
        <v>325</v>
      </c>
    </row>
    <row r="2264" spans="1:9" x14ac:dyDescent="0.35">
      <c r="A2264">
        <v>2263</v>
      </c>
      <c r="B2264" t="s">
        <v>9</v>
      </c>
      <c r="C2264" s="2">
        <v>44031</v>
      </c>
      <c r="D2264">
        <f>YEAR(ProductLine[[#This Row],[Date]])</f>
        <v>2020</v>
      </c>
      <c r="E2264">
        <f>MONTH(ProductLine[[#This Row],[Date]])</f>
        <v>7</v>
      </c>
      <c r="F2264" t="s">
        <v>24</v>
      </c>
      <c r="G2264">
        <v>38</v>
      </c>
      <c r="H2264" s="3">
        <v>10.28</v>
      </c>
      <c r="I2264" s="3">
        <f>ProductLine[[#This Row],[Units]]*ProductLine[[#This Row],[Dollars]]</f>
        <v>390.64</v>
      </c>
    </row>
    <row r="2265" spans="1:9" x14ac:dyDescent="0.35">
      <c r="A2265">
        <v>2264</v>
      </c>
      <c r="B2265" t="s">
        <v>9</v>
      </c>
      <c r="C2265" s="2">
        <v>44051</v>
      </c>
      <c r="D2265">
        <f>YEAR(ProductLine[[#This Row],[Date]])</f>
        <v>2020</v>
      </c>
      <c r="E2265">
        <f>MONTH(ProductLine[[#This Row],[Date]])</f>
        <v>8</v>
      </c>
      <c r="F2265" t="s">
        <v>24</v>
      </c>
      <c r="G2265">
        <v>40</v>
      </c>
      <c r="H2265" s="3">
        <v>11.98</v>
      </c>
      <c r="I2265" s="3">
        <f>ProductLine[[#This Row],[Units]]*ProductLine[[#This Row],[Dollars]]</f>
        <v>479.20000000000005</v>
      </c>
    </row>
    <row r="2266" spans="1:9" x14ac:dyDescent="0.35">
      <c r="A2266">
        <v>2265</v>
      </c>
      <c r="B2266" t="s">
        <v>9</v>
      </c>
      <c r="C2266" s="2">
        <v>44053</v>
      </c>
      <c r="D2266">
        <f>YEAR(ProductLine[[#This Row],[Date]])</f>
        <v>2020</v>
      </c>
      <c r="E2266">
        <f>MONTH(ProductLine[[#This Row],[Date]])</f>
        <v>8</v>
      </c>
      <c r="F2266" t="s">
        <v>24</v>
      </c>
      <c r="G2266">
        <v>54</v>
      </c>
      <c r="H2266" s="3">
        <v>10.28</v>
      </c>
      <c r="I2266" s="3">
        <f>ProductLine[[#This Row],[Units]]*ProductLine[[#This Row],[Dollars]]</f>
        <v>555.12</v>
      </c>
    </row>
    <row r="2267" spans="1:9" x14ac:dyDescent="0.35">
      <c r="A2267">
        <v>2266</v>
      </c>
      <c r="B2267" t="s">
        <v>9</v>
      </c>
      <c r="C2267" s="2">
        <v>44093</v>
      </c>
      <c r="D2267">
        <f>YEAR(ProductLine[[#This Row],[Date]])</f>
        <v>2020</v>
      </c>
      <c r="E2267">
        <f>MONTH(ProductLine[[#This Row],[Date]])</f>
        <v>9</v>
      </c>
      <c r="F2267" t="s">
        <v>24</v>
      </c>
      <c r="G2267">
        <v>31</v>
      </c>
      <c r="H2267" s="3">
        <v>11.98</v>
      </c>
      <c r="I2267" s="3">
        <f>ProductLine[[#This Row],[Units]]*ProductLine[[#This Row],[Dollars]]</f>
        <v>371.38</v>
      </c>
    </row>
    <row r="2268" spans="1:9" x14ac:dyDescent="0.35">
      <c r="A2268">
        <v>2267</v>
      </c>
      <c r="B2268" t="s">
        <v>17</v>
      </c>
      <c r="C2268" s="2">
        <v>44024</v>
      </c>
      <c r="D2268">
        <f>YEAR(ProductLine[[#This Row],[Date]])</f>
        <v>2020</v>
      </c>
      <c r="E2268">
        <f>MONTH(ProductLine[[#This Row],[Date]])</f>
        <v>7</v>
      </c>
      <c r="F2268" t="s">
        <v>24</v>
      </c>
      <c r="G2268">
        <v>40</v>
      </c>
      <c r="H2268" s="3">
        <v>10.28</v>
      </c>
      <c r="I2268" s="3">
        <f>ProductLine[[#This Row],[Units]]*ProductLine[[#This Row],[Dollars]]</f>
        <v>411.2</v>
      </c>
    </row>
    <row r="2269" spans="1:9" x14ac:dyDescent="0.35">
      <c r="A2269">
        <v>2268</v>
      </c>
      <c r="B2269" t="s">
        <v>17</v>
      </c>
      <c r="C2269" s="2">
        <v>44030</v>
      </c>
      <c r="D2269">
        <f>YEAR(ProductLine[[#This Row],[Date]])</f>
        <v>2020</v>
      </c>
      <c r="E2269">
        <f>MONTH(ProductLine[[#This Row],[Date]])</f>
        <v>7</v>
      </c>
      <c r="F2269" t="s">
        <v>24</v>
      </c>
      <c r="G2269">
        <v>25</v>
      </c>
      <c r="H2269" s="3">
        <v>12.5</v>
      </c>
      <c r="I2269" s="3">
        <f>ProductLine[[#This Row],[Units]]*ProductLine[[#This Row],[Dollars]]</f>
        <v>312.5</v>
      </c>
    </row>
    <row r="2270" spans="1:9" x14ac:dyDescent="0.35">
      <c r="A2270">
        <v>2269</v>
      </c>
      <c r="B2270" t="s">
        <v>17</v>
      </c>
      <c r="C2270" s="2">
        <v>44062</v>
      </c>
      <c r="D2270">
        <f>YEAR(ProductLine[[#This Row],[Date]])</f>
        <v>2020</v>
      </c>
      <c r="E2270">
        <f>MONTH(ProductLine[[#This Row],[Date]])</f>
        <v>8</v>
      </c>
      <c r="F2270" t="s">
        <v>24</v>
      </c>
      <c r="G2270">
        <v>37</v>
      </c>
      <c r="H2270" s="3">
        <v>11.98</v>
      </c>
      <c r="I2270" s="3">
        <f>ProductLine[[#This Row],[Units]]*ProductLine[[#This Row],[Dollars]]</f>
        <v>443.26</v>
      </c>
    </row>
    <row r="2271" spans="1:9" x14ac:dyDescent="0.35">
      <c r="A2271">
        <v>2270</v>
      </c>
      <c r="B2271" t="s">
        <v>17</v>
      </c>
      <c r="C2271" s="2">
        <v>44094</v>
      </c>
      <c r="D2271">
        <f>YEAR(ProductLine[[#This Row],[Date]])</f>
        <v>2020</v>
      </c>
      <c r="E2271">
        <f>MONTH(ProductLine[[#This Row],[Date]])</f>
        <v>9</v>
      </c>
      <c r="F2271" t="s">
        <v>24</v>
      </c>
      <c r="G2271">
        <v>37</v>
      </c>
      <c r="H2271" s="3">
        <v>12.5</v>
      </c>
      <c r="I2271" s="3">
        <f>ProductLine[[#This Row],[Units]]*ProductLine[[#This Row],[Dollars]]</f>
        <v>462.5</v>
      </c>
    </row>
    <row r="2272" spans="1:9" x14ac:dyDescent="0.35">
      <c r="A2272">
        <v>2271</v>
      </c>
      <c r="B2272" t="s">
        <v>17</v>
      </c>
      <c r="C2272" s="2">
        <v>44100</v>
      </c>
      <c r="D2272">
        <f>YEAR(ProductLine[[#This Row],[Date]])</f>
        <v>2020</v>
      </c>
      <c r="E2272">
        <f>MONTH(ProductLine[[#This Row],[Date]])</f>
        <v>9</v>
      </c>
      <c r="F2272" t="s">
        <v>24</v>
      </c>
      <c r="G2272">
        <v>28</v>
      </c>
      <c r="H2272" s="3">
        <v>11.98</v>
      </c>
      <c r="I2272" s="3">
        <f>ProductLine[[#This Row],[Units]]*ProductLine[[#This Row],[Dollars]]</f>
        <v>335.44</v>
      </c>
    </row>
    <row r="2273" spans="1:9" x14ac:dyDescent="0.35">
      <c r="A2273">
        <v>2272</v>
      </c>
      <c r="B2273" t="s">
        <v>19</v>
      </c>
      <c r="C2273" s="2">
        <v>44030</v>
      </c>
      <c r="D2273">
        <f>YEAR(ProductLine[[#This Row],[Date]])</f>
        <v>2020</v>
      </c>
      <c r="E2273">
        <f>MONTH(ProductLine[[#This Row],[Date]])</f>
        <v>7</v>
      </c>
      <c r="F2273" t="s">
        <v>24</v>
      </c>
      <c r="G2273">
        <v>34</v>
      </c>
      <c r="H2273" s="3">
        <v>12.5</v>
      </c>
      <c r="I2273" s="3">
        <f>ProductLine[[#This Row],[Units]]*ProductLine[[#This Row],[Dollars]]</f>
        <v>425</v>
      </c>
    </row>
    <row r="2274" spans="1:9" x14ac:dyDescent="0.35">
      <c r="A2274">
        <v>2273</v>
      </c>
      <c r="B2274" t="s">
        <v>19</v>
      </c>
      <c r="C2274" s="2">
        <v>44103</v>
      </c>
      <c r="D2274">
        <f>YEAR(ProductLine[[#This Row],[Date]])</f>
        <v>2020</v>
      </c>
      <c r="E2274">
        <f>MONTH(ProductLine[[#This Row],[Date]])</f>
        <v>9</v>
      </c>
      <c r="F2274" t="s">
        <v>24</v>
      </c>
      <c r="G2274">
        <v>40</v>
      </c>
      <c r="H2274" s="3">
        <v>11.98</v>
      </c>
      <c r="I2274" s="3">
        <f>ProductLine[[#This Row],[Units]]*ProductLine[[#This Row],[Dollars]]</f>
        <v>479.20000000000005</v>
      </c>
    </row>
    <row r="2275" spans="1:9" x14ac:dyDescent="0.35">
      <c r="A2275">
        <v>2274</v>
      </c>
      <c r="B2275" t="s">
        <v>18</v>
      </c>
      <c r="C2275" s="2">
        <v>44029</v>
      </c>
      <c r="D2275">
        <f>YEAR(ProductLine[[#This Row],[Date]])</f>
        <v>2020</v>
      </c>
      <c r="E2275">
        <f>MONTH(ProductLine[[#This Row],[Date]])</f>
        <v>7</v>
      </c>
      <c r="F2275" t="s">
        <v>24</v>
      </c>
      <c r="G2275">
        <v>62</v>
      </c>
      <c r="H2275" s="3">
        <v>12.5</v>
      </c>
      <c r="I2275" s="3">
        <f>ProductLine[[#This Row],[Units]]*ProductLine[[#This Row],[Dollars]]</f>
        <v>775</v>
      </c>
    </row>
    <row r="2276" spans="1:9" x14ac:dyDescent="0.35">
      <c r="A2276">
        <v>2275</v>
      </c>
      <c r="B2276" t="s">
        <v>18</v>
      </c>
      <c r="C2276" s="2">
        <v>44022</v>
      </c>
      <c r="D2276">
        <f>YEAR(ProductLine[[#This Row],[Date]])</f>
        <v>2020</v>
      </c>
      <c r="E2276">
        <f>MONTH(ProductLine[[#This Row],[Date]])</f>
        <v>7</v>
      </c>
      <c r="F2276" t="s">
        <v>24</v>
      </c>
      <c r="G2276">
        <v>56</v>
      </c>
      <c r="H2276" s="3">
        <v>11.98</v>
      </c>
      <c r="I2276" s="3">
        <f>ProductLine[[#This Row],[Units]]*ProductLine[[#This Row],[Dollars]]</f>
        <v>670.88</v>
      </c>
    </row>
    <row r="2277" spans="1:9" x14ac:dyDescent="0.35">
      <c r="A2277">
        <v>2276</v>
      </c>
      <c r="B2277" t="s">
        <v>18</v>
      </c>
      <c r="C2277" s="2">
        <v>44023</v>
      </c>
      <c r="D2277">
        <f>YEAR(ProductLine[[#This Row],[Date]])</f>
        <v>2020</v>
      </c>
      <c r="E2277">
        <f>MONTH(ProductLine[[#This Row],[Date]])</f>
        <v>7</v>
      </c>
      <c r="F2277" t="s">
        <v>24</v>
      </c>
      <c r="G2277">
        <v>42</v>
      </c>
      <c r="H2277" s="3">
        <v>12.5</v>
      </c>
      <c r="I2277" s="3">
        <f>ProductLine[[#This Row],[Units]]*ProductLine[[#This Row],[Dollars]]</f>
        <v>525</v>
      </c>
    </row>
    <row r="2278" spans="1:9" x14ac:dyDescent="0.35">
      <c r="A2278">
        <v>2277</v>
      </c>
      <c r="B2278" t="s">
        <v>18</v>
      </c>
      <c r="C2278" s="2">
        <v>44037</v>
      </c>
      <c r="D2278">
        <f>YEAR(ProductLine[[#This Row],[Date]])</f>
        <v>2020</v>
      </c>
      <c r="E2278">
        <f>MONTH(ProductLine[[#This Row],[Date]])</f>
        <v>7</v>
      </c>
      <c r="F2278" t="s">
        <v>24</v>
      </c>
      <c r="G2278">
        <v>36</v>
      </c>
      <c r="H2278" s="3">
        <v>11.98</v>
      </c>
      <c r="I2278" s="3">
        <f>ProductLine[[#This Row],[Units]]*ProductLine[[#This Row],[Dollars]]</f>
        <v>431.28000000000003</v>
      </c>
    </row>
    <row r="2279" spans="1:9" x14ac:dyDescent="0.35">
      <c r="A2279">
        <v>2278</v>
      </c>
      <c r="B2279" t="s">
        <v>18</v>
      </c>
      <c r="C2279" s="2">
        <v>44044</v>
      </c>
      <c r="D2279">
        <f>YEAR(ProductLine[[#This Row],[Date]])</f>
        <v>2020</v>
      </c>
      <c r="E2279">
        <f>MONTH(ProductLine[[#This Row],[Date]])</f>
        <v>8</v>
      </c>
      <c r="F2279" t="s">
        <v>24</v>
      </c>
      <c r="G2279">
        <v>45</v>
      </c>
      <c r="H2279" s="3">
        <v>12.5</v>
      </c>
      <c r="I2279" s="3">
        <f>ProductLine[[#This Row],[Units]]*ProductLine[[#This Row],[Dollars]]</f>
        <v>562.5</v>
      </c>
    </row>
    <row r="2280" spans="1:9" x14ac:dyDescent="0.35">
      <c r="A2280">
        <v>2279</v>
      </c>
      <c r="B2280" t="s">
        <v>18</v>
      </c>
      <c r="C2280" s="2">
        <v>44076</v>
      </c>
      <c r="D2280">
        <f>YEAR(ProductLine[[#This Row],[Date]])</f>
        <v>2020</v>
      </c>
      <c r="E2280">
        <f>MONTH(ProductLine[[#This Row],[Date]])</f>
        <v>9</v>
      </c>
      <c r="F2280" t="s">
        <v>24</v>
      </c>
      <c r="G2280">
        <v>42</v>
      </c>
      <c r="H2280" s="3">
        <v>11.98</v>
      </c>
      <c r="I2280" s="3">
        <f>ProductLine[[#This Row],[Units]]*ProductLine[[#This Row],[Dollars]]</f>
        <v>503.16</v>
      </c>
    </row>
    <row r="2281" spans="1:9" x14ac:dyDescent="0.35">
      <c r="A2281">
        <v>2280</v>
      </c>
      <c r="B2281" t="s">
        <v>13</v>
      </c>
      <c r="C2281" s="2">
        <v>44093</v>
      </c>
      <c r="D2281">
        <f>YEAR(ProductLine[[#This Row],[Date]])</f>
        <v>2020</v>
      </c>
      <c r="E2281">
        <f>MONTH(ProductLine[[#This Row],[Date]])</f>
        <v>9</v>
      </c>
      <c r="F2281" t="s">
        <v>23</v>
      </c>
      <c r="G2281">
        <v>24</v>
      </c>
      <c r="H2281" s="3">
        <v>9</v>
      </c>
      <c r="I2281" s="3">
        <f>ProductLine[[#This Row],[Units]]*ProductLine[[#This Row],[Dollars]]</f>
        <v>216</v>
      </c>
    </row>
    <row r="2282" spans="1:9" x14ac:dyDescent="0.35">
      <c r="A2282">
        <v>2281</v>
      </c>
      <c r="B2282" t="s">
        <v>13</v>
      </c>
      <c r="C2282" s="2">
        <v>44093</v>
      </c>
      <c r="D2282">
        <f>YEAR(ProductLine[[#This Row],[Date]])</f>
        <v>2020</v>
      </c>
      <c r="E2282">
        <f>MONTH(ProductLine[[#This Row],[Date]])</f>
        <v>9</v>
      </c>
      <c r="F2282" t="s">
        <v>23</v>
      </c>
      <c r="G2282">
        <v>38</v>
      </c>
      <c r="H2282" s="3">
        <v>7.99</v>
      </c>
      <c r="I2282" s="3">
        <f>ProductLine[[#This Row],[Units]]*ProductLine[[#This Row],[Dollars]]</f>
        <v>303.62</v>
      </c>
    </row>
    <row r="2283" spans="1:9" x14ac:dyDescent="0.35">
      <c r="A2283">
        <v>2282</v>
      </c>
      <c r="B2283" t="s">
        <v>13</v>
      </c>
      <c r="C2283" s="2">
        <v>44061</v>
      </c>
      <c r="D2283">
        <f>YEAR(ProductLine[[#This Row],[Date]])</f>
        <v>2020</v>
      </c>
      <c r="E2283">
        <f>MONTH(ProductLine[[#This Row],[Date]])</f>
        <v>8</v>
      </c>
      <c r="F2283" t="s">
        <v>23</v>
      </c>
      <c r="G2283">
        <v>42</v>
      </c>
      <c r="H2283" s="3">
        <v>9</v>
      </c>
      <c r="I2283" s="3">
        <f>ProductLine[[#This Row],[Units]]*ProductLine[[#This Row],[Dollars]]</f>
        <v>378</v>
      </c>
    </row>
    <row r="2284" spans="1:9" x14ac:dyDescent="0.35">
      <c r="A2284">
        <v>2283</v>
      </c>
      <c r="B2284" t="s">
        <v>13</v>
      </c>
      <c r="C2284" s="2">
        <v>44063</v>
      </c>
      <c r="D2284">
        <f>YEAR(ProductLine[[#This Row],[Date]])</f>
        <v>2020</v>
      </c>
      <c r="E2284">
        <f>MONTH(ProductLine[[#This Row],[Date]])</f>
        <v>8</v>
      </c>
      <c r="F2284" t="s">
        <v>23</v>
      </c>
      <c r="G2284">
        <v>46</v>
      </c>
      <c r="H2284" s="3">
        <v>7.99</v>
      </c>
      <c r="I2284" s="3">
        <f>ProductLine[[#This Row],[Units]]*ProductLine[[#This Row],[Dollars]]</f>
        <v>367.54</v>
      </c>
    </row>
    <row r="2285" spans="1:9" x14ac:dyDescent="0.35">
      <c r="A2285">
        <v>2284</v>
      </c>
      <c r="B2285" t="s">
        <v>13</v>
      </c>
      <c r="C2285" s="2">
        <v>44068</v>
      </c>
      <c r="D2285">
        <f>YEAR(ProductLine[[#This Row],[Date]])</f>
        <v>2020</v>
      </c>
      <c r="E2285">
        <f>MONTH(ProductLine[[#This Row],[Date]])</f>
        <v>8</v>
      </c>
      <c r="F2285" t="s">
        <v>23</v>
      </c>
      <c r="G2285">
        <v>56</v>
      </c>
      <c r="H2285" s="3">
        <v>7.4</v>
      </c>
      <c r="I2285" s="3">
        <f>ProductLine[[#This Row],[Units]]*ProductLine[[#This Row],[Dollars]]</f>
        <v>414.40000000000003</v>
      </c>
    </row>
    <row r="2286" spans="1:9" x14ac:dyDescent="0.35">
      <c r="A2286">
        <v>2285</v>
      </c>
      <c r="B2286" t="s">
        <v>13</v>
      </c>
      <c r="C2286" s="2">
        <v>44097</v>
      </c>
      <c r="D2286">
        <f>YEAR(ProductLine[[#This Row],[Date]])</f>
        <v>2020</v>
      </c>
      <c r="E2286">
        <f>MONTH(ProductLine[[#This Row],[Date]])</f>
        <v>9</v>
      </c>
      <c r="F2286" t="s">
        <v>23</v>
      </c>
      <c r="G2286">
        <v>39</v>
      </c>
      <c r="H2286" s="3">
        <v>7.99</v>
      </c>
      <c r="I2286" s="3">
        <f>ProductLine[[#This Row],[Units]]*ProductLine[[#This Row],[Dollars]]</f>
        <v>311.61</v>
      </c>
    </row>
    <row r="2287" spans="1:9" x14ac:dyDescent="0.35">
      <c r="A2287">
        <v>2286</v>
      </c>
      <c r="B2287" t="s">
        <v>18</v>
      </c>
      <c r="C2287" s="2">
        <v>44022</v>
      </c>
      <c r="D2287">
        <f>YEAR(ProductLine[[#This Row],[Date]])</f>
        <v>2020</v>
      </c>
      <c r="E2287">
        <f>MONTH(ProductLine[[#This Row],[Date]])</f>
        <v>7</v>
      </c>
      <c r="F2287" t="s">
        <v>23</v>
      </c>
      <c r="G2287">
        <v>34</v>
      </c>
      <c r="H2287" s="3">
        <v>7.4</v>
      </c>
      <c r="I2287" s="3">
        <f>ProductLine[[#This Row],[Units]]*ProductLine[[#This Row],[Dollars]]</f>
        <v>251.60000000000002</v>
      </c>
    </row>
    <row r="2288" spans="1:9" x14ac:dyDescent="0.35">
      <c r="A2288">
        <v>2287</v>
      </c>
      <c r="B2288" t="s">
        <v>18</v>
      </c>
      <c r="C2288" s="2">
        <v>44025</v>
      </c>
      <c r="D2288">
        <f>YEAR(ProductLine[[#This Row],[Date]])</f>
        <v>2020</v>
      </c>
      <c r="E2288">
        <f>MONTH(ProductLine[[#This Row],[Date]])</f>
        <v>7</v>
      </c>
      <c r="F2288" t="s">
        <v>23</v>
      </c>
      <c r="G2288">
        <v>37</v>
      </c>
      <c r="H2288" s="3">
        <v>9</v>
      </c>
      <c r="I2288" s="3">
        <f>ProductLine[[#This Row],[Units]]*ProductLine[[#This Row],[Dollars]]</f>
        <v>333</v>
      </c>
    </row>
    <row r="2289" spans="1:9" x14ac:dyDescent="0.35">
      <c r="A2289">
        <v>2288</v>
      </c>
      <c r="B2289" t="s">
        <v>18</v>
      </c>
      <c r="C2289" s="2">
        <v>44075</v>
      </c>
      <c r="D2289">
        <f>YEAR(ProductLine[[#This Row],[Date]])</f>
        <v>2020</v>
      </c>
      <c r="E2289">
        <f>MONTH(ProductLine[[#This Row],[Date]])</f>
        <v>9</v>
      </c>
      <c r="F2289" t="s">
        <v>23</v>
      </c>
      <c r="G2289">
        <v>45</v>
      </c>
      <c r="H2289" s="3">
        <v>7.99</v>
      </c>
      <c r="I2289" s="3">
        <f>ProductLine[[#This Row],[Units]]*ProductLine[[#This Row],[Dollars]]</f>
        <v>359.55</v>
      </c>
    </row>
    <row r="2290" spans="1:9" x14ac:dyDescent="0.35">
      <c r="A2290">
        <v>2289</v>
      </c>
      <c r="B2290" t="s">
        <v>18</v>
      </c>
      <c r="C2290" s="2">
        <v>44077</v>
      </c>
      <c r="D2290">
        <f>YEAR(ProductLine[[#This Row],[Date]])</f>
        <v>2020</v>
      </c>
      <c r="E2290">
        <f>MONTH(ProductLine[[#This Row],[Date]])</f>
        <v>9</v>
      </c>
      <c r="F2290" t="s">
        <v>23</v>
      </c>
      <c r="G2290">
        <v>54</v>
      </c>
      <c r="H2290" s="3">
        <v>7.4</v>
      </c>
      <c r="I2290" s="3">
        <f>ProductLine[[#This Row],[Units]]*ProductLine[[#This Row],[Dollars]]</f>
        <v>399.6</v>
      </c>
    </row>
    <row r="2291" spans="1:9" x14ac:dyDescent="0.35">
      <c r="A2291">
        <v>2290</v>
      </c>
      <c r="B2291" t="s">
        <v>11</v>
      </c>
      <c r="C2291" s="2">
        <v>44031</v>
      </c>
      <c r="D2291">
        <f>YEAR(ProductLine[[#This Row],[Date]])</f>
        <v>2020</v>
      </c>
      <c r="E2291">
        <f>MONTH(ProductLine[[#This Row],[Date]])</f>
        <v>7</v>
      </c>
      <c r="F2291" t="s">
        <v>25</v>
      </c>
      <c r="G2291">
        <v>34</v>
      </c>
      <c r="H2291" s="3">
        <v>5.64</v>
      </c>
      <c r="I2291" s="3">
        <f>ProductLine[[#This Row],[Units]]*ProductLine[[#This Row],[Dollars]]</f>
        <v>191.76</v>
      </c>
    </row>
    <row r="2292" spans="1:9" x14ac:dyDescent="0.35">
      <c r="A2292">
        <v>2291</v>
      </c>
      <c r="B2292" t="s">
        <v>11</v>
      </c>
      <c r="C2292" s="2">
        <v>44034</v>
      </c>
      <c r="D2292">
        <f>YEAR(ProductLine[[#This Row],[Date]])</f>
        <v>2020</v>
      </c>
      <c r="E2292">
        <f>MONTH(ProductLine[[#This Row],[Date]])</f>
        <v>7</v>
      </c>
      <c r="F2292" t="s">
        <v>25</v>
      </c>
      <c r="G2292">
        <v>56</v>
      </c>
      <c r="H2292" s="3">
        <v>8.25</v>
      </c>
      <c r="I2292" s="3">
        <f>ProductLine[[#This Row],[Units]]*ProductLine[[#This Row],[Dollars]]</f>
        <v>462</v>
      </c>
    </row>
    <row r="2293" spans="1:9" x14ac:dyDescent="0.35">
      <c r="A2293">
        <v>2292</v>
      </c>
      <c r="B2293" t="s">
        <v>11</v>
      </c>
      <c r="C2293" s="2">
        <v>44072</v>
      </c>
      <c r="D2293">
        <f>YEAR(ProductLine[[#This Row],[Date]])</f>
        <v>2020</v>
      </c>
      <c r="E2293">
        <f>MONTH(ProductLine[[#This Row],[Date]])</f>
        <v>8</v>
      </c>
      <c r="F2293" t="s">
        <v>25</v>
      </c>
      <c r="G2293">
        <v>46</v>
      </c>
      <c r="H2293" s="3">
        <v>8.98</v>
      </c>
      <c r="I2293" s="3">
        <f>ProductLine[[#This Row],[Units]]*ProductLine[[#This Row],[Dollars]]</f>
        <v>413.08000000000004</v>
      </c>
    </row>
    <row r="2294" spans="1:9" x14ac:dyDescent="0.35">
      <c r="A2294">
        <v>2293</v>
      </c>
      <c r="B2294" t="s">
        <v>11</v>
      </c>
      <c r="C2294" s="2">
        <v>44052</v>
      </c>
      <c r="D2294">
        <f>YEAR(ProductLine[[#This Row],[Date]])</f>
        <v>2020</v>
      </c>
      <c r="E2294">
        <f>MONTH(ProductLine[[#This Row],[Date]])</f>
        <v>8</v>
      </c>
      <c r="F2294" t="s">
        <v>25</v>
      </c>
      <c r="G2294">
        <v>40</v>
      </c>
      <c r="H2294" s="3">
        <v>5.64</v>
      </c>
      <c r="I2294" s="3">
        <f>ProductLine[[#This Row],[Units]]*ProductLine[[#This Row],[Dollars]]</f>
        <v>225.6</v>
      </c>
    </row>
    <row r="2295" spans="1:9" x14ac:dyDescent="0.35">
      <c r="A2295">
        <v>2294</v>
      </c>
      <c r="B2295" t="s">
        <v>11</v>
      </c>
      <c r="C2295" s="2">
        <v>44086</v>
      </c>
      <c r="D2295">
        <f>YEAR(ProductLine[[#This Row],[Date]])</f>
        <v>2020</v>
      </c>
      <c r="E2295">
        <f>MONTH(ProductLine[[#This Row],[Date]])</f>
        <v>9</v>
      </c>
      <c r="F2295" t="s">
        <v>25</v>
      </c>
      <c r="G2295">
        <v>34</v>
      </c>
      <c r="H2295" s="3">
        <v>5.64</v>
      </c>
      <c r="I2295" s="3">
        <f>ProductLine[[#This Row],[Units]]*ProductLine[[#This Row],[Dollars]]</f>
        <v>191.76</v>
      </c>
    </row>
    <row r="2296" spans="1:9" x14ac:dyDescent="0.35">
      <c r="A2296">
        <v>2295</v>
      </c>
      <c r="B2296" t="s">
        <v>11</v>
      </c>
      <c r="C2296" s="2">
        <v>44094</v>
      </c>
      <c r="D2296">
        <f>YEAR(ProductLine[[#This Row],[Date]])</f>
        <v>2020</v>
      </c>
      <c r="E2296">
        <f>MONTH(ProductLine[[#This Row],[Date]])</f>
        <v>9</v>
      </c>
      <c r="F2296" t="s">
        <v>25</v>
      </c>
      <c r="G2296">
        <v>39</v>
      </c>
      <c r="H2296" s="3">
        <v>8.98</v>
      </c>
      <c r="I2296" s="3">
        <f>ProductLine[[#This Row],[Units]]*ProductLine[[#This Row],[Dollars]]</f>
        <v>350.22</v>
      </c>
    </row>
    <row r="2297" spans="1:9" x14ac:dyDescent="0.35">
      <c r="A2297">
        <v>2296</v>
      </c>
      <c r="B2297" t="s">
        <v>11</v>
      </c>
      <c r="C2297" s="2">
        <v>44101</v>
      </c>
      <c r="D2297">
        <f>YEAR(ProductLine[[#This Row],[Date]])</f>
        <v>2020</v>
      </c>
      <c r="E2297">
        <f>MONTH(ProductLine[[#This Row],[Date]])</f>
        <v>9</v>
      </c>
      <c r="F2297" t="s">
        <v>25</v>
      </c>
      <c r="G2297">
        <v>41</v>
      </c>
      <c r="H2297" s="3">
        <v>8.25</v>
      </c>
      <c r="I2297" s="3">
        <f>ProductLine[[#This Row],[Units]]*ProductLine[[#This Row],[Dollars]]</f>
        <v>338.25</v>
      </c>
    </row>
    <row r="2298" spans="1:9" x14ac:dyDescent="0.35">
      <c r="A2298">
        <v>2297</v>
      </c>
      <c r="B2298" t="s">
        <v>13</v>
      </c>
      <c r="C2298" s="2">
        <v>44030</v>
      </c>
      <c r="D2298">
        <f>YEAR(ProductLine[[#This Row],[Date]])</f>
        <v>2020</v>
      </c>
      <c r="E2298">
        <f>MONTH(ProductLine[[#This Row],[Date]])</f>
        <v>7</v>
      </c>
      <c r="F2298" t="s">
        <v>25</v>
      </c>
      <c r="G2298">
        <v>30</v>
      </c>
      <c r="H2298" s="3">
        <v>5.64</v>
      </c>
      <c r="I2298" s="3">
        <f>ProductLine[[#This Row],[Units]]*ProductLine[[#This Row],[Dollars]]</f>
        <v>169.2</v>
      </c>
    </row>
    <row r="2299" spans="1:9" x14ac:dyDescent="0.35">
      <c r="A2299">
        <v>2298</v>
      </c>
      <c r="B2299" t="s">
        <v>13</v>
      </c>
      <c r="C2299" s="2">
        <v>44031</v>
      </c>
      <c r="D2299">
        <f>YEAR(ProductLine[[#This Row],[Date]])</f>
        <v>2020</v>
      </c>
      <c r="E2299">
        <f>MONTH(ProductLine[[#This Row],[Date]])</f>
        <v>7</v>
      </c>
      <c r="F2299" t="s">
        <v>25</v>
      </c>
      <c r="G2299">
        <v>35</v>
      </c>
      <c r="H2299" s="3">
        <v>8.98</v>
      </c>
      <c r="I2299" s="3">
        <f>ProductLine[[#This Row],[Units]]*ProductLine[[#This Row],[Dollars]]</f>
        <v>314.3</v>
      </c>
    </row>
    <row r="2300" spans="1:9" x14ac:dyDescent="0.35">
      <c r="A2300">
        <v>2299</v>
      </c>
      <c r="B2300" t="s">
        <v>13</v>
      </c>
      <c r="C2300" s="2">
        <v>44103</v>
      </c>
      <c r="D2300">
        <f>YEAR(ProductLine[[#This Row],[Date]])</f>
        <v>2020</v>
      </c>
      <c r="E2300">
        <f>MONTH(ProductLine[[#This Row],[Date]])</f>
        <v>9</v>
      </c>
      <c r="F2300" t="s">
        <v>25</v>
      </c>
      <c r="G2300">
        <v>45</v>
      </c>
      <c r="H2300" s="3">
        <v>8.25</v>
      </c>
      <c r="I2300" s="3">
        <f>ProductLine[[#This Row],[Units]]*ProductLine[[#This Row],[Dollars]]</f>
        <v>371.25</v>
      </c>
    </row>
    <row r="2301" spans="1:9" x14ac:dyDescent="0.35">
      <c r="A2301">
        <v>2300</v>
      </c>
      <c r="B2301" t="s">
        <v>13</v>
      </c>
      <c r="C2301" s="2">
        <v>44104</v>
      </c>
      <c r="D2301">
        <f>YEAR(ProductLine[[#This Row],[Date]])</f>
        <v>2020</v>
      </c>
      <c r="E2301">
        <f>MONTH(ProductLine[[#This Row],[Date]])</f>
        <v>9</v>
      </c>
      <c r="F2301" t="s">
        <v>25</v>
      </c>
      <c r="G2301">
        <v>52</v>
      </c>
      <c r="H2301" s="3">
        <v>5.64</v>
      </c>
      <c r="I2301" s="3">
        <f>ProductLine[[#This Row],[Units]]*ProductLine[[#This Row],[Dollars]]</f>
        <v>293.27999999999997</v>
      </c>
    </row>
    <row r="2302" spans="1:9" x14ac:dyDescent="0.35">
      <c r="A2302">
        <v>2301</v>
      </c>
      <c r="B2302" t="s">
        <v>9</v>
      </c>
      <c r="C2302" s="2">
        <v>44055</v>
      </c>
      <c r="D2302">
        <f>YEAR(ProductLine[[#This Row],[Date]])</f>
        <v>2020</v>
      </c>
      <c r="E2302">
        <f>MONTH(ProductLine[[#This Row],[Date]])</f>
        <v>8</v>
      </c>
      <c r="F2302" t="s">
        <v>25</v>
      </c>
      <c r="G2302">
        <v>35</v>
      </c>
      <c r="H2302" s="3">
        <v>8.98</v>
      </c>
      <c r="I2302" s="3">
        <f>ProductLine[[#This Row],[Units]]*ProductLine[[#This Row],[Dollars]]</f>
        <v>314.3</v>
      </c>
    </row>
    <row r="2303" spans="1:9" x14ac:dyDescent="0.35">
      <c r="A2303">
        <v>2302</v>
      </c>
      <c r="B2303" t="s">
        <v>9</v>
      </c>
      <c r="C2303" s="2">
        <v>44062</v>
      </c>
      <c r="D2303">
        <f>YEAR(ProductLine[[#This Row],[Date]])</f>
        <v>2020</v>
      </c>
      <c r="E2303">
        <f>MONTH(ProductLine[[#This Row],[Date]])</f>
        <v>8</v>
      </c>
      <c r="F2303" t="s">
        <v>25</v>
      </c>
      <c r="G2303">
        <v>36</v>
      </c>
      <c r="H2303" s="3">
        <v>5.64</v>
      </c>
      <c r="I2303" s="3">
        <f>ProductLine[[#This Row],[Units]]*ProductLine[[#This Row],[Dollars]]</f>
        <v>203.04</v>
      </c>
    </row>
    <row r="2304" spans="1:9" x14ac:dyDescent="0.35">
      <c r="A2304">
        <v>2303</v>
      </c>
      <c r="B2304" t="s">
        <v>9</v>
      </c>
      <c r="C2304" s="2">
        <v>44044</v>
      </c>
      <c r="D2304">
        <f>YEAR(ProductLine[[#This Row],[Date]])</f>
        <v>2020</v>
      </c>
      <c r="E2304">
        <f>MONTH(ProductLine[[#This Row],[Date]])</f>
        <v>8</v>
      </c>
      <c r="F2304" t="s">
        <v>25</v>
      </c>
      <c r="G2304">
        <v>40</v>
      </c>
      <c r="H2304" s="3">
        <v>8.25</v>
      </c>
      <c r="I2304" s="3">
        <f>ProductLine[[#This Row],[Units]]*ProductLine[[#This Row],[Dollars]]</f>
        <v>330</v>
      </c>
    </row>
    <row r="2305" spans="1:9" x14ac:dyDescent="0.35">
      <c r="A2305">
        <v>2304</v>
      </c>
      <c r="B2305" t="s">
        <v>11</v>
      </c>
      <c r="C2305" s="2">
        <v>44021</v>
      </c>
      <c r="D2305">
        <f>YEAR(ProductLine[[#This Row],[Date]])</f>
        <v>2020</v>
      </c>
      <c r="E2305">
        <f>MONTH(ProductLine[[#This Row],[Date]])</f>
        <v>7</v>
      </c>
      <c r="F2305" t="s">
        <v>27</v>
      </c>
      <c r="G2305">
        <v>46</v>
      </c>
      <c r="H2305" s="3">
        <v>9.98</v>
      </c>
      <c r="I2305" s="3">
        <f>ProductLine[[#This Row],[Units]]*ProductLine[[#This Row],[Dollars]]</f>
        <v>459.08000000000004</v>
      </c>
    </row>
    <row r="2306" spans="1:9" x14ac:dyDescent="0.35">
      <c r="A2306">
        <v>2305</v>
      </c>
      <c r="B2306" t="s">
        <v>11</v>
      </c>
      <c r="C2306" s="2">
        <v>44084</v>
      </c>
      <c r="D2306">
        <f>YEAR(ProductLine[[#This Row],[Date]])</f>
        <v>2020</v>
      </c>
      <c r="E2306">
        <f>MONTH(ProductLine[[#This Row],[Date]])</f>
        <v>9</v>
      </c>
      <c r="F2306" t="s">
        <v>27</v>
      </c>
      <c r="G2306">
        <v>55</v>
      </c>
      <c r="H2306" s="3">
        <v>9.43</v>
      </c>
      <c r="I2306" s="3">
        <f>ProductLine[[#This Row],[Units]]*ProductLine[[#This Row],[Dollars]]</f>
        <v>518.65</v>
      </c>
    </row>
    <row r="2307" spans="1:9" x14ac:dyDescent="0.35">
      <c r="A2307">
        <v>2306</v>
      </c>
      <c r="B2307" t="s">
        <v>11</v>
      </c>
      <c r="C2307" s="2">
        <v>44053</v>
      </c>
      <c r="D2307">
        <f>YEAR(ProductLine[[#This Row],[Date]])</f>
        <v>2020</v>
      </c>
      <c r="E2307">
        <f>MONTH(ProductLine[[#This Row],[Date]])</f>
        <v>8</v>
      </c>
      <c r="F2307" t="s">
        <v>27</v>
      </c>
      <c r="G2307">
        <v>46</v>
      </c>
      <c r="H2307" s="3">
        <v>8.5500000000000007</v>
      </c>
      <c r="I2307" s="3">
        <f>ProductLine[[#This Row],[Units]]*ProductLine[[#This Row],[Dollars]]</f>
        <v>393.3</v>
      </c>
    </row>
    <row r="2308" spans="1:9" x14ac:dyDescent="0.35">
      <c r="A2308">
        <v>2307</v>
      </c>
      <c r="B2308" t="s">
        <v>11</v>
      </c>
      <c r="C2308" s="2">
        <v>44060</v>
      </c>
      <c r="D2308">
        <f>YEAR(ProductLine[[#This Row],[Date]])</f>
        <v>2020</v>
      </c>
      <c r="E2308">
        <f>MONTH(ProductLine[[#This Row],[Date]])</f>
        <v>8</v>
      </c>
      <c r="F2308" t="s">
        <v>27</v>
      </c>
      <c r="G2308">
        <v>36</v>
      </c>
      <c r="H2308" s="3">
        <v>8.98</v>
      </c>
      <c r="I2308" s="3">
        <f>ProductLine[[#This Row],[Units]]*ProductLine[[#This Row],[Dollars]]</f>
        <v>323.28000000000003</v>
      </c>
    </row>
    <row r="2309" spans="1:9" x14ac:dyDescent="0.35">
      <c r="A2309">
        <v>2308</v>
      </c>
      <c r="B2309" t="s">
        <v>11</v>
      </c>
      <c r="C2309" s="2">
        <v>44027</v>
      </c>
      <c r="D2309">
        <f>YEAR(ProductLine[[#This Row],[Date]])</f>
        <v>2020</v>
      </c>
      <c r="E2309">
        <f>MONTH(ProductLine[[#This Row],[Date]])</f>
        <v>7</v>
      </c>
      <c r="F2309" t="s">
        <v>27</v>
      </c>
      <c r="G2309">
        <v>27</v>
      </c>
      <c r="H2309" s="3">
        <v>9.98</v>
      </c>
      <c r="I2309" s="3">
        <f>ProductLine[[#This Row],[Units]]*ProductLine[[#This Row],[Dollars]]</f>
        <v>269.46000000000004</v>
      </c>
    </row>
    <row r="2310" spans="1:9" x14ac:dyDescent="0.35">
      <c r="A2310">
        <v>2309</v>
      </c>
      <c r="B2310" t="s">
        <v>11</v>
      </c>
      <c r="C2310" s="2">
        <v>44053</v>
      </c>
      <c r="D2310">
        <f>YEAR(ProductLine[[#This Row],[Date]])</f>
        <v>2020</v>
      </c>
      <c r="E2310">
        <f>MONTH(ProductLine[[#This Row],[Date]])</f>
        <v>8</v>
      </c>
      <c r="F2310" t="s">
        <v>27</v>
      </c>
      <c r="G2310">
        <v>29</v>
      </c>
      <c r="H2310" s="3">
        <v>9.43</v>
      </c>
      <c r="I2310" s="3">
        <f>ProductLine[[#This Row],[Units]]*ProductLine[[#This Row],[Dollars]]</f>
        <v>273.46999999999997</v>
      </c>
    </row>
    <row r="2311" spans="1:9" x14ac:dyDescent="0.35">
      <c r="A2311">
        <v>2310</v>
      </c>
      <c r="B2311" t="s">
        <v>11</v>
      </c>
      <c r="C2311" s="2">
        <v>44082</v>
      </c>
      <c r="D2311">
        <f>YEAR(ProductLine[[#This Row],[Date]])</f>
        <v>2020</v>
      </c>
      <c r="E2311">
        <f>MONTH(ProductLine[[#This Row],[Date]])</f>
        <v>9</v>
      </c>
      <c r="F2311" t="s">
        <v>27</v>
      </c>
      <c r="G2311">
        <v>26</v>
      </c>
      <c r="H2311" s="3">
        <v>9.98</v>
      </c>
      <c r="I2311" s="3">
        <f>ProductLine[[#This Row],[Units]]*ProductLine[[#This Row],[Dollars]]</f>
        <v>259.48</v>
      </c>
    </row>
    <row r="2312" spans="1:9" x14ac:dyDescent="0.35">
      <c r="A2312">
        <v>2311</v>
      </c>
      <c r="B2312" t="s">
        <v>13</v>
      </c>
      <c r="C2312" s="2">
        <v>44031</v>
      </c>
      <c r="D2312">
        <f>YEAR(ProductLine[[#This Row],[Date]])</f>
        <v>2020</v>
      </c>
      <c r="E2312">
        <f>MONTH(ProductLine[[#This Row],[Date]])</f>
        <v>7</v>
      </c>
      <c r="F2312" t="s">
        <v>27</v>
      </c>
      <c r="G2312">
        <v>45</v>
      </c>
      <c r="H2312" s="3">
        <v>9.43</v>
      </c>
      <c r="I2312" s="3">
        <f>ProductLine[[#This Row],[Units]]*ProductLine[[#This Row],[Dollars]]</f>
        <v>424.34999999999997</v>
      </c>
    </row>
    <row r="2313" spans="1:9" x14ac:dyDescent="0.35">
      <c r="A2313">
        <v>2312</v>
      </c>
      <c r="B2313" t="s">
        <v>13</v>
      </c>
      <c r="C2313" s="2">
        <v>44041</v>
      </c>
      <c r="D2313">
        <f>YEAR(ProductLine[[#This Row],[Date]])</f>
        <v>2020</v>
      </c>
      <c r="E2313">
        <f>MONTH(ProductLine[[#This Row],[Date]])</f>
        <v>7</v>
      </c>
      <c r="F2313" t="s">
        <v>27</v>
      </c>
      <c r="G2313">
        <v>56</v>
      </c>
      <c r="H2313" s="3">
        <v>9.98</v>
      </c>
      <c r="I2313" s="3">
        <f>ProductLine[[#This Row],[Units]]*ProductLine[[#This Row],[Dollars]]</f>
        <v>558.88</v>
      </c>
    </row>
    <row r="2314" spans="1:9" x14ac:dyDescent="0.35">
      <c r="A2314">
        <v>2313</v>
      </c>
      <c r="B2314" t="s">
        <v>13</v>
      </c>
      <c r="C2314" s="2">
        <v>44053</v>
      </c>
      <c r="D2314">
        <f>YEAR(ProductLine[[#This Row],[Date]])</f>
        <v>2020</v>
      </c>
      <c r="E2314">
        <f>MONTH(ProductLine[[#This Row],[Date]])</f>
        <v>8</v>
      </c>
      <c r="F2314" t="s">
        <v>27</v>
      </c>
      <c r="G2314">
        <v>62</v>
      </c>
      <c r="H2314" s="3">
        <v>9.43</v>
      </c>
      <c r="I2314" s="3">
        <f>ProductLine[[#This Row],[Units]]*ProductLine[[#This Row],[Dollars]]</f>
        <v>584.66</v>
      </c>
    </row>
    <row r="2315" spans="1:9" x14ac:dyDescent="0.35">
      <c r="A2315">
        <v>2314</v>
      </c>
      <c r="B2315" t="s">
        <v>13</v>
      </c>
      <c r="C2315" s="2">
        <v>44052</v>
      </c>
      <c r="D2315">
        <f>YEAR(ProductLine[[#This Row],[Date]])</f>
        <v>2020</v>
      </c>
      <c r="E2315">
        <f>MONTH(ProductLine[[#This Row],[Date]])</f>
        <v>8</v>
      </c>
      <c r="F2315" t="s">
        <v>27</v>
      </c>
      <c r="G2315">
        <v>37</v>
      </c>
      <c r="H2315" s="3">
        <v>9.98</v>
      </c>
      <c r="I2315" s="3">
        <f>ProductLine[[#This Row],[Units]]*ProductLine[[#This Row],[Dollars]]</f>
        <v>369.26</v>
      </c>
    </row>
    <row r="2316" spans="1:9" x14ac:dyDescent="0.35">
      <c r="A2316">
        <v>2315</v>
      </c>
      <c r="B2316" t="s">
        <v>13</v>
      </c>
      <c r="C2316" s="2">
        <v>44083</v>
      </c>
      <c r="D2316">
        <f>YEAR(ProductLine[[#This Row],[Date]])</f>
        <v>2020</v>
      </c>
      <c r="E2316">
        <f>MONTH(ProductLine[[#This Row],[Date]])</f>
        <v>9</v>
      </c>
      <c r="F2316" t="s">
        <v>27</v>
      </c>
      <c r="G2316">
        <v>45</v>
      </c>
      <c r="H2316" s="3">
        <v>9.43</v>
      </c>
      <c r="I2316" s="3">
        <f>ProductLine[[#This Row],[Units]]*ProductLine[[#This Row],[Dollars]]</f>
        <v>424.34999999999997</v>
      </c>
    </row>
    <row r="2317" spans="1:9" x14ac:dyDescent="0.35">
      <c r="A2317">
        <v>2316</v>
      </c>
      <c r="B2317" t="s">
        <v>13</v>
      </c>
      <c r="C2317" s="2">
        <v>44097</v>
      </c>
      <c r="D2317">
        <f>YEAR(ProductLine[[#This Row],[Date]])</f>
        <v>2020</v>
      </c>
      <c r="E2317">
        <f>MONTH(ProductLine[[#This Row],[Date]])</f>
        <v>9</v>
      </c>
      <c r="F2317" t="s">
        <v>27</v>
      </c>
      <c r="G2317">
        <v>53</v>
      </c>
      <c r="H2317" s="3">
        <v>9.4499999999999993</v>
      </c>
      <c r="I2317" s="3">
        <f>ProductLine[[#This Row],[Units]]*ProductLine[[#This Row],[Dollars]]</f>
        <v>500.84999999999997</v>
      </c>
    </row>
    <row r="2318" spans="1:9" x14ac:dyDescent="0.35">
      <c r="A2318">
        <v>2317</v>
      </c>
      <c r="B2318" t="s">
        <v>14</v>
      </c>
      <c r="C2318" s="2">
        <v>44040</v>
      </c>
      <c r="D2318">
        <f>YEAR(ProductLine[[#This Row],[Date]])</f>
        <v>2020</v>
      </c>
      <c r="E2318">
        <f>MONTH(ProductLine[[#This Row],[Date]])</f>
        <v>7</v>
      </c>
      <c r="F2318" t="s">
        <v>27</v>
      </c>
      <c r="G2318">
        <v>45</v>
      </c>
      <c r="H2318" s="3">
        <v>9.43</v>
      </c>
      <c r="I2318" s="3">
        <f>ProductLine[[#This Row],[Units]]*ProductLine[[#This Row],[Dollars]]</f>
        <v>424.34999999999997</v>
      </c>
    </row>
    <row r="2319" spans="1:9" x14ac:dyDescent="0.35">
      <c r="A2319">
        <v>2318</v>
      </c>
      <c r="B2319" t="s">
        <v>14</v>
      </c>
      <c r="C2319" s="2">
        <v>44037</v>
      </c>
      <c r="D2319">
        <f>YEAR(ProductLine[[#This Row],[Date]])</f>
        <v>2020</v>
      </c>
      <c r="E2319">
        <f>MONTH(ProductLine[[#This Row],[Date]])</f>
        <v>7</v>
      </c>
      <c r="F2319" t="s">
        <v>27</v>
      </c>
      <c r="G2319">
        <v>36</v>
      </c>
      <c r="H2319" s="3">
        <v>9.98</v>
      </c>
      <c r="I2319" s="3">
        <f>ProductLine[[#This Row],[Units]]*ProductLine[[#This Row],[Dollars]]</f>
        <v>359.28000000000003</v>
      </c>
    </row>
    <row r="2320" spans="1:9" x14ac:dyDescent="0.35">
      <c r="A2320">
        <v>2319</v>
      </c>
      <c r="B2320" t="s">
        <v>19</v>
      </c>
      <c r="C2320" s="2">
        <v>44030</v>
      </c>
      <c r="D2320">
        <f>YEAR(ProductLine[[#This Row],[Date]])</f>
        <v>2020</v>
      </c>
      <c r="E2320">
        <f>MONTH(ProductLine[[#This Row],[Date]])</f>
        <v>7</v>
      </c>
      <c r="F2320" t="s">
        <v>27</v>
      </c>
      <c r="G2320">
        <v>26</v>
      </c>
      <c r="H2320" s="3">
        <v>9.43</v>
      </c>
      <c r="I2320" s="3">
        <f>ProductLine[[#This Row],[Units]]*ProductLine[[#This Row],[Dollars]]</f>
        <v>245.18</v>
      </c>
    </row>
    <row r="2321" spans="1:9" x14ac:dyDescent="0.35">
      <c r="A2321">
        <v>2320</v>
      </c>
      <c r="B2321" t="s">
        <v>19</v>
      </c>
      <c r="C2321" s="2">
        <v>44031</v>
      </c>
      <c r="D2321">
        <f>YEAR(ProductLine[[#This Row],[Date]])</f>
        <v>2020</v>
      </c>
      <c r="E2321">
        <f>MONTH(ProductLine[[#This Row],[Date]])</f>
        <v>7</v>
      </c>
      <c r="F2321" t="s">
        <v>27</v>
      </c>
      <c r="G2321">
        <v>45</v>
      </c>
      <c r="H2321" s="3">
        <v>9.43</v>
      </c>
      <c r="I2321" s="3">
        <f>ProductLine[[#This Row],[Units]]*ProductLine[[#This Row],[Dollars]]</f>
        <v>424.34999999999997</v>
      </c>
    </row>
    <row r="2322" spans="1:9" x14ac:dyDescent="0.35">
      <c r="A2322">
        <v>2321</v>
      </c>
      <c r="B2322" t="s">
        <v>19</v>
      </c>
      <c r="C2322" s="2">
        <v>44037</v>
      </c>
      <c r="D2322">
        <f>YEAR(ProductLine[[#This Row],[Date]])</f>
        <v>2020</v>
      </c>
      <c r="E2322">
        <f>MONTH(ProductLine[[#This Row],[Date]])</f>
        <v>7</v>
      </c>
      <c r="F2322" t="s">
        <v>27</v>
      </c>
      <c r="G2322">
        <v>36</v>
      </c>
      <c r="H2322" s="3">
        <v>9.98</v>
      </c>
      <c r="I2322" s="3">
        <f>ProductLine[[#This Row],[Units]]*ProductLine[[#This Row],[Dollars]]</f>
        <v>359.28000000000003</v>
      </c>
    </row>
    <row r="2323" spans="1:9" x14ac:dyDescent="0.35">
      <c r="A2323">
        <v>2322</v>
      </c>
      <c r="B2323" t="s">
        <v>19</v>
      </c>
      <c r="C2323" s="2">
        <v>44053</v>
      </c>
      <c r="D2323">
        <f>YEAR(ProductLine[[#This Row],[Date]])</f>
        <v>2020</v>
      </c>
      <c r="E2323">
        <f>MONTH(ProductLine[[#This Row],[Date]])</f>
        <v>8</v>
      </c>
      <c r="F2323" t="s">
        <v>27</v>
      </c>
      <c r="G2323">
        <v>34</v>
      </c>
      <c r="H2323" s="3">
        <v>9.43</v>
      </c>
      <c r="I2323" s="3">
        <f>ProductLine[[#This Row],[Units]]*ProductLine[[#This Row],[Dollars]]</f>
        <v>320.62</v>
      </c>
    </row>
    <row r="2324" spans="1:9" x14ac:dyDescent="0.35">
      <c r="A2324">
        <v>2323</v>
      </c>
      <c r="B2324" t="s">
        <v>19</v>
      </c>
      <c r="C2324" s="2">
        <v>44094</v>
      </c>
      <c r="D2324">
        <f>YEAR(ProductLine[[#This Row],[Date]])</f>
        <v>2020</v>
      </c>
      <c r="E2324">
        <f>MONTH(ProductLine[[#This Row],[Date]])</f>
        <v>9</v>
      </c>
      <c r="F2324" t="s">
        <v>27</v>
      </c>
      <c r="G2324">
        <v>54</v>
      </c>
      <c r="H2324" s="3">
        <v>9.98</v>
      </c>
      <c r="I2324" s="3">
        <f>ProductLine[[#This Row],[Units]]*ProductLine[[#This Row],[Dollars]]</f>
        <v>538.92000000000007</v>
      </c>
    </row>
    <row r="2325" spans="1:9" x14ac:dyDescent="0.35">
      <c r="A2325">
        <v>2324</v>
      </c>
      <c r="B2325" t="s">
        <v>19</v>
      </c>
      <c r="C2325" s="2">
        <v>44095</v>
      </c>
      <c r="D2325">
        <f>YEAR(ProductLine[[#This Row],[Date]])</f>
        <v>2020</v>
      </c>
      <c r="E2325">
        <f>MONTH(ProductLine[[#This Row],[Date]])</f>
        <v>9</v>
      </c>
      <c r="F2325" t="s">
        <v>27</v>
      </c>
      <c r="G2325">
        <v>34</v>
      </c>
      <c r="H2325" s="3">
        <v>9.68</v>
      </c>
      <c r="I2325" s="3">
        <f>ProductLine[[#This Row],[Units]]*ProductLine[[#This Row],[Dollars]]</f>
        <v>329.12</v>
      </c>
    </row>
    <row r="2326" spans="1:9" x14ac:dyDescent="0.35">
      <c r="A2326">
        <v>2325</v>
      </c>
      <c r="B2326" t="s">
        <v>19</v>
      </c>
      <c r="C2326" s="2">
        <v>44084</v>
      </c>
      <c r="D2326">
        <f>YEAR(ProductLine[[#This Row],[Date]])</f>
        <v>2020</v>
      </c>
      <c r="E2326">
        <f>MONTH(ProductLine[[#This Row],[Date]])</f>
        <v>9</v>
      </c>
      <c r="F2326" t="s">
        <v>27</v>
      </c>
      <c r="G2326">
        <v>40</v>
      </c>
      <c r="H2326" s="3">
        <v>8.5500000000000007</v>
      </c>
      <c r="I2326" s="3">
        <f>ProductLine[[#This Row],[Units]]*ProductLine[[#This Row],[Dollars]]</f>
        <v>342</v>
      </c>
    </row>
    <row r="2327" spans="1:9" x14ac:dyDescent="0.35">
      <c r="A2327">
        <v>2326</v>
      </c>
      <c r="B2327" t="s">
        <v>11</v>
      </c>
      <c r="C2327" s="2">
        <v>44123</v>
      </c>
      <c r="D2327">
        <f>YEAR(ProductLine[[#This Row],[Date]])</f>
        <v>2020</v>
      </c>
      <c r="E2327">
        <f>MONTH(ProductLine[[#This Row],[Date]])</f>
        <v>10</v>
      </c>
      <c r="F2327" t="s">
        <v>26</v>
      </c>
      <c r="G2327">
        <v>42</v>
      </c>
      <c r="H2327" s="3">
        <v>8.98</v>
      </c>
      <c r="I2327" s="3">
        <f>ProductLine[[#This Row],[Units]]*ProductLine[[#This Row],[Dollars]]</f>
        <v>377.16</v>
      </c>
    </row>
    <row r="2328" spans="1:9" x14ac:dyDescent="0.35">
      <c r="A2328">
        <v>2327</v>
      </c>
      <c r="B2328" t="s">
        <v>11</v>
      </c>
      <c r="C2328" s="2">
        <v>44147</v>
      </c>
      <c r="D2328">
        <f>YEAR(ProductLine[[#This Row],[Date]])</f>
        <v>2020</v>
      </c>
      <c r="E2328">
        <f>MONTH(ProductLine[[#This Row],[Date]])</f>
        <v>11</v>
      </c>
      <c r="F2328" t="s">
        <v>26</v>
      </c>
      <c r="G2328">
        <v>54</v>
      </c>
      <c r="H2328" s="3">
        <v>7.98</v>
      </c>
      <c r="I2328" s="3">
        <f>ProductLine[[#This Row],[Units]]*ProductLine[[#This Row],[Dollars]]</f>
        <v>430.92</v>
      </c>
    </row>
    <row r="2329" spans="1:9" x14ac:dyDescent="0.35">
      <c r="A2329">
        <v>2328</v>
      </c>
      <c r="B2329" t="s">
        <v>11</v>
      </c>
      <c r="C2329" s="2">
        <v>44185</v>
      </c>
      <c r="D2329">
        <f>YEAR(ProductLine[[#This Row],[Date]])</f>
        <v>2020</v>
      </c>
      <c r="E2329">
        <f>MONTH(ProductLine[[#This Row],[Date]])</f>
        <v>12</v>
      </c>
      <c r="F2329" t="s">
        <v>26</v>
      </c>
      <c r="G2329">
        <v>45</v>
      </c>
      <c r="H2329" s="3">
        <v>8.98</v>
      </c>
      <c r="I2329" s="3">
        <f>ProductLine[[#This Row],[Units]]*ProductLine[[#This Row],[Dollars]]</f>
        <v>404.1</v>
      </c>
    </row>
    <row r="2330" spans="1:9" x14ac:dyDescent="0.35">
      <c r="A2330">
        <v>2329</v>
      </c>
      <c r="B2330" t="s">
        <v>11</v>
      </c>
      <c r="C2330" s="2">
        <v>44186</v>
      </c>
      <c r="D2330">
        <f>YEAR(ProductLine[[#This Row],[Date]])</f>
        <v>2020</v>
      </c>
      <c r="E2330">
        <f>MONTH(ProductLine[[#This Row],[Date]])</f>
        <v>12</v>
      </c>
      <c r="F2330" t="s">
        <v>26</v>
      </c>
      <c r="G2330">
        <v>65</v>
      </c>
      <c r="H2330" s="3">
        <v>8.98</v>
      </c>
      <c r="I2330" s="3">
        <f>ProductLine[[#This Row],[Units]]*ProductLine[[#This Row],[Dollars]]</f>
        <v>583.70000000000005</v>
      </c>
    </row>
    <row r="2331" spans="1:9" x14ac:dyDescent="0.35">
      <c r="A2331">
        <v>2330</v>
      </c>
      <c r="B2331" t="s">
        <v>9</v>
      </c>
      <c r="C2331" s="2">
        <v>44129</v>
      </c>
      <c r="D2331">
        <f>YEAR(ProductLine[[#This Row],[Date]])</f>
        <v>2020</v>
      </c>
      <c r="E2331">
        <f>MONTH(ProductLine[[#This Row],[Date]])</f>
        <v>10</v>
      </c>
      <c r="F2331" t="s">
        <v>26</v>
      </c>
      <c r="G2331">
        <v>78</v>
      </c>
      <c r="H2331" s="3">
        <v>7.98</v>
      </c>
      <c r="I2331" s="3">
        <f>ProductLine[[#This Row],[Units]]*ProductLine[[#This Row],[Dollars]]</f>
        <v>622.44000000000005</v>
      </c>
    </row>
    <row r="2332" spans="1:9" x14ac:dyDescent="0.35">
      <c r="A2332">
        <v>2331</v>
      </c>
      <c r="B2332" t="s">
        <v>9</v>
      </c>
      <c r="C2332" s="2">
        <v>44131</v>
      </c>
      <c r="D2332">
        <f>YEAR(ProductLine[[#This Row],[Date]])</f>
        <v>2020</v>
      </c>
      <c r="E2332">
        <f>MONTH(ProductLine[[#This Row],[Date]])</f>
        <v>10</v>
      </c>
      <c r="F2332" t="s">
        <v>26</v>
      </c>
      <c r="G2332">
        <v>54</v>
      </c>
      <c r="H2332" s="3">
        <v>8.98</v>
      </c>
      <c r="I2332" s="3">
        <f>ProductLine[[#This Row],[Units]]*ProductLine[[#This Row],[Dollars]]</f>
        <v>484.92</v>
      </c>
    </row>
    <row r="2333" spans="1:9" x14ac:dyDescent="0.35">
      <c r="A2333">
        <v>2332</v>
      </c>
      <c r="B2333" t="s">
        <v>9</v>
      </c>
      <c r="C2333" s="2">
        <v>44150</v>
      </c>
      <c r="D2333">
        <f>YEAR(ProductLine[[#This Row],[Date]])</f>
        <v>2020</v>
      </c>
      <c r="E2333">
        <f>MONTH(ProductLine[[#This Row],[Date]])</f>
        <v>11</v>
      </c>
      <c r="F2333" t="s">
        <v>26</v>
      </c>
      <c r="G2333">
        <v>45</v>
      </c>
      <c r="H2333" s="3">
        <v>7.98</v>
      </c>
      <c r="I2333" s="3">
        <f>ProductLine[[#This Row],[Units]]*ProductLine[[#This Row],[Dollars]]</f>
        <v>359.1</v>
      </c>
    </row>
    <row r="2334" spans="1:9" x14ac:dyDescent="0.35">
      <c r="A2334">
        <v>2333</v>
      </c>
      <c r="B2334" t="s">
        <v>9</v>
      </c>
      <c r="C2334" s="2">
        <v>44189</v>
      </c>
      <c r="D2334">
        <f>YEAR(ProductLine[[#This Row],[Date]])</f>
        <v>2020</v>
      </c>
      <c r="E2334">
        <f>MONTH(ProductLine[[#This Row],[Date]])</f>
        <v>12</v>
      </c>
      <c r="F2334" t="s">
        <v>26</v>
      </c>
      <c r="G2334">
        <v>58</v>
      </c>
      <c r="H2334" s="3">
        <v>8.98</v>
      </c>
      <c r="I2334" s="3">
        <f>ProductLine[[#This Row],[Units]]*ProductLine[[#This Row],[Dollars]]</f>
        <v>520.84</v>
      </c>
    </row>
    <row r="2335" spans="1:9" x14ac:dyDescent="0.35">
      <c r="A2335">
        <v>2334</v>
      </c>
      <c r="B2335" t="s">
        <v>9</v>
      </c>
      <c r="C2335" s="2">
        <v>44186</v>
      </c>
      <c r="D2335">
        <f>YEAR(ProductLine[[#This Row],[Date]])</f>
        <v>2020</v>
      </c>
      <c r="E2335">
        <f>MONTH(ProductLine[[#This Row],[Date]])</f>
        <v>12</v>
      </c>
      <c r="F2335" t="s">
        <v>26</v>
      </c>
      <c r="G2335">
        <v>83</v>
      </c>
      <c r="H2335" s="3">
        <v>7.98</v>
      </c>
      <c r="I2335" s="3">
        <f>ProductLine[[#This Row],[Units]]*ProductLine[[#This Row],[Dollars]]</f>
        <v>662.34</v>
      </c>
    </row>
    <row r="2336" spans="1:9" x14ac:dyDescent="0.35">
      <c r="A2336">
        <v>2335</v>
      </c>
      <c r="B2336" t="s">
        <v>19</v>
      </c>
      <c r="C2336" s="2">
        <v>44127</v>
      </c>
      <c r="D2336">
        <f>YEAR(ProductLine[[#This Row],[Date]])</f>
        <v>2020</v>
      </c>
      <c r="E2336">
        <f>MONTH(ProductLine[[#This Row],[Date]])</f>
        <v>10</v>
      </c>
      <c r="F2336" t="s">
        <v>26</v>
      </c>
      <c r="G2336">
        <v>56</v>
      </c>
      <c r="H2336" s="3">
        <v>7.98</v>
      </c>
      <c r="I2336" s="3">
        <f>ProductLine[[#This Row],[Units]]*ProductLine[[#This Row],[Dollars]]</f>
        <v>446.88</v>
      </c>
    </row>
    <row r="2337" spans="1:9" x14ac:dyDescent="0.35">
      <c r="A2337">
        <v>2336</v>
      </c>
      <c r="B2337" t="s">
        <v>19</v>
      </c>
      <c r="C2337" s="2">
        <v>44117</v>
      </c>
      <c r="D2337">
        <f>YEAR(ProductLine[[#This Row],[Date]])</f>
        <v>2020</v>
      </c>
      <c r="E2337">
        <f>MONTH(ProductLine[[#This Row],[Date]])</f>
        <v>10</v>
      </c>
      <c r="F2337" t="s">
        <v>26</v>
      </c>
      <c r="G2337">
        <v>50</v>
      </c>
      <c r="H2337" s="3">
        <v>8.98</v>
      </c>
      <c r="I2337" s="3">
        <f>ProductLine[[#This Row],[Units]]*ProductLine[[#This Row],[Dollars]]</f>
        <v>449</v>
      </c>
    </row>
    <row r="2338" spans="1:9" x14ac:dyDescent="0.35">
      <c r="A2338">
        <v>2337</v>
      </c>
      <c r="B2338" t="s">
        <v>19</v>
      </c>
      <c r="C2338" s="2">
        <v>44158</v>
      </c>
      <c r="D2338">
        <f>YEAR(ProductLine[[#This Row],[Date]])</f>
        <v>2020</v>
      </c>
      <c r="E2338">
        <f>MONTH(ProductLine[[#This Row],[Date]])</f>
        <v>11</v>
      </c>
      <c r="F2338" t="s">
        <v>26</v>
      </c>
      <c r="G2338">
        <v>45</v>
      </c>
      <c r="H2338" s="3">
        <v>8.98</v>
      </c>
      <c r="I2338" s="3">
        <f>ProductLine[[#This Row],[Units]]*ProductLine[[#This Row],[Dollars]]</f>
        <v>404.1</v>
      </c>
    </row>
    <row r="2339" spans="1:9" x14ac:dyDescent="0.35">
      <c r="A2339">
        <v>2338</v>
      </c>
      <c r="B2339" t="s">
        <v>19</v>
      </c>
      <c r="C2339" s="2">
        <v>44154</v>
      </c>
      <c r="D2339">
        <f>YEAR(ProductLine[[#This Row],[Date]])</f>
        <v>2020</v>
      </c>
      <c r="E2339">
        <f>MONTH(ProductLine[[#This Row],[Date]])</f>
        <v>11</v>
      </c>
      <c r="F2339" t="s">
        <v>26</v>
      </c>
      <c r="G2339">
        <v>46</v>
      </c>
      <c r="H2339" s="3">
        <v>7.98</v>
      </c>
      <c r="I2339" s="3">
        <f>ProductLine[[#This Row],[Units]]*ProductLine[[#This Row],[Dollars]]</f>
        <v>367.08000000000004</v>
      </c>
    </row>
    <row r="2340" spans="1:9" x14ac:dyDescent="0.35">
      <c r="A2340">
        <v>2339</v>
      </c>
      <c r="B2340" t="s">
        <v>19</v>
      </c>
      <c r="C2340" s="2">
        <v>44191</v>
      </c>
      <c r="D2340">
        <f>YEAR(ProductLine[[#This Row],[Date]])</f>
        <v>2020</v>
      </c>
      <c r="E2340">
        <f>MONTH(ProductLine[[#This Row],[Date]])</f>
        <v>12</v>
      </c>
      <c r="F2340" t="s">
        <v>26</v>
      </c>
      <c r="G2340">
        <v>40</v>
      </c>
      <c r="H2340" s="3">
        <v>7.98</v>
      </c>
      <c r="I2340" s="3">
        <f>ProductLine[[#This Row],[Units]]*ProductLine[[#This Row],[Dollars]]</f>
        <v>319.20000000000005</v>
      </c>
    </row>
    <row r="2341" spans="1:9" x14ac:dyDescent="0.35">
      <c r="A2341">
        <v>2340</v>
      </c>
      <c r="B2341" t="s">
        <v>13</v>
      </c>
      <c r="C2341" s="2">
        <v>44123</v>
      </c>
      <c r="D2341">
        <f>YEAR(ProductLine[[#This Row],[Date]])</f>
        <v>2020</v>
      </c>
      <c r="E2341">
        <f>MONTH(ProductLine[[#This Row],[Date]])</f>
        <v>10</v>
      </c>
      <c r="F2341" t="s">
        <v>24</v>
      </c>
      <c r="G2341">
        <v>45</v>
      </c>
      <c r="H2341" s="3">
        <v>10.89</v>
      </c>
      <c r="I2341" s="3">
        <f>ProductLine[[#This Row],[Units]]*ProductLine[[#This Row],[Dollars]]</f>
        <v>490.05</v>
      </c>
    </row>
    <row r="2342" spans="1:9" x14ac:dyDescent="0.35">
      <c r="A2342">
        <v>2341</v>
      </c>
      <c r="B2342" t="s">
        <v>13</v>
      </c>
      <c r="C2342" s="2">
        <v>44115</v>
      </c>
      <c r="D2342">
        <f>YEAR(ProductLine[[#This Row],[Date]])</f>
        <v>2020</v>
      </c>
      <c r="E2342">
        <f>MONTH(ProductLine[[#This Row],[Date]])</f>
        <v>10</v>
      </c>
      <c r="F2342" t="s">
        <v>24</v>
      </c>
      <c r="G2342">
        <v>51</v>
      </c>
      <c r="H2342" s="3">
        <v>13.98</v>
      </c>
      <c r="I2342" s="3">
        <f>ProductLine[[#This Row],[Units]]*ProductLine[[#This Row],[Dollars]]</f>
        <v>712.98</v>
      </c>
    </row>
    <row r="2343" spans="1:9" x14ac:dyDescent="0.35">
      <c r="A2343">
        <v>2342</v>
      </c>
      <c r="B2343" t="s">
        <v>13</v>
      </c>
      <c r="C2343" s="2">
        <v>44156</v>
      </c>
      <c r="D2343">
        <f>YEAR(ProductLine[[#This Row],[Date]])</f>
        <v>2020</v>
      </c>
      <c r="E2343">
        <f>MONTH(ProductLine[[#This Row],[Date]])</f>
        <v>11</v>
      </c>
      <c r="F2343" t="s">
        <v>24</v>
      </c>
      <c r="G2343">
        <v>56</v>
      </c>
      <c r="H2343" s="3">
        <v>10.89</v>
      </c>
      <c r="I2343" s="3">
        <f>ProductLine[[#This Row],[Units]]*ProductLine[[#This Row],[Dollars]]</f>
        <v>609.84</v>
      </c>
    </row>
    <row r="2344" spans="1:9" x14ac:dyDescent="0.35">
      <c r="A2344">
        <v>2343</v>
      </c>
      <c r="B2344" t="s">
        <v>13</v>
      </c>
      <c r="C2344" s="2">
        <v>44160</v>
      </c>
      <c r="D2344">
        <f>YEAR(ProductLine[[#This Row],[Date]])</f>
        <v>2020</v>
      </c>
      <c r="E2344">
        <f>MONTH(ProductLine[[#This Row],[Date]])</f>
        <v>11</v>
      </c>
      <c r="F2344" t="s">
        <v>24</v>
      </c>
      <c r="G2344">
        <v>39</v>
      </c>
      <c r="H2344" s="3">
        <v>13.98</v>
      </c>
      <c r="I2344" s="3">
        <f>ProductLine[[#This Row],[Units]]*ProductLine[[#This Row],[Dollars]]</f>
        <v>545.22</v>
      </c>
    </row>
    <row r="2345" spans="1:9" x14ac:dyDescent="0.35">
      <c r="A2345">
        <v>2344</v>
      </c>
      <c r="B2345" t="s">
        <v>9</v>
      </c>
      <c r="C2345" s="2">
        <v>44128</v>
      </c>
      <c r="D2345">
        <f>YEAR(ProductLine[[#This Row],[Date]])</f>
        <v>2020</v>
      </c>
      <c r="E2345">
        <f>MONTH(ProductLine[[#This Row],[Date]])</f>
        <v>10</v>
      </c>
      <c r="F2345" t="s">
        <v>23</v>
      </c>
      <c r="G2345">
        <v>49</v>
      </c>
      <c r="H2345" s="3">
        <v>5.47</v>
      </c>
      <c r="I2345" s="3">
        <f>ProductLine[[#This Row],[Units]]*ProductLine[[#This Row],[Dollars]]</f>
        <v>268.02999999999997</v>
      </c>
    </row>
    <row r="2346" spans="1:9" x14ac:dyDescent="0.35">
      <c r="A2346">
        <v>2345</v>
      </c>
      <c r="B2346" t="s">
        <v>14</v>
      </c>
      <c r="C2346" s="2">
        <v>44123</v>
      </c>
      <c r="D2346">
        <f>YEAR(ProductLine[[#This Row],[Date]])</f>
        <v>2020</v>
      </c>
      <c r="E2346">
        <f>MONTH(ProductLine[[#This Row],[Date]])</f>
        <v>10</v>
      </c>
      <c r="F2346" t="s">
        <v>23</v>
      </c>
      <c r="G2346">
        <v>40</v>
      </c>
      <c r="H2346" s="3">
        <v>8.4600000000000009</v>
      </c>
      <c r="I2346" s="3">
        <f>ProductLine[[#This Row],[Units]]*ProductLine[[#This Row],[Dollars]]</f>
        <v>338.40000000000003</v>
      </c>
    </row>
    <row r="2347" spans="1:9" x14ac:dyDescent="0.35">
      <c r="A2347">
        <v>2346</v>
      </c>
      <c r="B2347" t="s">
        <v>14</v>
      </c>
      <c r="C2347" s="2">
        <v>44129</v>
      </c>
      <c r="D2347">
        <f>YEAR(ProductLine[[#This Row],[Date]])</f>
        <v>2020</v>
      </c>
      <c r="E2347">
        <f>MONTH(ProductLine[[#This Row],[Date]])</f>
        <v>10</v>
      </c>
      <c r="F2347" t="s">
        <v>23</v>
      </c>
      <c r="G2347">
        <v>45</v>
      </c>
      <c r="H2347" s="3">
        <v>5.47</v>
      </c>
      <c r="I2347" s="3">
        <f>ProductLine[[#This Row],[Units]]*ProductLine[[#This Row],[Dollars]]</f>
        <v>246.14999999999998</v>
      </c>
    </row>
    <row r="2348" spans="1:9" x14ac:dyDescent="0.35">
      <c r="A2348">
        <v>2347</v>
      </c>
      <c r="B2348" t="s">
        <v>14</v>
      </c>
      <c r="C2348" s="2">
        <v>44178</v>
      </c>
      <c r="D2348">
        <f>YEAR(ProductLine[[#This Row],[Date]])</f>
        <v>2020</v>
      </c>
      <c r="E2348">
        <f>MONTH(ProductLine[[#This Row],[Date]])</f>
        <v>12</v>
      </c>
      <c r="F2348" t="s">
        <v>23</v>
      </c>
      <c r="G2348">
        <v>55</v>
      </c>
      <c r="H2348" s="3">
        <v>8.4600000000000009</v>
      </c>
      <c r="I2348" s="3">
        <f>ProductLine[[#This Row],[Units]]*ProductLine[[#This Row],[Dollars]]</f>
        <v>465.30000000000007</v>
      </c>
    </row>
    <row r="2349" spans="1:9" x14ac:dyDescent="0.35">
      <c r="A2349">
        <v>2348</v>
      </c>
      <c r="B2349" t="s">
        <v>19</v>
      </c>
      <c r="C2349" s="2">
        <v>44128</v>
      </c>
      <c r="D2349">
        <f>YEAR(ProductLine[[#This Row],[Date]])</f>
        <v>2020</v>
      </c>
      <c r="E2349">
        <f>MONTH(ProductLine[[#This Row],[Date]])</f>
        <v>10</v>
      </c>
      <c r="F2349" t="s">
        <v>23</v>
      </c>
      <c r="G2349">
        <v>40</v>
      </c>
      <c r="H2349" s="3">
        <v>5.47</v>
      </c>
      <c r="I2349" s="3">
        <f>ProductLine[[#This Row],[Units]]*ProductLine[[#This Row],[Dollars]]</f>
        <v>218.79999999999998</v>
      </c>
    </row>
    <row r="2350" spans="1:9" x14ac:dyDescent="0.35">
      <c r="A2350">
        <v>2349</v>
      </c>
      <c r="B2350" t="s">
        <v>19</v>
      </c>
      <c r="C2350" s="2">
        <v>44154</v>
      </c>
      <c r="D2350">
        <f>YEAR(ProductLine[[#This Row],[Date]])</f>
        <v>2020</v>
      </c>
      <c r="E2350">
        <f>MONTH(ProductLine[[#This Row],[Date]])</f>
        <v>11</v>
      </c>
      <c r="F2350" t="s">
        <v>23</v>
      </c>
      <c r="G2350">
        <v>39</v>
      </c>
      <c r="H2350" s="3">
        <v>8.4600000000000009</v>
      </c>
      <c r="I2350" s="3">
        <f>ProductLine[[#This Row],[Units]]*ProductLine[[#This Row],[Dollars]]</f>
        <v>329.94000000000005</v>
      </c>
    </row>
    <row r="2351" spans="1:9" x14ac:dyDescent="0.35">
      <c r="A2351">
        <v>2350</v>
      </c>
      <c r="B2351" t="s">
        <v>19</v>
      </c>
      <c r="C2351" s="2">
        <v>44185</v>
      </c>
      <c r="D2351">
        <f>YEAR(ProductLine[[#This Row],[Date]])</f>
        <v>2020</v>
      </c>
      <c r="E2351">
        <f>MONTH(ProductLine[[#This Row],[Date]])</f>
        <v>12</v>
      </c>
      <c r="F2351" t="s">
        <v>23</v>
      </c>
      <c r="G2351">
        <v>48</v>
      </c>
      <c r="H2351" s="3">
        <v>8.4600000000000009</v>
      </c>
      <c r="I2351" s="3">
        <f>ProductLine[[#This Row],[Units]]*ProductLine[[#This Row],[Dollars]]</f>
        <v>406.08000000000004</v>
      </c>
    </row>
    <row r="2352" spans="1:9" x14ac:dyDescent="0.35">
      <c r="A2352">
        <v>2351</v>
      </c>
      <c r="B2352" t="s">
        <v>19</v>
      </c>
      <c r="C2352" s="2">
        <v>44193</v>
      </c>
      <c r="D2352">
        <f>YEAR(ProductLine[[#This Row],[Date]])</f>
        <v>2020</v>
      </c>
      <c r="E2352">
        <f>MONTH(ProductLine[[#This Row],[Date]])</f>
        <v>12</v>
      </c>
      <c r="F2352" t="s">
        <v>23</v>
      </c>
      <c r="G2352">
        <v>52</v>
      </c>
      <c r="H2352" s="3">
        <v>8.4600000000000009</v>
      </c>
      <c r="I2352" s="3">
        <f>ProductLine[[#This Row],[Units]]*ProductLine[[#This Row],[Dollars]]</f>
        <v>439.92000000000007</v>
      </c>
    </row>
    <row r="2353" spans="1:9" x14ac:dyDescent="0.35">
      <c r="A2353">
        <v>2352</v>
      </c>
      <c r="B2353" t="s">
        <v>11</v>
      </c>
      <c r="C2353" s="2">
        <v>44109</v>
      </c>
      <c r="D2353">
        <f>YEAR(ProductLine[[#This Row],[Date]])</f>
        <v>2020</v>
      </c>
      <c r="E2353">
        <f>MONTH(ProductLine[[#This Row],[Date]])</f>
        <v>10</v>
      </c>
      <c r="F2353" t="s">
        <v>25</v>
      </c>
      <c r="G2353">
        <v>30</v>
      </c>
      <c r="H2353" s="3">
        <v>6.99</v>
      </c>
      <c r="I2353" s="3">
        <f>ProductLine[[#This Row],[Units]]*ProductLine[[#This Row],[Dollars]]</f>
        <v>209.70000000000002</v>
      </c>
    </row>
    <row r="2354" spans="1:9" x14ac:dyDescent="0.35">
      <c r="A2354">
        <v>2353</v>
      </c>
      <c r="B2354" t="s">
        <v>11</v>
      </c>
      <c r="C2354" s="2">
        <v>44116</v>
      </c>
      <c r="D2354">
        <f>YEAR(ProductLine[[#This Row],[Date]])</f>
        <v>2020</v>
      </c>
      <c r="E2354">
        <f>MONTH(ProductLine[[#This Row],[Date]])</f>
        <v>10</v>
      </c>
      <c r="F2354" t="s">
        <v>25</v>
      </c>
      <c r="G2354">
        <v>24</v>
      </c>
      <c r="H2354" s="3">
        <v>8.89</v>
      </c>
      <c r="I2354" s="3">
        <f>ProductLine[[#This Row],[Units]]*ProductLine[[#This Row],[Dollars]]</f>
        <v>213.36</v>
      </c>
    </row>
    <row r="2355" spans="1:9" x14ac:dyDescent="0.35">
      <c r="A2355">
        <v>2354</v>
      </c>
      <c r="B2355" t="s">
        <v>11</v>
      </c>
      <c r="C2355" s="2">
        <v>44150</v>
      </c>
      <c r="D2355">
        <f>YEAR(ProductLine[[#This Row],[Date]])</f>
        <v>2020</v>
      </c>
      <c r="E2355">
        <f>MONTH(ProductLine[[#This Row],[Date]])</f>
        <v>11</v>
      </c>
      <c r="F2355" t="s">
        <v>25</v>
      </c>
      <c r="G2355">
        <v>32</v>
      </c>
      <c r="H2355" s="3">
        <v>10.97</v>
      </c>
      <c r="I2355" s="3">
        <f>ProductLine[[#This Row],[Units]]*ProductLine[[#This Row],[Dollars]]</f>
        <v>351.04</v>
      </c>
    </row>
    <row r="2356" spans="1:9" x14ac:dyDescent="0.35">
      <c r="A2356">
        <v>2355</v>
      </c>
      <c r="B2356" t="s">
        <v>11</v>
      </c>
      <c r="C2356" s="2">
        <v>44137</v>
      </c>
      <c r="D2356">
        <f>YEAR(ProductLine[[#This Row],[Date]])</f>
        <v>2020</v>
      </c>
      <c r="E2356">
        <f>MONTH(ProductLine[[#This Row],[Date]])</f>
        <v>11</v>
      </c>
      <c r="F2356" t="s">
        <v>25</v>
      </c>
      <c r="G2356">
        <v>22</v>
      </c>
      <c r="H2356" s="3">
        <v>6.99</v>
      </c>
      <c r="I2356" s="3">
        <f>ProductLine[[#This Row],[Units]]*ProductLine[[#This Row],[Dollars]]</f>
        <v>153.78</v>
      </c>
    </row>
    <row r="2357" spans="1:9" x14ac:dyDescent="0.35">
      <c r="A2357">
        <v>2356</v>
      </c>
      <c r="B2357" t="s">
        <v>11</v>
      </c>
      <c r="C2357" s="2">
        <v>44168</v>
      </c>
      <c r="D2357">
        <f>YEAR(ProductLine[[#This Row],[Date]])</f>
        <v>2020</v>
      </c>
      <c r="E2357">
        <f>MONTH(ProductLine[[#This Row],[Date]])</f>
        <v>12</v>
      </c>
      <c r="F2357" t="s">
        <v>25</v>
      </c>
      <c r="G2357">
        <v>26</v>
      </c>
      <c r="H2357" s="3">
        <v>10.97</v>
      </c>
      <c r="I2357" s="3">
        <f>ProductLine[[#This Row],[Units]]*ProductLine[[#This Row],[Dollars]]</f>
        <v>285.22000000000003</v>
      </c>
    </row>
    <row r="2358" spans="1:9" x14ac:dyDescent="0.35">
      <c r="A2358">
        <v>2357</v>
      </c>
      <c r="B2358" t="s">
        <v>9</v>
      </c>
      <c r="C2358" s="2">
        <v>44150</v>
      </c>
      <c r="D2358">
        <f>YEAR(ProductLine[[#This Row],[Date]])</f>
        <v>2020</v>
      </c>
      <c r="E2358">
        <f>MONTH(ProductLine[[#This Row],[Date]])</f>
        <v>11</v>
      </c>
      <c r="F2358" t="s">
        <v>25</v>
      </c>
      <c r="G2358">
        <v>45</v>
      </c>
      <c r="H2358" s="3">
        <v>6.99</v>
      </c>
      <c r="I2358" s="3">
        <f>ProductLine[[#This Row],[Units]]*ProductLine[[#This Row],[Dollars]]</f>
        <v>314.55</v>
      </c>
    </row>
    <row r="2359" spans="1:9" x14ac:dyDescent="0.35">
      <c r="A2359">
        <v>2358</v>
      </c>
      <c r="B2359" t="s">
        <v>9</v>
      </c>
      <c r="C2359" s="2">
        <v>44152</v>
      </c>
      <c r="D2359">
        <f>YEAR(ProductLine[[#This Row],[Date]])</f>
        <v>2020</v>
      </c>
      <c r="E2359">
        <f>MONTH(ProductLine[[#This Row],[Date]])</f>
        <v>11</v>
      </c>
      <c r="F2359" t="s">
        <v>25</v>
      </c>
      <c r="G2359">
        <v>56</v>
      </c>
      <c r="H2359" s="3">
        <v>10.97</v>
      </c>
      <c r="I2359" s="3">
        <f>ProductLine[[#This Row],[Units]]*ProductLine[[#This Row],[Dollars]]</f>
        <v>614.32000000000005</v>
      </c>
    </row>
    <row r="2360" spans="1:9" x14ac:dyDescent="0.35">
      <c r="A2360">
        <v>2359</v>
      </c>
      <c r="B2360" t="s">
        <v>13</v>
      </c>
      <c r="C2360" s="2">
        <v>44123</v>
      </c>
      <c r="D2360">
        <f>YEAR(ProductLine[[#This Row],[Date]])</f>
        <v>2020</v>
      </c>
      <c r="E2360">
        <f>MONTH(ProductLine[[#This Row],[Date]])</f>
        <v>10</v>
      </c>
      <c r="F2360" t="s">
        <v>25</v>
      </c>
      <c r="G2360">
        <v>43</v>
      </c>
      <c r="H2360" s="3">
        <v>10.97</v>
      </c>
      <c r="I2360" s="3">
        <f>ProductLine[[#This Row],[Units]]*ProductLine[[#This Row],[Dollars]]</f>
        <v>471.71000000000004</v>
      </c>
    </row>
    <row r="2361" spans="1:9" x14ac:dyDescent="0.35">
      <c r="A2361">
        <v>2360</v>
      </c>
      <c r="B2361" t="s">
        <v>13</v>
      </c>
      <c r="C2361" s="2">
        <v>44116</v>
      </c>
      <c r="D2361">
        <f>YEAR(ProductLine[[#This Row],[Date]])</f>
        <v>2020</v>
      </c>
      <c r="E2361">
        <f>MONTH(ProductLine[[#This Row],[Date]])</f>
        <v>10</v>
      </c>
      <c r="F2361" t="s">
        <v>25</v>
      </c>
      <c r="G2361">
        <v>65</v>
      </c>
      <c r="H2361" s="3">
        <v>6.99</v>
      </c>
      <c r="I2361" s="3">
        <f>ProductLine[[#This Row],[Units]]*ProductLine[[#This Row],[Dollars]]</f>
        <v>454.35</v>
      </c>
    </row>
    <row r="2362" spans="1:9" x14ac:dyDescent="0.35">
      <c r="A2362">
        <v>2361</v>
      </c>
      <c r="B2362" t="s">
        <v>13</v>
      </c>
      <c r="C2362" s="2">
        <v>44165</v>
      </c>
      <c r="D2362">
        <f>YEAR(ProductLine[[#This Row],[Date]])</f>
        <v>2020</v>
      </c>
      <c r="E2362">
        <f>MONTH(ProductLine[[#This Row],[Date]])</f>
        <v>11</v>
      </c>
      <c r="F2362" t="s">
        <v>25</v>
      </c>
      <c r="G2362">
        <v>56</v>
      </c>
      <c r="H2362" s="3">
        <v>8.89</v>
      </c>
      <c r="I2362" s="3">
        <f>ProductLine[[#This Row],[Units]]*ProductLine[[#This Row],[Dollars]]</f>
        <v>497.84000000000003</v>
      </c>
    </row>
    <row r="2363" spans="1:9" x14ac:dyDescent="0.35">
      <c r="A2363">
        <v>2362</v>
      </c>
      <c r="B2363" t="s">
        <v>13</v>
      </c>
      <c r="C2363" s="2">
        <v>44160</v>
      </c>
      <c r="D2363">
        <f>YEAR(ProductLine[[#This Row],[Date]])</f>
        <v>2020</v>
      </c>
      <c r="E2363">
        <f>MONTH(ProductLine[[#This Row],[Date]])</f>
        <v>11</v>
      </c>
      <c r="F2363" t="s">
        <v>25</v>
      </c>
      <c r="G2363">
        <v>46</v>
      </c>
      <c r="H2363" s="3">
        <v>10.97</v>
      </c>
      <c r="I2363" s="3">
        <f>ProductLine[[#This Row],[Units]]*ProductLine[[#This Row],[Dollars]]</f>
        <v>504.62</v>
      </c>
    </row>
    <row r="2364" spans="1:9" x14ac:dyDescent="0.35">
      <c r="A2364">
        <v>2363</v>
      </c>
      <c r="B2364" t="s">
        <v>13</v>
      </c>
      <c r="C2364" s="2">
        <v>44159</v>
      </c>
      <c r="D2364">
        <f>YEAR(ProductLine[[#This Row],[Date]])</f>
        <v>2020</v>
      </c>
      <c r="E2364">
        <f>MONTH(ProductLine[[#This Row],[Date]])</f>
        <v>11</v>
      </c>
      <c r="F2364" t="s">
        <v>25</v>
      </c>
      <c r="G2364">
        <v>35</v>
      </c>
      <c r="H2364" s="3">
        <v>8.89</v>
      </c>
      <c r="I2364" s="3">
        <f>ProductLine[[#This Row],[Units]]*ProductLine[[#This Row],[Dollars]]</f>
        <v>311.15000000000003</v>
      </c>
    </row>
    <row r="2365" spans="1:9" x14ac:dyDescent="0.35">
      <c r="A2365">
        <v>2364</v>
      </c>
      <c r="B2365" t="s">
        <v>13</v>
      </c>
      <c r="C2365" s="2">
        <v>44179</v>
      </c>
      <c r="D2365">
        <f>YEAR(ProductLine[[#This Row],[Date]])</f>
        <v>2020</v>
      </c>
      <c r="E2365">
        <f>MONTH(ProductLine[[#This Row],[Date]])</f>
        <v>12</v>
      </c>
      <c r="F2365" t="s">
        <v>25</v>
      </c>
      <c r="G2365">
        <v>50</v>
      </c>
      <c r="H2365" s="3">
        <v>6.99</v>
      </c>
      <c r="I2365" s="3">
        <f>ProductLine[[#This Row],[Units]]*ProductLine[[#This Row],[Dollars]]</f>
        <v>349.5</v>
      </c>
    </row>
    <row r="2366" spans="1:9" x14ac:dyDescent="0.35">
      <c r="A2366">
        <v>2365</v>
      </c>
      <c r="B2366" t="s">
        <v>14</v>
      </c>
      <c r="C2366" s="2">
        <v>44127</v>
      </c>
      <c r="D2366">
        <f>YEAR(ProductLine[[#This Row],[Date]])</f>
        <v>2020</v>
      </c>
      <c r="E2366">
        <f>MONTH(ProductLine[[#This Row],[Date]])</f>
        <v>10</v>
      </c>
      <c r="F2366" t="s">
        <v>25</v>
      </c>
      <c r="G2366">
        <v>40</v>
      </c>
      <c r="H2366" s="3">
        <v>6.99</v>
      </c>
      <c r="I2366" s="3">
        <f>ProductLine[[#This Row],[Units]]*ProductLine[[#This Row],[Dollars]]</f>
        <v>279.60000000000002</v>
      </c>
    </row>
    <row r="2367" spans="1:9" x14ac:dyDescent="0.35">
      <c r="A2367">
        <v>2366</v>
      </c>
      <c r="B2367" t="s">
        <v>14</v>
      </c>
      <c r="C2367" s="2">
        <v>44119</v>
      </c>
      <c r="D2367">
        <f>YEAR(ProductLine[[#This Row],[Date]])</f>
        <v>2020</v>
      </c>
      <c r="E2367">
        <f>MONTH(ProductLine[[#This Row],[Date]])</f>
        <v>10</v>
      </c>
      <c r="F2367" t="s">
        <v>25</v>
      </c>
      <c r="G2367">
        <v>62</v>
      </c>
      <c r="H2367" s="3">
        <v>10.97</v>
      </c>
      <c r="I2367" s="3">
        <f>ProductLine[[#This Row],[Units]]*ProductLine[[#This Row],[Dollars]]</f>
        <v>680.14</v>
      </c>
    </row>
    <row r="2368" spans="1:9" x14ac:dyDescent="0.35">
      <c r="A2368">
        <v>2367</v>
      </c>
      <c r="B2368" t="s">
        <v>19</v>
      </c>
      <c r="C2368" s="2">
        <v>44143</v>
      </c>
      <c r="D2368">
        <f>YEAR(ProductLine[[#This Row],[Date]])</f>
        <v>2020</v>
      </c>
      <c r="E2368">
        <f>MONTH(ProductLine[[#This Row],[Date]])</f>
        <v>11</v>
      </c>
      <c r="F2368" t="s">
        <v>25</v>
      </c>
      <c r="G2368">
        <v>36</v>
      </c>
      <c r="H2368" s="3">
        <v>10.97</v>
      </c>
      <c r="I2368" s="3">
        <f>ProductLine[[#This Row],[Units]]*ProductLine[[#This Row],[Dollars]]</f>
        <v>394.92</v>
      </c>
    </row>
    <row r="2369" spans="1:9" x14ac:dyDescent="0.35">
      <c r="A2369">
        <v>2368</v>
      </c>
      <c r="B2369" t="s">
        <v>19</v>
      </c>
      <c r="C2369" s="2">
        <v>44161</v>
      </c>
      <c r="D2369">
        <f>YEAR(ProductLine[[#This Row],[Date]])</f>
        <v>2020</v>
      </c>
      <c r="E2369">
        <f>MONTH(ProductLine[[#This Row],[Date]])</f>
        <v>11</v>
      </c>
      <c r="F2369" t="s">
        <v>25</v>
      </c>
      <c r="G2369">
        <v>28</v>
      </c>
      <c r="H2369" s="3">
        <v>6.99</v>
      </c>
      <c r="I2369" s="3">
        <f>ProductLine[[#This Row],[Units]]*ProductLine[[#This Row],[Dollars]]</f>
        <v>195.72</v>
      </c>
    </row>
    <row r="2370" spans="1:9" x14ac:dyDescent="0.35">
      <c r="A2370">
        <v>2369</v>
      </c>
      <c r="B2370" t="s">
        <v>11</v>
      </c>
      <c r="C2370" s="2">
        <v>44109</v>
      </c>
      <c r="D2370">
        <f>YEAR(ProductLine[[#This Row],[Date]])</f>
        <v>2020</v>
      </c>
      <c r="E2370">
        <f>MONTH(ProductLine[[#This Row],[Date]])</f>
        <v>10</v>
      </c>
      <c r="F2370" t="s">
        <v>27</v>
      </c>
      <c r="G2370">
        <v>35</v>
      </c>
      <c r="H2370" s="3">
        <v>9.43</v>
      </c>
      <c r="I2370" s="3">
        <f>ProductLine[[#This Row],[Units]]*ProductLine[[#This Row],[Dollars]]</f>
        <v>330.05</v>
      </c>
    </row>
    <row r="2371" spans="1:9" x14ac:dyDescent="0.35">
      <c r="A2371">
        <v>2370</v>
      </c>
      <c r="B2371" t="s">
        <v>11</v>
      </c>
      <c r="C2371" s="2">
        <v>44119</v>
      </c>
      <c r="D2371">
        <f>YEAR(ProductLine[[#This Row],[Date]])</f>
        <v>2020</v>
      </c>
      <c r="E2371">
        <f>MONTH(ProductLine[[#This Row],[Date]])</f>
        <v>10</v>
      </c>
      <c r="F2371" t="s">
        <v>27</v>
      </c>
      <c r="G2371">
        <v>46</v>
      </c>
      <c r="H2371" s="3">
        <v>8.5500000000000007</v>
      </c>
      <c r="I2371" s="3">
        <f>ProductLine[[#This Row],[Units]]*ProductLine[[#This Row],[Dollars]]</f>
        <v>393.3</v>
      </c>
    </row>
    <row r="2372" spans="1:9" x14ac:dyDescent="0.35">
      <c r="A2372">
        <v>2371</v>
      </c>
      <c r="B2372" t="s">
        <v>11</v>
      </c>
      <c r="C2372" s="2">
        <v>44147</v>
      </c>
      <c r="D2372">
        <f>YEAR(ProductLine[[#This Row],[Date]])</f>
        <v>2020</v>
      </c>
      <c r="E2372">
        <f>MONTH(ProductLine[[#This Row],[Date]])</f>
        <v>11</v>
      </c>
      <c r="F2372" t="s">
        <v>27</v>
      </c>
      <c r="G2372">
        <v>42</v>
      </c>
      <c r="H2372" s="3">
        <v>9.98</v>
      </c>
      <c r="I2372" s="3">
        <f>ProductLine[[#This Row],[Units]]*ProductLine[[#This Row],[Dollars]]</f>
        <v>419.16</v>
      </c>
    </row>
    <row r="2373" spans="1:9" x14ac:dyDescent="0.35">
      <c r="A2373">
        <v>2372</v>
      </c>
      <c r="B2373" t="s">
        <v>11</v>
      </c>
      <c r="C2373" s="2">
        <v>44180</v>
      </c>
      <c r="D2373">
        <f>YEAR(ProductLine[[#This Row],[Date]])</f>
        <v>2020</v>
      </c>
      <c r="E2373">
        <f>MONTH(ProductLine[[#This Row],[Date]])</f>
        <v>12</v>
      </c>
      <c r="F2373" t="s">
        <v>27</v>
      </c>
      <c r="G2373">
        <v>54</v>
      </c>
      <c r="H2373" s="3">
        <v>9.43</v>
      </c>
      <c r="I2373" s="3">
        <f>ProductLine[[#This Row],[Units]]*ProductLine[[#This Row],[Dollars]]</f>
        <v>509.21999999999997</v>
      </c>
    </row>
    <row r="2374" spans="1:9" x14ac:dyDescent="0.35">
      <c r="A2374">
        <v>2373</v>
      </c>
      <c r="B2374" t="s">
        <v>11</v>
      </c>
      <c r="C2374" s="2">
        <v>44188</v>
      </c>
      <c r="D2374">
        <f>YEAR(ProductLine[[#This Row],[Date]])</f>
        <v>2020</v>
      </c>
      <c r="E2374">
        <f>MONTH(ProductLine[[#This Row],[Date]])</f>
        <v>12</v>
      </c>
      <c r="F2374" t="s">
        <v>27</v>
      </c>
      <c r="G2374">
        <v>69</v>
      </c>
      <c r="H2374" s="3">
        <v>8.5500000000000007</v>
      </c>
      <c r="I2374" s="3">
        <f>ProductLine[[#This Row],[Units]]*ProductLine[[#This Row],[Dollars]]</f>
        <v>589.95000000000005</v>
      </c>
    </row>
    <row r="2375" spans="1:9" x14ac:dyDescent="0.35">
      <c r="A2375">
        <v>2374</v>
      </c>
      <c r="B2375" t="s">
        <v>9</v>
      </c>
      <c r="C2375" s="2">
        <v>44147</v>
      </c>
      <c r="D2375">
        <f>YEAR(ProductLine[[#This Row],[Date]])</f>
        <v>2020</v>
      </c>
      <c r="E2375">
        <f>MONTH(ProductLine[[#This Row],[Date]])</f>
        <v>11</v>
      </c>
      <c r="F2375" t="s">
        <v>27</v>
      </c>
      <c r="G2375">
        <v>59</v>
      </c>
      <c r="H2375" s="3">
        <v>8.5500000000000007</v>
      </c>
      <c r="I2375" s="3">
        <f>ProductLine[[#This Row],[Units]]*ProductLine[[#This Row],[Dollars]]</f>
        <v>504.45000000000005</v>
      </c>
    </row>
    <row r="2376" spans="1:9" x14ac:dyDescent="0.35">
      <c r="A2376">
        <v>2375</v>
      </c>
      <c r="B2376" t="s">
        <v>9</v>
      </c>
      <c r="C2376" s="2">
        <v>44160</v>
      </c>
      <c r="D2376">
        <f>YEAR(ProductLine[[#This Row],[Date]])</f>
        <v>2020</v>
      </c>
      <c r="E2376">
        <f>MONTH(ProductLine[[#This Row],[Date]])</f>
        <v>11</v>
      </c>
      <c r="F2376" t="s">
        <v>27</v>
      </c>
      <c r="G2376">
        <v>60</v>
      </c>
      <c r="H2376" s="3">
        <v>9.98</v>
      </c>
      <c r="I2376" s="3">
        <f>ProductLine[[#This Row],[Units]]*ProductLine[[#This Row],[Dollars]]</f>
        <v>598.80000000000007</v>
      </c>
    </row>
    <row r="2377" spans="1:9" x14ac:dyDescent="0.35">
      <c r="A2377">
        <v>2376</v>
      </c>
      <c r="B2377" t="s">
        <v>13</v>
      </c>
      <c r="C2377" s="2">
        <v>44116</v>
      </c>
      <c r="D2377">
        <f>YEAR(ProductLine[[#This Row],[Date]])</f>
        <v>2020</v>
      </c>
      <c r="E2377">
        <f>MONTH(ProductLine[[#This Row],[Date]])</f>
        <v>10</v>
      </c>
      <c r="F2377" t="s">
        <v>27</v>
      </c>
      <c r="G2377">
        <v>17</v>
      </c>
      <c r="H2377" s="3">
        <v>8.5500000000000007</v>
      </c>
      <c r="I2377" s="3">
        <f>ProductLine[[#This Row],[Units]]*ProductLine[[#This Row],[Dollars]]</f>
        <v>145.35000000000002</v>
      </c>
    </row>
    <row r="2378" spans="1:9" x14ac:dyDescent="0.35">
      <c r="A2378">
        <v>2377</v>
      </c>
      <c r="B2378" t="s">
        <v>13</v>
      </c>
      <c r="C2378" s="2">
        <v>44106</v>
      </c>
      <c r="D2378">
        <f>YEAR(ProductLine[[#This Row],[Date]])</f>
        <v>2020</v>
      </c>
      <c r="E2378">
        <f>MONTH(ProductLine[[#This Row],[Date]])</f>
        <v>10</v>
      </c>
      <c r="F2378" t="s">
        <v>27</v>
      </c>
      <c r="G2378">
        <v>28</v>
      </c>
      <c r="H2378" s="3">
        <v>9.43</v>
      </c>
      <c r="I2378" s="3">
        <f>ProductLine[[#This Row],[Units]]*ProductLine[[#This Row],[Dollars]]</f>
        <v>264.03999999999996</v>
      </c>
    </row>
    <row r="2379" spans="1:9" x14ac:dyDescent="0.35">
      <c r="A2379">
        <v>2378</v>
      </c>
      <c r="B2379" t="s">
        <v>13</v>
      </c>
      <c r="C2379" s="2">
        <v>44153</v>
      </c>
      <c r="D2379">
        <f>YEAR(ProductLine[[#This Row],[Date]])</f>
        <v>2020</v>
      </c>
      <c r="E2379">
        <f>MONTH(ProductLine[[#This Row],[Date]])</f>
        <v>11</v>
      </c>
      <c r="F2379" t="s">
        <v>27</v>
      </c>
      <c r="G2379">
        <v>39</v>
      </c>
      <c r="H2379" s="3">
        <v>9.98</v>
      </c>
      <c r="I2379" s="3">
        <f>ProductLine[[#This Row],[Units]]*ProductLine[[#This Row],[Dollars]]</f>
        <v>389.22</v>
      </c>
    </row>
    <row r="2380" spans="1:9" x14ac:dyDescent="0.35">
      <c r="A2380">
        <v>2379</v>
      </c>
      <c r="B2380" t="s">
        <v>13</v>
      </c>
      <c r="C2380" s="2">
        <v>44160</v>
      </c>
      <c r="D2380">
        <f>YEAR(ProductLine[[#This Row],[Date]])</f>
        <v>2020</v>
      </c>
      <c r="E2380">
        <f>MONTH(ProductLine[[#This Row],[Date]])</f>
        <v>11</v>
      </c>
      <c r="F2380" t="s">
        <v>27</v>
      </c>
      <c r="G2380">
        <v>49</v>
      </c>
      <c r="H2380" s="3">
        <v>9.98</v>
      </c>
      <c r="I2380" s="3">
        <f>ProductLine[[#This Row],[Units]]*ProductLine[[#This Row],[Dollars]]</f>
        <v>489.02000000000004</v>
      </c>
    </row>
    <row r="2381" spans="1:9" x14ac:dyDescent="0.35">
      <c r="A2381">
        <v>2380</v>
      </c>
      <c r="B2381" t="s">
        <v>13</v>
      </c>
      <c r="C2381" s="2">
        <v>44195</v>
      </c>
      <c r="D2381">
        <f>YEAR(ProductLine[[#This Row],[Date]])</f>
        <v>2020</v>
      </c>
      <c r="E2381">
        <f>MONTH(ProductLine[[#This Row],[Date]])</f>
        <v>12</v>
      </c>
      <c r="F2381" t="s">
        <v>27</v>
      </c>
      <c r="G2381">
        <v>56</v>
      </c>
      <c r="H2381" s="3">
        <v>9.98</v>
      </c>
      <c r="I2381" s="3">
        <f>ProductLine[[#This Row],[Units]]*ProductLine[[#This Row],[Dollars]]</f>
        <v>558.88</v>
      </c>
    </row>
    <row r="2382" spans="1:9" x14ac:dyDescent="0.35">
      <c r="A2382">
        <v>2381</v>
      </c>
      <c r="B2382" t="s">
        <v>14</v>
      </c>
      <c r="C2382" s="2">
        <v>44106</v>
      </c>
      <c r="D2382">
        <f>YEAR(ProductLine[[#This Row],[Date]])</f>
        <v>2020</v>
      </c>
      <c r="E2382">
        <f>MONTH(ProductLine[[#This Row],[Date]])</f>
        <v>10</v>
      </c>
      <c r="F2382" t="s">
        <v>27</v>
      </c>
      <c r="G2382">
        <v>24</v>
      </c>
      <c r="H2382" s="3">
        <v>9.43</v>
      </c>
      <c r="I2382" s="3">
        <f>ProductLine[[#This Row],[Units]]*ProductLine[[#This Row],[Dollars]]</f>
        <v>226.32</v>
      </c>
    </row>
    <row r="2383" spans="1:9" x14ac:dyDescent="0.35">
      <c r="A2383">
        <v>2382</v>
      </c>
      <c r="B2383" t="s">
        <v>14</v>
      </c>
      <c r="C2383" s="2">
        <v>44109</v>
      </c>
      <c r="D2383">
        <f>YEAR(ProductLine[[#This Row],[Date]])</f>
        <v>2020</v>
      </c>
      <c r="E2383">
        <f>MONTH(ProductLine[[#This Row],[Date]])</f>
        <v>10</v>
      </c>
      <c r="F2383" t="s">
        <v>27</v>
      </c>
      <c r="G2383">
        <v>36</v>
      </c>
      <c r="H2383" s="3">
        <v>9.98</v>
      </c>
      <c r="I2383" s="3">
        <f>ProductLine[[#This Row],[Units]]*ProductLine[[#This Row],[Dollars]]</f>
        <v>359.28000000000003</v>
      </c>
    </row>
    <row r="2384" spans="1:9" x14ac:dyDescent="0.35">
      <c r="A2384">
        <v>2383</v>
      </c>
      <c r="B2384" t="s">
        <v>14</v>
      </c>
      <c r="C2384" s="2">
        <v>44113</v>
      </c>
      <c r="D2384">
        <f>YEAR(ProductLine[[#This Row],[Date]])</f>
        <v>2020</v>
      </c>
      <c r="E2384">
        <f>MONTH(ProductLine[[#This Row],[Date]])</f>
        <v>10</v>
      </c>
      <c r="F2384" t="s">
        <v>27</v>
      </c>
      <c r="G2384">
        <v>28</v>
      </c>
      <c r="H2384" s="3">
        <v>8.5500000000000007</v>
      </c>
      <c r="I2384" s="3">
        <f>ProductLine[[#This Row],[Units]]*ProductLine[[#This Row],[Dollars]]</f>
        <v>239.40000000000003</v>
      </c>
    </row>
    <row r="2385" spans="1:9" x14ac:dyDescent="0.35">
      <c r="A2385">
        <v>2384</v>
      </c>
      <c r="B2385" t="s">
        <v>14</v>
      </c>
      <c r="C2385" s="2">
        <v>44155</v>
      </c>
      <c r="D2385">
        <f>YEAR(ProductLine[[#This Row],[Date]])</f>
        <v>2020</v>
      </c>
      <c r="E2385">
        <f>MONTH(ProductLine[[#This Row],[Date]])</f>
        <v>11</v>
      </c>
      <c r="F2385" t="s">
        <v>27</v>
      </c>
      <c r="G2385">
        <v>30</v>
      </c>
      <c r="H2385" s="3">
        <v>8.5500000000000007</v>
      </c>
      <c r="I2385" s="3">
        <f>ProductLine[[#This Row],[Units]]*ProductLine[[#This Row],[Dollars]]</f>
        <v>256.5</v>
      </c>
    </row>
    <row r="2386" spans="1:9" x14ac:dyDescent="0.35">
      <c r="A2386">
        <v>2385</v>
      </c>
      <c r="B2386" t="s">
        <v>14</v>
      </c>
      <c r="C2386" s="2">
        <v>44166</v>
      </c>
      <c r="D2386">
        <f>YEAR(ProductLine[[#This Row],[Date]])</f>
        <v>2020</v>
      </c>
      <c r="E2386">
        <f>MONTH(ProductLine[[#This Row],[Date]])</f>
        <v>12</v>
      </c>
      <c r="F2386" t="s">
        <v>27</v>
      </c>
      <c r="G2386">
        <v>42</v>
      </c>
      <c r="H2386" s="3">
        <v>9.98</v>
      </c>
      <c r="I2386" s="3">
        <f>ProductLine[[#This Row],[Units]]*ProductLine[[#This Row],[Dollars]]</f>
        <v>419.16</v>
      </c>
    </row>
    <row r="2387" spans="1:9" x14ac:dyDescent="0.35">
      <c r="A2387">
        <v>2386</v>
      </c>
      <c r="B2387" t="s">
        <v>14</v>
      </c>
      <c r="C2387" s="2">
        <v>44171</v>
      </c>
      <c r="D2387">
        <f>YEAR(ProductLine[[#This Row],[Date]])</f>
        <v>2020</v>
      </c>
      <c r="E2387">
        <f>MONTH(ProductLine[[#This Row],[Date]])</f>
        <v>12</v>
      </c>
      <c r="F2387" t="s">
        <v>27</v>
      </c>
      <c r="G2387">
        <v>58</v>
      </c>
      <c r="H2387" s="3">
        <v>9.43</v>
      </c>
      <c r="I2387" s="3">
        <f>ProductLine[[#This Row],[Units]]*ProductLine[[#This Row],[Dollars]]</f>
        <v>546.93999999999994</v>
      </c>
    </row>
    <row r="2388" spans="1:9" x14ac:dyDescent="0.35">
      <c r="A2388">
        <v>2387</v>
      </c>
      <c r="B2388" t="s">
        <v>19</v>
      </c>
      <c r="C2388" s="2">
        <v>44109</v>
      </c>
      <c r="D2388">
        <f>YEAR(ProductLine[[#This Row],[Date]])</f>
        <v>2020</v>
      </c>
      <c r="E2388">
        <f>MONTH(ProductLine[[#This Row],[Date]])</f>
        <v>10</v>
      </c>
      <c r="F2388" t="s">
        <v>27</v>
      </c>
      <c r="G2388">
        <v>40</v>
      </c>
      <c r="H2388" s="3">
        <v>9.43</v>
      </c>
      <c r="I2388" s="3">
        <f>ProductLine[[#This Row],[Units]]*ProductLine[[#This Row],[Dollars]]</f>
        <v>377.2</v>
      </c>
    </row>
    <row r="2389" spans="1:9" x14ac:dyDescent="0.35">
      <c r="A2389">
        <v>2388</v>
      </c>
      <c r="B2389" t="s">
        <v>19</v>
      </c>
      <c r="C2389" s="2">
        <v>44110</v>
      </c>
      <c r="D2389">
        <f>YEAR(ProductLine[[#This Row],[Date]])</f>
        <v>2020</v>
      </c>
      <c r="E2389">
        <f>MONTH(ProductLine[[#This Row],[Date]])</f>
        <v>10</v>
      </c>
      <c r="F2389" t="s">
        <v>27</v>
      </c>
      <c r="G2389">
        <v>45</v>
      </c>
      <c r="H2389" s="3">
        <v>9.43</v>
      </c>
      <c r="I2389" s="3">
        <f>ProductLine[[#This Row],[Units]]*ProductLine[[#This Row],[Dollars]]</f>
        <v>424.34999999999997</v>
      </c>
    </row>
    <row r="2390" spans="1:9" x14ac:dyDescent="0.35">
      <c r="A2390">
        <v>2389</v>
      </c>
      <c r="B2390" t="s">
        <v>19</v>
      </c>
      <c r="C2390" s="2">
        <v>44148</v>
      </c>
      <c r="D2390">
        <f>YEAR(ProductLine[[#This Row],[Date]])</f>
        <v>2020</v>
      </c>
      <c r="E2390">
        <f>MONTH(ProductLine[[#This Row],[Date]])</f>
        <v>11</v>
      </c>
      <c r="F2390" t="s">
        <v>27</v>
      </c>
      <c r="G2390">
        <v>66</v>
      </c>
      <c r="H2390" s="3">
        <v>9.98</v>
      </c>
      <c r="I2390" s="3">
        <f>ProductLine[[#This Row],[Units]]*ProductLine[[#This Row],[Dollars]]</f>
        <v>658.68000000000006</v>
      </c>
    </row>
    <row r="2391" spans="1:9" x14ac:dyDescent="0.35">
      <c r="A2391">
        <v>2390</v>
      </c>
      <c r="B2391" t="s">
        <v>19</v>
      </c>
      <c r="C2391" s="2">
        <v>44182</v>
      </c>
      <c r="D2391">
        <f>YEAR(ProductLine[[#This Row],[Date]])</f>
        <v>2020</v>
      </c>
      <c r="E2391">
        <f>MONTH(ProductLine[[#This Row],[Date]])</f>
        <v>12</v>
      </c>
      <c r="F2391" t="s">
        <v>27</v>
      </c>
      <c r="G2391">
        <v>76</v>
      </c>
      <c r="H2391" s="3">
        <v>9.98</v>
      </c>
      <c r="I2391" s="3">
        <f>ProductLine[[#This Row],[Units]]*ProductLine[[#This Row],[Dollars]]</f>
        <v>758.48</v>
      </c>
    </row>
    <row r="2392" spans="1:9" x14ac:dyDescent="0.35">
      <c r="A2392">
        <v>2391</v>
      </c>
      <c r="B2392" t="s">
        <v>19</v>
      </c>
      <c r="C2392" s="2">
        <v>44185</v>
      </c>
      <c r="D2392">
        <f>YEAR(ProductLine[[#This Row],[Date]])</f>
        <v>2020</v>
      </c>
      <c r="E2392">
        <f>MONTH(ProductLine[[#This Row],[Date]])</f>
        <v>12</v>
      </c>
      <c r="F2392" t="s">
        <v>27</v>
      </c>
      <c r="G2392">
        <v>62</v>
      </c>
      <c r="H2392" s="3">
        <v>9.43</v>
      </c>
      <c r="I2392" s="3">
        <f>ProductLine[[#This Row],[Units]]*ProductLine[[#This Row],[Dollars]]</f>
        <v>584.66</v>
      </c>
    </row>
    <row r="2393" spans="1:9" x14ac:dyDescent="0.35">
      <c r="A2393">
        <v>2392</v>
      </c>
      <c r="B2393" t="s">
        <v>9</v>
      </c>
      <c r="C2393" s="2">
        <v>44201</v>
      </c>
      <c r="D2393">
        <f>YEAR(ProductLine[[#This Row],[Date]])</f>
        <v>2021</v>
      </c>
      <c r="E2393">
        <f>MONTH(ProductLine[[#This Row],[Date]])</f>
        <v>1</v>
      </c>
      <c r="F2393" t="s">
        <v>26</v>
      </c>
      <c r="G2393">
        <v>52</v>
      </c>
      <c r="H2393" s="3">
        <v>8.98</v>
      </c>
      <c r="I2393" s="3">
        <f>ProductLine[[#This Row],[Units]]*ProductLine[[#This Row],[Dollars]]</f>
        <v>466.96000000000004</v>
      </c>
    </row>
    <row r="2394" spans="1:9" x14ac:dyDescent="0.35">
      <c r="A2394">
        <v>2393</v>
      </c>
      <c r="B2394" t="s">
        <v>9</v>
      </c>
      <c r="C2394" s="2">
        <v>44223</v>
      </c>
      <c r="D2394">
        <f>YEAR(ProductLine[[#This Row],[Date]])</f>
        <v>2021</v>
      </c>
      <c r="E2394">
        <f>MONTH(ProductLine[[#This Row],[Date]])</f>
        <v>1</v>
      </c>
      <c r="F2394" t="s">
        <v>26</v>
      </c>
      <c r="G2394">
        <v>32</v>
      </c>
      <c r="H2394" s="3">
        <v>7.98</v>
      </c>
      <c r="I2394" s="3">
        <f>ProductLine[[#This Row],[Units]]*ProductLine[[#This Row],[Dollars]]</f>
        <v>255.36</v>
      </c>
    </row>
    <row r="2395" spans="1:9" x14ac:dyDescent="0.35">
      <c r="A2395">
        <v>2394</v>
      </c>
      <c r="B2395" t="s">
        <v>9</v>
      </c>
      <c r="C2395" s="2">
        <v>44241</v>
      </c>
      <c r="D2395">
        <f>YEAR(ProductLine[[#This Row],[Date]])</f>
        <v>2021</v>
      </c>
      <c r="E2395">
        <f>MONTH(ProductLine[[#This Row],[Date]])</f>
        <v>2</v>
      </c>
      <c r="F2395" t="s">
        <v>26</v>
      </c>
      <c r="G2395">
        <v>44</v>
      </c>
      <c r="H2395" s="3">
        <v>7.98</v>
      </c>
      <c r="I2395" s="3">
        <f>ProductLine[[#This Row],[Units]]*ProductLine[[#This Row],[Dollars]]</f>
        <v>351.12</v>
      </c>
    </row>
    <row r="2396" spans="1:9" x14ac:dyDescent="0.35">
      <c r="A2396">
        <v>2395</v>
      </c>
      <c r="B2396" t="s">
        <v>9</v>
      </c>
      <c r="C2396" s="2">
        <v>44255</v>
      </c>
      <c r="D2396">
        <f>YEAR(ProductLine[[#This Row],[Date]])</f>
        <v>2021</v>
      </c>
      <c r="E2396">
        <f>MONTH(ProductLine[[#This Row],[Date]])</f>
        <v>2</v>
      </c>
      <c r="F2396" t="s">
        <v>26</v>
      </c>
      <c r="G2396">
        <v>34</v>
      </c>
      <c r="H2396" s="3">
        <v>7.98</v>
      </c>
      <c r="I2396" s="3">
        <f>ProductLine[[#This Row],[Units]]*ProductLine[[#This Row],[Dollars]]</f>
        <v>271.32</v>
      </c>
    </row>
    <row r="2397" spans="1:9" x14ac:dyDescent="0.35">
      <c r="A2397">
        <v>2396</v>
      </c>
      <c r="B2397" t="s">
        <v>9</v>
      </c>
      <c r="C2397" s="2">
        <v>44258</v>
      </c>
      <c r="D2397">
        <f>YEAR(ProductLine[[#This Row],[Date]])</f>
        <v>2021</v>
      </c>
      <c r="E2397">
        <f>MONTH(ProductLine[[#This Row],[Date]])</f>
        <v>3</v>
      </c>
      <c r="F2397" t="s">
        <v>26</v>
      </c>
      <c r="G2397">
        <v>26</v>
      </c>
      <c r="H2397" s="3">
        <v>8.98</v>
      </c>
      <c r="I2397" s="3">
        <f>ProductLine[[#This Row],[Units]]*ProductLine[[#This Row],[Dollars]]</f>
        <v>233.48000000000002</v>
      </c>
    </row>
    <row r="2398" spans="1:9" x14ac:dyDescent="0.35">
      <c r="A2398">
        <v>2397</v>
      </c>
      <c r="B2398" t="s">
        <v>19</v>
      </c>
      <c r="C2398" s="2">
        <v>44219</v>
      </c>
      <c r="D2398">
        <f>YEAR(ProductLine[[#This Row],[Date]])</f>
        <v>2021</v>
      </c>
      <c r="E2398">
        <f>MONTH(ProductLine[[#This Row],[Date]])</f>
        <v>1</v>
      </c>
      <c r="F2398" t="s">
        <v>26</v>
      </c>
      <c r="G2398">
        <v>25</v>
      </c>
      <c r="H2398" s="3">
        <v>8.98</v>
      </c>
      <c r="I2398" s="3">
        <f>ProductLine[[#This Row],[Units]]*ProductLine[[#This Row],[Dollars]]</f>
        <v>224.5</v>
      </c>
    </row>
    <row r="2399" spans="1:9" x14ac:dyDescent="0.35">
      <c r="A2399">
        <v>2398</v>
      </c>
      <c r="B2399" t="s">
        <v>19</v>
      </c>
      <c r="C2399" s="2">
        <v>44216</v>
      </c>
      <c r="D2399">
        <f>YEAR(ProductLine[[#This Row],[Date]])</f>
        <v>2021</v>
      </c>
      <c r="E2399">
        <f>MONTH(ProductLine[[#This Row],[Date]])</f>
        <v>1</v>
      </c>
      <c r="F2399" t="s">
        <v>26</v>
      </c>
      <c r="G2399">
        <v>28</v>
      </c>
      <c r="H2399" s="3">
        <v>7.98</v>
      </c>
      <c r="I2399" s="3">
        <f>ProductLine[[#This Row],[Units]]*ProductLine[[#This Row],[Dollars]]</f>
        <v>223.44</v>
      </c>
    </row>
    <row r="2400" spans="1:9" x14ac:dyDescent="0.35">
      <c r="A2400">
        <v>2399</v>
      </c>
      <c r="B2400" t="s">
        <v>19</v>
      </c>
      <c r="C2400" s="2">
        <v>44229</v>
      </c>
      <c r="D2400">
        <f>YEAR(ProductLine[[#This Row],[Date]])</f>
        <v>2021</v>
      </c>
      <c r="E2400">
        <f>MONTH(ProductLine[[#This Row],[Date]])</f>
        <v>2</v>
      </c>
      <c r="F2400" t="s">
        <v>26</v>
      </c>
      <c r="G2400">
        <v>56</v>
      </c>
      <c r="H2400" s="3">
        <v>7.98</v>
      </c>
      <c r="I2400" s="3">
        <f>ProductLine[[#This Row],[Units]]*ProductLine[[#This Row],[Dollars]]</f>
        <v>446.88</v>
      </c>
    </row>
    <row r="2401" spans="1:9" x14ac:dyDescent="0.35">
      <c r="A2401">
        <v>2400</v>
      </c>
      <c r="B2401" t="s">
        <v>19</v>
      </c>
      <c r="C2401" s="2">
        <v>44264</v>
      </c>
      <c r="D2401">
        <f>YEAR(ProductLine[[#This Row],[Date]])</f>
        <v>2021</v>
      </c>
      <c r="E2401">
        <f>MONTH(ProductLine[[#This Row],[Date]])</f>
        <v>3</v>
      </c>
      <c r="F2401" t="s">
        <v>26</v>
      </c>
      <c r="G2401">
        <v>64</v>
      </c>
      <c r="H2401" s="3">
        <v>8.98</v>
      </c>
      <c r="I2401" s="3">
        <f>ProductLine[[#This Row],[Units]]*ProductLine[[#This Row],[Dollars]]</f>
        <v>574.72</v>
      </c>
    </row>
    <row r="2402" spans="1:9" x14ac:dyDescent="0.35">
      <c r="A2402">
        <v>2401</v>
      </c>
      <c r="B2402" t="s">
        <v>18</v>
      </c>
      <c r="C2402" s="2">
        <v>44229</v>
      </c>
      <c r="D2402">
        <f>YEAR(ProductLine[[#This Row],[Date]])</f>
        <v>2021</v>
      </c>
      <c r="E2402">
        <f>MONTH(ProductLine[[#This Row],[Date]])</f>
        <v>2</v>
      </c>
      <c r="F2402" t="s">
        <v>26</v>
      </c>
      <c r="G2402">
        <v>48</v>
      </c>
      <c r="H2402" s="3">
        <v>7.98</v>
      </c>
      <c r="I2402" s="3">
        <f>ProductLine[[#This Row],[Units]]*ProductLine[[#This Row],[Dollars]]</f>
        <v>383.04</v>
      </c>
    </row>
    <row r="2403" spans="1:9" x14ac:dyDescent="0.35">
      <c r="A2403">
        <v>2402</v>
      </c>
      <c r="B2403" t="s">
        <v>18</v>
      </c>
      <c r="C2403" s="2">
        <v>44257</v>
      </c>
      <c r="D2403">
        <f>YEAR(ProductLine[[#This Row],[Date]])</f>
        <v>2021</v>
      </c>
      <c r="E2403">
        <f>MONTH(ProductLine[[#This Row],[Date]])</f>
        <v>3</v>
      </c>
      <c r="F2403" t="s">
        <v>26</v>
      </c>
      <c r="G2403">
        <v>34</v>
      </c>
      <c r="H2403" s="3">
        <v>8.98</v>
      </c>
      <c r="I2403" s="3">
        <f>ProductLine[[#This Row],[Units]]*ProductLine[[#This Row],[Dollars]]</f>
        <v>305.32</v>
      </c>
    </row>
    <row r="2404" spans="1:9" x14ac:dyDescent="0.35">
      <c r="A2404">
        <v>2403</v>
      </c>
      <c r="B2404" t="s">
        <v>18</v>
      </c>
      <c r="C2404" s="2">
        <v>44267</v>
      </c>
      <c r="D2404">
        <f>YEAR(ProductLine[[#This Row],[Date]])</f>
        <v>2021</v>
      </c>
      <c r="E2404">
        <f>MONTH(ProductLine[[#This Row],[Date]])</f>
        <v>3</v>
      </c>
      <c r="F2404" t="s">
        <v>26</v>
      </c>
      <c r="G2404">
        <v>48</v>
      </c>
      <c r="H2404" s="3">
        <v>7.98</v>
      </c>
      <c r="I2404" s="3">
        <f>ProductLine[[#This Row],[Units]]*ProductLine[[#This Row],[Dollars]]</f>
        <v>383.04</v>
      </c>
    </row>
    <row r="2405" spans="1:9" x14ac:dyDescent="0.35">
      <c r="A2405">
        <v>2404</v>
      </c>
      <c r="B2405" t="s">
        <v>18</v>
      </c>
      <c r="C2405" s="2">
        <v>44270</v>
      </c>
      <c r="D2405">
        <f>YEAR(ProductLine[[#This Row],[Date]])</f>
        <v>2021</v>
      </c>
      <c r="E2405">
        <f>MONTH(ProductLine[[#This Row],[Date]])</f>
        <v>3</v>
      </c>
      <c r="F2405" t="s">
        <v>26</v>
      </c>
      <c r="G2405">
        <v>54</v>
      </c>
      <c r="H2405" s="3">
        <v>8.98</v>
      </c>
      <c r="I2405" s="3">
        <f>ProductLine[[#This Row],[Units]]*ProductLine[[#This Row],[Dollars]]</f>
        <v>484.92</v>
      </c>
    </row>
    <row r="2406" spans="1:9" x14ac:dyDescent="0.35">
      <c r="A2406">
        <v>2405</v>
      </c>
      <c r="B2406" t="s">
        <v>11</v>
      </c>
      <c r="C2406" s="2">
        <v>44208</v>
      </c>
      <c r="D2406">
        <f>YEAR(ProductLine[[#This Row],[Date]])</f>
        <v>2021</v>
      </c>
      <c r="E2406">
        <f>MONTH(ProductLine[[#This Row],[Date]])</f>
        <v>1</v>
      </c>
      <c r="F2406" t="s">
        <v>24</v>
      </c>
      <c r="G2406">
        <v>44</v>
      </c>
      <c r="H2406" s="3">
        <v>13.98</v>
      </c>
      <c r="I2406" s="3">
        <f>ProductLine[[#This Row],[Units]]*ProductLine[[#This Row],[Dollars]]</f>
        <v>615.12</v>
      </c>
    </row>
    <row r="2407" spans="1:9" x14ac:dyDescent="0.35">
      <c r="A2407">
        <v>2406</v>
      </c>
      <c r="B2407" t="s">
        <v>11</v>
      </c>
      <c r="C2407" s="2">
        <v>44229</v>
      </c>
      <c r="D2407">
        <f>YEAR(ProductLine[[#This Row],[Date]])</f>
        <v>2021</v>
      </c>
      <c r="E2407">
        <f>MONTH(ProductLine[[#This Row],[Date]])</f>
        <v>2</v>
      </c>
      <c r="F2407" t="s">
        <v>24</v>
      </c>
      <c r="G2407">
        <v>34</v>
      </c>
      <c r="H2407" s="3">
        <v>10.89</v>
      </c>
      <c r="I2407" s="3">
        <f>ProductLine[[#This Row],[Units]]*ProductLine[[#This Row],[Dollars]]</f>
        <v>370.26</v>
      </c>
    </row>
    <row r="2408" spans="1:9" x14ac:dyDescent="0.35">
      <c r="A2408">
        <v>2407</v>
      </c>
      <c r="B2408" t="s">
        <v>11</v>
      </c>
      <c r="C2408" s="2">
        <v>44260</v>
      </c>
      <c r="D2408">
        <f>YEAR(ProductLine[[#This Row],[Date]])</f>
        <v>2021</v>
      </c>
      <c r="E2408">
        <f>MONTH(ProductLine[[#This Row],[Date]])</f>
        <v>3</v>
      </c>
      <c r="F2408" t="s">
        <v>24</v>
      </c>
      <c r="G2408">
        <v>27</v>
      </c>
      <c r="H2408" s="3">
        <v>9.9700000000000006</v>
      </c>
      <c r="I2408" s="3">
        <f>ProductLine[[#This Row],[Units]]*ProductLine[[#This Row],[Dollars]]</f>
        <v>269.19</v>
      </c>
    </row>
    <row r="2409" spans="1:9" x14ac:dyDescent="0.35">
      <c r="A2409">
        <v>2408</v>
      </c>
      <c r="B2409" t="s">
        <v>11</v>
      </c>
      <c r="C2409" s="2">
        <v>44259</v>
      </c>
      <c r="D2409">
        <f>YEAR(ProductLine[[#This Row],[Date]])</f>
        <v>2021</v>
      </c>
      <c r="E2409">
        <f>MONTH(ProductLine[[#This Row],[Date]])</f>
        <v>3</v>
      </c>
      <c r="F2409" t="s">
        <v>24</v>
      </c>
      <c r="G2409">
        <v>37</v>
      </c>
      <c r="H2409" s="3">
        <v>10.89</v>
      </c>
      <c r="I2409" s="3">
        <f>ProductLine[[#This Row],[Units]]*ProductLine[[#This Row],[Dollars]]</f>
        <v>402.93</v>
      </c>
    </row>
    <row r="2410" spans="1:9" x14ac:dyDescent="0.35">
      <c r="A2410">
        <v>2409</v>
      </c>
      <c r="B2410" t="s">
        <v>17</v>
      </c>
      <c r="C2410" s="2">
        <v>44236</v>
      </c>
      <c r="D2410">
        <f>YEAR(ProductLine[[#This Row],[Date]])</f>
        <v>2021</v>
      </c>
      <c r="E2410">
        <f>MONTH(ProductLine[[#This Row],[Date]])</f>
        <v>2</v>
      </c>
      <c r="F2410" t="s">
        <v>24</v>
      </c>
      <c r="G2410">
        <v>48</v>
      </c>
      <c r="H2410" s="3">
        <v>9.9700000000000006</v>
      </c>
      <c r="I2410" s="3">
        <f>ProductLine[[#This Row],[Units]]*ProductLine[[#This Row],[Dollars]]</f>
        <v>478.56000000000006</v>
      </c>
    </row>
    <row r="2411" spans="1:9" x14ac:dyDescent="0.35">
      <c r="A2411">
        <v>2410</v>
      </c>
      <c r="B2411" t="s">
        <v>17</v>
      </c>
      <c r="C2411" s="2">
        <v>44269</v>
      </c>
      <c r="D2411">
        <f>YEAR(ProductLine[[#This Row],[Date]])</f>
        <v>2021</v>
      </c>
      <c r="E2411">
        <f>MONTH(ProductLine[[#This Row],[Date]])</f>
        <v>3</v>
      </c>
      <c r="F2411" t="s">
        <v>24</v>
      </c>
      <c r="G2411">
        <v>36</v>
      </c>
      <c r="H2411" s="3">
        <v>10.89</v>
      </c>
      <c r="I2411" s="3">
        <f>ProductLine[[#This Row],[Units]]*ProductLine[[#This Row],[Dollars]]</f>
        <v>392.04</v>
      </c>
    </row>
    <row r="2412" spans="1:9" x14ac:dyDescent="0.35">
      <c r="A2412">
        <v>2411</v>
      </c>
      <c r="B2412" t="s">
        <v>17</v>
      </c>
      <c r="C2412" s="2">
        <v>44279</v>
      </c>
      <c r="D2412">
        <f>YEAR(ProductLine[[#This Row],[Date]])</f>
        <v>2021</v>
      </c>
      <c r="E2412">
        <f>MONTH(ProductLine[[#This Row],[Date]])</f>
        <v>3</v>
      </c>
      <c r="F2412" t="s">
        <v>24</v>
      </c>
      <c r="G2412">
        <v>48</v>
      </c>
      <c r="H2412" s="3">
        <v>10.89</v>
      </c>
      <c r="I2412" s="3">
        <f>ProductLine[[#This Row],[Units]]*ProductLine[[#This Row],[Dollars]]</f>
        <v>522.72</v>
      </c>
    </row>
    <row r="2413" spans="1:9" x14ac:dyDescent="0.35">
      <c r="A2413">
        <v>2412</v>
      </c>
      <c r="B2413" t="s">
        <v>14</v>
      </c>
      <c r="C2413" s="2">
        <v>44219</v>
      </c>
      <c r="D2413">
        <f>YEAR(ProductLine[[#This Row],[Date]])</f>
        <v>2021</v>
      </c>
      <c r="E2413">
        <f>MONTH(ProductLine[[#This Row],[Date]])</f>
        <v>1</v>
      </c>
      <c r="F2413" t="s">
        <v>24</v>
      </c>
      <c r="G2413">
        <v>58</v>
      </c>
      <c r="H2413" s="3">
        <v>10.89</v>
      </c>
      <c r="I2413" s="3">
        <f>ProductLine[[#This Row],[Units]]*ProductLine[[#This Row],[Dollars]]</f>
        <v>631.62</v>
      </c>
    </row>
    <row r="2414" spans="1:9" x14ac:dyDescent="0.35">
      <c r="A2414">
        <v>2413</v>
      </c>
      <c r="B2414" t="s">
        <v>14</v>
      </c>
      <c r="C2414" s="2">
        <v>44221</v>
      </c>
      <c r="D2414">
        <f>YEAR(ProductLine[[#This Row],[Date]])</f>
        <v>2021</v>
      </c>
      <c r="E2414">
        <f>MONTH(ProductLine[[#This Row],[Date]])</f>
        <v>1</v>
      </c>
      <c r="F2414" t="s">
        <v>24</v>
      </c>
      <c r="G2414">
        <v>42</v>
      </c>
      <c r="H2414" s="3">
        <v>9.9700000000000006</v>
      </c>
      <c r="I2414" s="3">
        <f>ProductLine[[#This Row],[Units]]*ProductLine[[#This Row],[Dollars]]</f>
        <v>418.74</v>
      </c>
    </row>
    <row r="2415" spans="1:9" x14ac:dyDescent="0.35">
      <c r="A2415">
        <v>2414</v>
      </c>
      <c r="B2415" t="s">
        <v>19</v>
      </c>
      <c r="C2415" s="2">
        <v>44224</v>
      </c>
      <c r="D2415">
        <f>YEAR(ProductLine[[#This Row],[Date]])</f>
        <v>2021</v>
      </c>
      <c r="E2415">
        <f>MONTH(ProductLine[[#This Row],[Date]])</f>
        <v>1</v>
      </c>
      <c r="F2415" t="s">
        <v>24</v>
      </c>
      <c r="G2415">
        <v>21</v>
      </c>
      <c r="H2415" s="3">
        <v>10.89</v>
      </c>
      <c r="I2415" s="3">
        <f>ProductLine[[#This Row],[Units]]*ProductLine[[#This Row],[Dollars]]</f>
        <v>228.69</v>
      </c>
    </row>
    <row r="2416" spans="1:9" x14ac:dyDescent="0.35">
      <c r="A2416">
        <v>2415</v>
      </c>
      <c r="B2416" t="s">
        <v>19</v>
      </c>
      <c r="C2416" s="2">
        <v>44250</v>
      </c>
      <c r="D2416">
        <f>YEAR(ProductLine[[#This Row],[Date]])</f>
        <v>2021</v>
      </c>
      <c r="E2416">
        <f>MONTH(ProductLine[[#This Row],[Date]])</f>
        <v>2</v>
      </c>
      <c r="F2416" t="s">
        <v>24</v>
      </c>
      <c r="G2416">
        <v>39</v>
      </c>
      <c r="H2416" s="3">
        <v>9.9700000000000006</v>
      </c>
      <c r="I2416" s="3">
        <f>ProductLine[[#This Row],[Units]]*ProductLine[[#This Row],[Dollars]]</f>
        <v>388.83000000000004</v>
      </c>
    </row>
    <row r="2417" spans="1:9" x14ac:dyDescent="0.35">
      <c r="A2417">
        <v>2416</v>
      </c>
      <c r="B2417" t="s">
        <v>20</v>
      </c>
      <c r="C2417" s="2">
        <v>44222</v>
      </c>
      <c r="D2417">
        <f>YEAR(ProductLine[[#This Row],[Date]])</f>
        <v>2021</v>
      </c>
      <c r="E2417">
        <f>MONTH(ProductLine[[#This Row],[Date]])</f>
        <v>1</v>
      </c>
      <c r="F2417" t="s">
        <v>24</v>
      </c>
      <c r="G2417">
        <v>41</v>
      </c>
      <c r="H2417" s="3">
        <v>9.9700000000000006</v>
      </c>
      <c r="I2417" s="3">
        <f>ProductLine[[#This Row],[Units]]*ProductLine[[#This Row],[Dollars]]</f>
        <v>408.77000000000004</v>
      </c>
    </row>
    <row r="2418" spans="1:9" x14ac:dyDescent="0.35">
      <c r="A2418">
        <v>2417</v>
      </c>
      <c r="B2418" t="s">
        <v>20</v>
      </c>
      <c r="C2418" s="2">
        <v>44240</v>
      </c>
      <c r="D2418">
        <f>YEAR(ProductLine[[#This Row],[Date]])</f>
        <v>2021</v>
      </c>
      <c r="E2418">
        <f>MONTH(ProductLine[[#This Row],[Date]])</f>
        <v>2</v>
      </c>
      <c r="F2418" t="s">
        <v>24</v>
      </c>
      <c r="G2418">
        <v>44</v>
      </c>
      <c r="H2418" s="3">
        <v>13.98</v>
      </c>
      <c r="I2418" s="3">
        <f>ProductLine[[#This Row],[Units]]*ProductLine[[#This Row],[Dollars]]</f>
        <v>615.12</v>
      </c>
    </row>
    <row r="2419" spans="1:9" x14ac:dyDescent="0.35">
      <c r="A2419">
        <v>2418</v>
      </c>
      <c r="B2419" t="s">
        <v>20</v>
      </c>
      <c r="C2419" s="2">
        <v>44259</v>
      </c>
      <c r="D2419">
        <f>YEAR(ProductLine[[#This Row],[Date]])</f>
        <v>2021</v>
      </c>
      <c r="E2419">
        <f>MONTH(ProductLine[[#This Row],[Date]])</f>
        <v>3</v>
      </c>
      <c r="F2419" t="s">
        <v>24</v>
      </c>
      <c r="G2419">
        <v>48</v>
      </c>
      <c r="H2419" s="3">
        <v>10.89</v>
      </c>
      <c r="I2419" s="3">
        <f>ProductLine[[#This Row],[Units]]*ProductLine[[#This Row],[Dollars]]</f>
        <v>522.72</v>
      </c>
    </row>
    <row r="2420" spans="1:9" x14ac:dyDescent="0.35">
      <c r="A2420">
        <v>2419</v>
      </c>
      <c r="B2420" t="s">
        <v>20</v>
      </c>
      <c r="C2420" s="2">
        <v>44262</v>
      </c>
      <c r="D2420">
        <f>YEAR(ProductLine[[#This Row],[Date]])</f>
        <v>2021</v>
      </c>
      <c r="E2420">
        <f>MONTH(ProductLine[[#This Row],[Date]])</f>
        <v>3</v>
      </c>
      <c r="F2420" t="s">
        <v>24</v>
      </c>
      <c r="G2420">
        <v>37</v>
      </c>
      <c r="H2420" s="3">
        <v>13.98</v>
      </c>
      <c r="I2420" s="3">
        <f>ProductLine[[#This Row],[Units]]*ProductLine[[#This Row],[Dollars]]</f>
        <v>517.26</v>
      </c>
    </row>
    <row r="2421" spans="1:9" x14ac:dyDescent="0.35">
      <c r="A2421">
        <v>2420</v>
      </c>
      <c r="B2421" t="s">
        <v>11</v>
      </c>
      <c r="C2421" s="2">
        <v>44219</v>
      </c>
      <c r="D2421">
        <f>YEAR(ProductLine[[#This Row],[Date]])</f>
        <v>2021</v>
      </c>
      <c r="E2421">
        <f>MONTH(ProductLine[[#This Row],[Date]])</f>
        <v>1</v>
      </c>
      <c r="F2421" t="s">
        <v>23</v>
      </c>
      <c r="G2421">
        <v>45</v>
      </c>
      <c r="H2421" s="3">
        <v>8.4600000000000009</v>
      </c>
      <c r="I2421" s="3">
        <f>ProductLine[[#This Row],[Units]]*ProductLine[[#This Row],[Dollars]]</f>
        <v>380.70000000000005</v>
      </c>
    </row>
    <row r="2422" spans="1:9" x14ac:dyDescent="0.35">
      <c r="A2422">
        <v>2421</v>
      </c>
      <c r="B2422" t="s">
        <v>11</v>
      </c>
      <c r="C2422" s="2">
        <v>44251</v>
      </c>
      <c r="D2422">
        <f>YEAR(ProductLine[[#This Row],[Date]])</f>
        <v>2021</v>
      </c>
      <c r="E2422">
        <f>MONTH(ProductLine[[#This Row],[Date]])</f>
        <v>2</v>
      </c>
      <c r="F2422" t="s">
        <v>23</v>
      </c>
      <c r="G2422">
        <v>34</v>
      </c>
      <c r="H2422" s="3">
        <v>5.47</v>
      </c>
      <c r="I2422" s="3">
        <f>ProductLine[[#This Row],[Units]]*ProductLine[[#This Row],[Dollars]]</f>
        <v>185.98</v>
      </c>
    </row>
    <row r="2423" spans="1:9" x14ac:dyDescent="0.35">
      <c r="A2423">
        <v>2422</v>
      </c>
      <c r="B2423" t="s">
        <v>11</v>
      </c>
      <c r="C2423" s="2">
        <v>44205</v>
      </c>
      <c r="D2423">
        <f>YEAR(ProductLine[[#This Row],[Date]])</f>
        <v>2021</v>
      </c>
      <c r="E2423">
        <f>MONTH(ProductLine[[#This Row],[Date]])</f>
        <v>1</v>
      </c>
      <c r="F2423" t="s">
        <v>23</v>
      </c>
      <c r="G2423">
        <v>45</v>
      </c>
      <c r="H2423" s="3">
        <v>8.4600000000000009</v>
      </c>
      <c r="I2423" s="3">
        <f>ProductLine[[#This Row],[Units]]*ProductLine[[#This Row],[Dollars]]</f>
        <v>380.70000000000005</v>
      </c>
    </row>
    <row r="2424" spans="1:9" x14ac:dyDescent="0.35">
      <c r="A2424">
        <v>2423</v>
      </c>
      <c r="B2424" t="s">
        <v>11</v>
      </c>
      <c r="C2424" s="2">
        <v>44269</v>
      </c>
      <c r="D2424">
        <f>YEAR(ProductLine[[#This Row],[Date]])</f>
        <v>2021</v>
      </c>
      <c r="E2424">
        <f>MONTH(ProductLine[[#This Row],[Date]])</f>
        <v>3</v>
      </c>
      <c r="F2424" t="s">
        <v>23</v>
      </c>
      <c r="G2424">
        <v>56</v>
      </c>
      <c r="H2424" s="3">
        <v>8.4600000000000009</v>
      </c>
      <c r="I2424" s="3">
        <f>ProductLine[[#This Row],[Units]]*ProductLine[[#This Row],[Dollars]]</f>
        <v>473.76000000000005</v>
      </c>
    </row>
    <row r="2425" spans="1:9" x14ac:dyDescent="0.35">
      <c r="A2425">
        <v>2424</v>
      </c>
      <c r="B2425" t="s">
        <v>11</v>
      </c>
      <c r="C2425" s="2">
        <v>44279</v>
      </c>
      <c r="D2425">
        <f>YEAR(ProductLine[[#This Row],[Date]])</f>
        <v>2021</v>
      </c>
      <c r="E2425">
        <f>MONTH(ProductLine[[#This Row],[Date]])</f>
        <v>3</v>
      </c>
      <c r="F2425" t="s">
        <v>23</v>
      </c>
      <c r="G2425">
        <v>58</v>
      </c>
      <c r="H2425" s="3">
        <v>8.4600000000000009</v>
      </c>
      <c r="I2425" s="3">
        <f>ProductLine[[#This Row],[Units]]*ProductLine[[#This Row],[Dollars]]</f>
        <v>490.68000000000006</v>
      </c>
    </row>
    <row r="2426" spans="1:9" x14ac:dyDescent="0.35">
      <c r="A2426">
        <v>2425</v>
      </c>
      <c r="B2426" t="s">
        <v>13</v>
      </c>
      <c r="C2426" s="2">
        <v>44219</v>
      </c>
      <c r="D2426">
        <f>YEAR(ProductLine[[#This Row],[Date]])</f>
        <v>2021</v>
      </c>
      <c r="E2426">
        <f>MONTH(ProductLine[[#This Row],[Date]])</f>
        <v>1</v>
      </c>
      <c r="F2426" t="s">
        <v>23</v>
      </c>
      <c r="G2426">
        <v>48</v>
      </c>
      <c r="H2426" s="3">
        <v>5.47</v>
      </c>
      <c r="I2426" s="3">
        <f>ProductLine[[#This Row],[Units]]*ProductLine[[#This Row],[Dollars]]</f>
        <v>262.56</v>
      </c>
    </row>
    <row r="2427" spans="1:9" x14ac:dyDescent="0.35">
      <c r="A2427">
        <v>2426</v>
      </c>
      <c r="B2427" t="s">
        <v>13</v>
      </c>
      <c r="C2427" s="2">
        <v>44250</v>
      </c>
      <c r="D2427">
        <f>YEAR(ProductLine[[#This Row],[Date]])</f>
        <v>2021</v>
      </c>
      <c r="E2427">
        <f>MONTH(ProductLine[[#This Row],[Date]])</f>
        <v>2</v>
      </c>
      <c r="F2427" t="s">
        <v>23</v>
      </c>
      <c r="G2427">
        <v>78</v>
      </c>
      <c r="H2427" s="3">
        <v>5.47</v>
      </c>
      <c r="I2427" s="3">
        <f>ProductLine[[#This Row],[Units]]*ProductLine[[#This Row],[Dollars]]</f>
        <v>426.65999999999997</v>
      </c>
    </row>
    <row r="2428" spans="1:9" x14ac:dyDescent="0.35">
      <c r="A2428">
        <v>2427</v>
      </c>
      <c r="B2428" t="s">
        <v>13</v>
      </c>
      <c r="C2428" s="2">
        <v>44252</v>
      </c>
      <c r="D2428">
        <f>YEAR(ProductLine[[#This Row],[Date]])</f>
        <v>2021</v>
      </c>
      <c r="E2428">
        <f>MONTH(ProductLine[[#This Row],[Date]])</f>
        <v>2</v>
      </c>
      <c r="F2428" t="s">
        <v>23</v>
      </c>
      <c r="G2428">
        <v>66</v>
      </c>
      <c r="H2428" s="3">
        <v>5.47</v>
      </c>
      <c r="I2428" s="3">
        <f>ProductLine[[#This Row],[Units]]*ProductLine[[#This Row],[Dollars]]</f>
        <v>361.02</v>
      </c>
    </row>
    <row r="2429" spans="1:9" x14ac:dyDescent="0.35">
      <c r="A2429">
        <v>2428</v>
      </c>
      <c r="B2429" t="s">
        <v>14</v>
      </c>
      <c r="C2429" s="2">
        <v>44254</v>
      </c>
      <c r="D2429">
        <f>YEAR(ProductLine[[#This Row],[Date]])</f>
        <v>2021</v>
      </c>
      <c r="E2429">
        <f>MONTH(ProductLine[[#This Row],[Date]])</f>
        <v>2</v>
      </c>
      <c r="F2429" t="s">
        <v>23</v>
      </c>
      <c r="G2429">
        <v>53</v>
      </c>
      <c r="H2429" s="3">
        <v>8.4600000000000009</v>
      </c>
      <c r="I2429" s="3">
        <f>ProductLine[[#This Row],[Units]]*ProductLine[[#This Row],[Dollars]]</f>
        <v>448.38000000000005</v>
      </c>
    </row>
    <row r="2430" spans="1:9" x14ac:dyDescent="0.35">
      <c r="A2430">
        <v>2429</v>
      </c>
      <c r="B2430" t="s">
        <v>19</v>
      </c>
      <c r="C2430" s="2">
        <v>44284</v>
      </c>
      <c r="D2430">
        <f>YEAR(ProductLine[[#This Row],[Date]])</f>
        <v>2021</v>
      </c>
      <c r="E2430">
        <f>MONTH(ProductLine[[#This Row],[Date]])</f>
        <v>3</v>
      </c>
      <c r="F2430" t="s">
        <v>23</v>
      </c>
      <c r="G2430">
        <v>63</v>
      </c>
      <c r="H2430" s="3">
        <v>8.4600000000000009</v>
      </c>
      <c r="I2430" s="3">
        <f>ProductLine[[#This Row],[Units]]*ProductLine[[#This Row],[Dollars]]</f>
        <v>532.98</v>
      </c>
    </row>
    <row r="2431" spans="1:9" x14ac:dyDescent="0.35">
      <c r="A2431">
        <v>2430</v>
      </c>
      <c r="B2431" t="s">
        <v>20</v>
      </c>
      <c r="C2431" s="2">
        <v>44210</v>
      </c>
      <c r="D2431">
        <f>YEAR(ProductLine[[#This Row],[Date]])</f>
        <v>2021</v>
      </c>
      <c r="E2431">
        <f>MONTH(ProductLine[[#This Row],[Date]])</f>
        <v>1</v>
      </c>
      <c r="F2431" t="s">
        <v>23</v>
      </c>
      <c r="G2431">
        <v>45</v>
      </c>
      <c r="H2431" s="3">
        <v>8.4600000000000009</v>
      </c>
      <c r="I2431" s="3">
        <f>ProductLine[[#This Row],[Units]]*ProductLine[[#This Row],[Dollars]]</f>
        <v>380.70000000000005</v>
      </c>
    </row>
    <row r="2432" spans="1:9" x14ac:dyDescent="0.35">
      <c r="A2432">
        <v>2431</v>
      </c>
      <c r="B2432" t="s">
        <v>20</v>
      </c>
      <c r="C2432" s="2">
        <v>44215</v>
      </c>
      <c r="D2432">
        <f>YEAR(ProductLine[[#This Row],[Date]])</f>
        <v>2021</v>
      </c>
      <c r="E2432">
        <f>MONTH(ProductLine[[#This Row],[Date]])</f>
        <v>1</v>
      </c>
      <c r="F2432" t="s">
        <v>23</v>
      </c>
      <c r="G2432">
        <v>60</v>
      </c>
      <c r="H2432" s="3">
        <v>8.4600000000000009</v>
      </c>
      <c r="I2432" s="3">
        <f>ProductLine[[#This Row],[Units]]*ProductLine[[#This Row],[Dollars]]</f>
        <v>507.6</v>
      </c>
    </row>
    <row r="2433" spans="1:9" x14ac:dyDescent="0.35">
      <c r="A2433">
        <v>2432</v>
      </c>
      <c r="B2433" t="s">
        <v>20</v>
      </c>
      <c r="C2433" s="2">
        <v>44250</v>
      </c>
      <c r="D2433">
        <f>YEAR(ProductLine[[#This Row],[Date]])</f>
        <v>2021</v>
      </c>
      <c r="E2433">
        <f>MONTH(ProductLine[[#This Row],[Date]])</f>
        <v>2</v>
      </c>
      <c r="F2433" t="s">
        <v>23</v>
      </c>
      <c r="G2433">
        <v>28</v>
      </c>
      <c r="H2433" s="3">
        <v>5.47</v>
      </c>
      <c r="I2433" s="3">
        <f>ProductLine[[#This Row],[Units]]*ProductLine[[#This Row],[Dollars]]</f>
        <v>153.16</v>
      </c>
    </row>
    <row r="2434" spans="1:9" x14ac:dyDescent="0.35">
      <c r="A2434">
        <v>2433</v>
      </c>
      <c r="B2434" t="s">
        <v>20</v>
      </c>
      <c r="C2434" s="2">
        <v>44251</v>
      </c>
      <c r="D2434">
        <f>YEAR(ProductLine[[#This Row],[Date]])</f>
        <v>2021</v>
      </c>
      <c r="E2434">
        <f>MONTH(ProductLine[[#This Row],[Date]])</f>
        <v>2</v>
      </c>
      <c r="F2434" t="s">
        <v>23</v>
      </c>
      <c r="G2434">
        <v>30</v>
      </c>
      <c r="H2434" s="3">
        <v>8.4600000000000009</v>
      </c>
      <c r="I2434" s="3">
        <f>ProductLine[[#This Row],[Units]]*ProductLine[[#This Row],[Dollars]]</f>
        <v>253.8</v>
      </c>
    </row>
    <row r="2435" spans="1:9" x14ac:dyDescent="0.35">
      <c r="A2435">
        <v>2434</v>
      </c>
      <c r="B2435" t="s">
        <v>20</v>
      </c>
      <c r="C2435" s="2">
        <v>44271</v>
      </c>
      <c r="D2435">
        <f>YEAR(ProductLine[[#This Row],[Date]])</f>
        <v>2021</v>
      </c>
      <c r="E2435">
        <f>MONTH(ProductLine[[#This Row],[Date]])</f>
        <v>3</v>
      </c>
      <c r="F2435" t="s">
        <v>23</v>
      </c>
      <c r="G2435">
        <v>26</v>
      </c>
      <c r="H2435" s="3">
        <v>8.4600000000000009</v>
      </c>
      <c r="I2435" s="3">
        <f>ProductLine[[#This Row],[Units]]*ProductLine[[#This Row],[Dollars]]</f>
        <v>219.96000000000004</v>
      </c>
    </row>
    <row r="2436" spans="1:9" x14ac:dyDescent="0.35">
      <c r="A2436">
        <v>2435</v>
      </c>
      <c r="B2436" t="s">
        <v>11</v>
      </c>
      <c r="C2436" s="2">
        <v>44208</v>
      </c>
      <c r="D2436">
        <f>YEAR(ProductLine[[#This Row],[Date]])</f>
        <v>2021</v>
      </c>
      <c r="E2436">
        <f>MONTH(ProductLine[[#This Row],[Date]])</f>
        <v>1</v>
      </c>
      <c r="F2436" t="s">
        <v>25</v>
      </c>
      <c r="G2436">
        <v>76</v>
      </c>
      <c r="H2436" s="3">
        <v>10.97</v>
      </c>
      <c r="I2436" s="3">
        <f>ProductLine[[#This Row],[Units]]*ProductLine[[#This Row],[Dollars]]</f>
        <v>833.72</v>
      </c>
    </row>
    <row r="2437" spans="1:9" x14ac:dyDescent="0.35">
      <c r="A2437">
        <v>2436</v>
      </c>
      <c r="B2437" t="s">
        <v>11</v>
      </c>
      <c r="C2437" s="2">
        <v>44239</v>
      </c>
      <c r="D2437">
        <f>YEAR(ProductLine[[#This Row],[Date]])</f>
        <v>2021</v>
      </c>
      <c r="E2437">
        <f>MONTH(ProductLine[[#This Row],[Date]])</f>
        <v>2</v>
      </c>
      <c r="F2437" t="s">
        <v>25</v>
      </c>
      <c r="G2437">
        <v>67</v>
      </c>
      <c r="H2437" s="3">
        <v>6.99</v>
      </c>
      <c r="I2437" s="3">
        <f>ProductLine[[#This Row],[Units]]*ProductLine[[#This Row],[Dollars]]</f>
        <v>468.33000000000004</v>
      </c>
    </row>
    <row r="2438" spans="1:9" x14ac:dyDescent="0.35">
      <c r="A2438">
        <v>2437</v>
      </c>
      <c r="B2438" t="s">
        <v>11</v>
      </c>
      <c r="C2438" s="2">
        <v>44270</v>
      </c>
      <c r="D2438">
        <f>YEAR(ProductLine[[#This Row],[Date]])</f>
        <v>2021</v>
      </c>
      <c r="E2438">
        <f>MONTH(ProductLine[[#This Row],[Date]])</f>
        <v>3</v>
      </c>
      <c r="F2438" t="s">
        <v>25</v>
      </c>
      <c r="G2438">
        <v>54</v>
      </c>
      <c r="H2438" s="3">
        <v>8.89</v>
      </c>
      <c r="I2438" s="3">
        <f>ProductLine[[#This Row],[Units]]*ProductLine[[#This Row],[Dollars]]</f>
        <v>480.06000000000006</v>
      </c>
    </row>
    <row r="2439" spans="1:9" x14ac:dyDescent="0.35">
      <c r="A2439">
        <v>2438</v>
      </c>
      <c r="B2439" t="s">
        <v>11</v>
      </c>
      <c r="C2439" s="2">
        <v>44271</v>
      </c>
      <c r="D2439">
        <f>YEAR(ProductLine[[#This Row],[Date]])</f>
        <v>2021</v>
      </c>
      <c r="E2439">
        <f>MONTH(ProductLine[[#This Row],[Date]])</f>
        <v>3</v>
      </c>
      <c r="F2439" t="s">
        <v>25</v>
      </c>
      <c r="G2439">
        <v>46</v>
      </c>
      <c r="H2439" s="3">
        <v>6.99</v>
      </c>
      <c r="I2439" s="3">
        <f>ProductLine[[#This Row],[Units]]*ProductLine[[#This Row],[Dollars]]</f>
        <v>321.54000000000002</v>
      </c>
    </row>
    <row r="2440" spans="1:9" x14ac:dyDescent="0.35">
      <c r="A2440">
        <v>2439</v>
      </c>
      <c r="B2440" t="s">
        <v>14</v>
      </c>
      <c r="C2440" s="2">
        <v>44205</v>
      </c>
      <c r="D2440">
        <f>YEAR(ProductLine[[#This Row],[Date]])</f>
        <v>2021</v>
      </c>
      <c r="E2440">
        <f>MONTH(ProductLine[[#This Row],[Date]])</f>
        <v>1</v>
      </c>
      <c r="F2440" t="s">
        <v>25</v>
      </c>
      <c r="G2440">
        <v>56</v>
      </c>
      <c r="H2440" s="3">
        <v>6.99</v>
      </c>
      <c r="I2440" s="3">
        <f>ProductLine[[#This Row],[Units]]*ProductLine[[#This Row],[Dollars]]</f>
        <v>391.44</v>
      </c>
    </row>
    <row r="2441" spans="1:9" x14ac:dyDescent="0.35">
      <c r="A2441">
        <v>2440</v>
      </c>
      <c r="B2441" t="s">
        <v>14</v>
      </c>
      <c r="C2441" s="2">
        <v>44241</v>
      </c>
      <c r="D2441">
        <f>YEAR(ProductLine[[#This Row],[Date]])</f>
        <v>2021</v>
      </c>
      <c r="E2441">
        <f>MONTH(ProductLine[[#This Row],[Date]])</f>
        <v>2</v>
      </c>
      <c r="F2441" t="s">
        <v>25</v>
      </c>
      <c r="G2441">
        <v>49</v>
      </c>
      <c r="H2441" s="3">
        <v>8.89</v>
      </c>
      <c r="I2441" s="3">
        <f>ProductLine[[#This Row],[Units]]*ProductLine[[#This Row],[Dollars]]</f>
        <v>435.61</v>
      </c>
    </row>
    <row r="2442" spans="1:9" x14ac:dyDescent="0.35">
      <c r="A2442">
        <v>2441</v>
      </c>
      <c r="B2442" t="s">
        <v>17</v>
      </c>
      <c r="C2442" s="2">
        <v>44205</v>
      </c>
      <c r="D2442">
        <f>YEAR(ProductLine[[#This Row],[Date]])</f>
        <v>2021</v>
      </c>
      <c r="E2442">
        <f>MONTH(ProductLine[[#This Row],[Date]])</f>
        <v>1</v>
      </c>
      <c r="F2442" t="s">
        <v>25</v>
      </c>
      <c r="G2442">
        <v>45</v>
      </c>
      <c r="H2442" s="3">
        <v>10.97</v>
      </c>
      <c r="I2442" s="3">
        <f>ProductLine[[#This Row],[Units]]*ProductLine[[#This Row],[Dollars]]</f>
        <v>493.65000000000003</v>
      </c>
    </row>
    <row r="2443" spans="1:9" x14ac:dyDescent="0.35">
      <c r="A2443">
        <v>2442</v>
      </c>
      <c r="B2443" t="s">
        <v>17</v>
      </c>
      <c r="C2443" s="2">
        <v>44221</v>
      </c>
      <c r="D2443">
        <f>YEAR(ProductLine[[#This Row],[Date]])</f>
        <v>2021</v>
      </c>
      <c r="E2443">
        <f>MONTH(ProductLine[[#This Row],[Date]])</f>
        <v>1</v>
      </c>
      <c r="F2443" t="s">
        <v>25</v>
      </c>
      <c r="G2443">
        <v>34</v>
      </c>
      <c r="H2443" s="3">
        <v>6.99</v>
      </c>
      <c r="I2443" s="3">
        <f>ProductLine[[#This Row],[Units]]*ProductLine[[#This Row],[Dollars]]</f>
        <v>237.66</v>
      </c>
    </row>
    <row r="2444" spans="1:9" x14ac:dyDescent="0.35">
      <c r="A2444">
        <v>2443</v>
      </c>
      <c r="B2444" t="s">
        <v>17</v>
      </c>
      <c r="C2444" s="2">
        <v>44251</v>
      </c>
      <c r="D2444">
        <f>YEAR(ProductLine[[#This Row],[Date]])</f>
        <v>2021</v>
      </c>
      <c r="E2444">
        <f>MONTH(ProductLine[[#This Row],[Date]])</f>
        <v>2</v>
      </c>
      <c r="F2444" t="s">
        <v>25</v>
      </c>
      <c r="G2444">
        <v>40</v>
      </c>
      <c r="H2444" s="3">
        <v>6.99</v>
      </c>
      <c r="I2444" s="3">
        <f>ProductLine[[#This Row],[Units]]*ProductLine[[#This Row],[Dollars]]</f>
        <v>279.60000000000002</v>
      </c>
    </row>
    <row r="2445" spans="1:9" x14ac:dyDescent="0.35">
      <c r="A2445">
        <v>2444</v>
      </c>
      <c r="B2445" t="s">
        <v>17</v>
      </c>
      <c r="C2445" s="2">
        <v>44230</v>
      </c>
      <c r="D2445">
        <f>YEAR(ProductLine[[#This Row],[Date]])</f>
        <v>2021</v>
      </c>
      <c r="E2445">
        <f>MONTH(ProductLine[[#This Row],[Date]])</f>
        <v>2</v>
      </c>
      <c r="F2445" t="s">
        <v>25</v>
      </c>
      <c r="G2445">
        <v>23</v>
      </c>
      <c r="H2445" s="3">
        <v>8.89</v>
      </c>
      <c r="I2445" s="3">
        <f>ProductLine[[#This Row],[Units]]*ProductLine[[#This Row],[Dollars]]</f>
        <v>204.47000000000003</v>
      </c>
    </row>
    <row r="2446" spans="1:9" x14ac:dyDescent="0.35">
      <c r="A2446">
        <v>2445</v>
      </c>
      <c r="B2446" t="s">
        <v>17</v>
      </c>
      <c r="C2446" s="2">
        <v>44270</v>
      </c>
      <c r="D2446">
        <f>YEAR(ProductLine[[#This Row],[Date]])</f>
        <v>2021</v>
      </c>
      <c r="E2446">
        <f>MONTH(ProductLine[[#This Row],[Date]])</f>
        <v>3</v>
      </c>
      <c r="F2446" t="s">
        <v>25</v>
      </c>
      <c r="G2446">
        <v>45</v>
      </c>
      <c r="H2446" s="3">
        <v>10.97</v>
      </c>
      <c r="I2446" s="3">
        <f>ProductLine[[#This Row],[Units]]*ProductLine[[#This Row],[Dollars]]</f>
        <v>493.65000000000003</v>
      </c>
    </row>
    <row r="2447" spans="1:9" x14ac:dyDescent="0.35">
      <c r="A2447">
        <v>2446</v>
      </c>
      <c r="B2447" t="s">
        <v>11</v>
      </c>
      <c r="C2447" s="2">
        <v>44219</v>
      </c>
      <c r="D2447">
        <f>YEAR(ProductLine[[#This Row],[Date]])</f>
        <v>2021</v>
      </c>
      <c r="E2447">
        <f>MONTH(ProductLine[[#This Row],[Date]])</f>
        <v>1</v>
      </c>
      <c r="F2447" t="s">
        <v>27</v>
      </c>
      <c r="G2447">
        <v>68</v>
      </c>
      <c r="H2447" s="3">
        <v>9.43</v>
      </c>
      <c r="I2447" s="3">
        <f>ProductLine[[#This Row],[Units]]*ProductLine[[#This Row],[Dollars]]</f>
        <v>641.24</v>
      </c>
    </row>
    <row r="2448" spans="1:9" x14ac:dyDescent="0.35">
      <c r="A2448">
        <v>2447</v>
      </c>
      <c r="B2448" t="s">
        <v>11</v>
      </c>
      <c r="C2448" s="2">
        <v>44240</v>
      </c>
      <c r="D2448">
        <f>YEAR(ProductLine[[#This Row],[Date]])</f>
        <v>2021</v>
      </c>
      <c r="E2448">
        <f>MONTH(ProductLine[[#This Row],[Date]])</f>
        <v>2</v>
      </c>
      <c r="F2448" t="s">
        <v>27</v>
      </c>
      <c r="G2448">
        <v>45</v>
      </c>
      <c r="H2448" s="3">
        <v>9.98</v>
      </c>
      <c r="I2448" s="3">
        <f>ProductLine[[#This Row],[Units]]*ProductLine[[#This Row],[Dollars]]</f>
        <v>449.1</v>
      </c>
    </row>
    <row r="2449" spans="1:9" x14ac:dyDescent="0.35">
      <c r="A2449">
        <v>2448</v>
      </c>
      <c r="B2449" t="s">
        <v>11</v>
      </c>
      <c r="C2449" s="2">
        <v>44284</v>
      </c>
      <c r="D2449">
        <f>YEAR(ProductLine[[#This Row],[Date]])</f>
        <v>2021</v>
      </c>
      <c r="E2449">
        <f>MONTH(ProductLine[[#This Row],[Date]])</f>
        <v>3</v>
      </c>
      <c r="F2449" t="s">
        <v>27</v>
      </c>
      <c r="G2449">
        <v>46</v>
      </c>
      <c r="H2449" s="3">
        <v>9.98</v>
      </c>
      <c r="I2449" s="3">
        <f>ProductLine[[#This Row],[Units]]*ProductLine[[#This Row],[Dollars]]</f>
        <v>459.08000000000004</v>
      </c>
    </row>
    <row r="2450" spans="1:9" x14ac:dyDescent="0.35">
      <c r="A2450">
        <v>2449</v>
      </c>
      <c r="B2450" t="s">
        <v>17</v>
      </c>
      <c r="C2450" s="2">
        <v>44220</v>
      </c>
      <c r="D2450">
        <f>YEAR(ProductLine[[#This Row],[Date]])</f>
        <v>2021</v>
      </c>
      <c r="E2450">
        <f>MONTH(ProductLine[[#This Row],[Date]])</f>
        <v>1</v>
      </c>
      <c r="F2450" t="s">
        <v>27</v>
      </c>
      <c r="G2450">
        <v>34</v>
      </c>
      <c r="H2450" s="3">
        <v>9.43</v>
      </c>
      <c r="I2450" s="3">
        <f>ProductLine[[#This Row],[Units]]*ProductLine[[#This Row],[Dollars]]</f>
        <v>320.62</v>
      </c>
    </row>
    <row r="2451" spans="1:9" x14ac:dyDescent="0.35">
      <c r="A2451">
        <v>2450</v>
      </c>
      <c r="B2451" t="s">
        <v>17</v>
      </c>
      <c r="C2451" s="2">
        <v>44247</v>
      </c>
      <c r="D2451">
        <f>YEAR(ProductLine[[#This Row],[Date]])</f>
        <v>2021</v>
      </c>
      <c r="E2451">
        <f>MONTH(ProductLine[[#This Row],[Date]])</f>
        <v>2</v>
      </c>
      <c r="F2451" t="s">
        <v>27</v>
      </c>
      <c r="G2451">
        <v>45</v>
      </c>
      <c r="H2451" s="3">
        <v>9.98</v>
      </c>
      <c r="I2451" s="3">
        <f>ProductLine[[#This Row],[Units]]*ProductLine[[#This Row],[Dollars]]</f>
        <v>449.1</v>
      </c>
    </row>
    <row r="2452" spans="1:9" x14ac:dyDescent="0.35">
      <c r="A2452">
        <v>2451</v>
      </c>
      <c r="B2452" t="s">
        <v>17</v>
      </c>
      <c r="C2452" s="2">
        <v>44256</v>
      </c>
      <c r="D2452">
        <f>YEAR(ProductLine[[#This Row],[Date]])</f>
        <v>2021</v>
      </c>
      <c r="E2452">
        <f>MONTH(ProductLine[[#This Row],[Date]])</f>
        <v>3</v>
      </c>
      <c r="F2452" t="s">
        <v>27</v>
      </c>
      <c r="G2452">
        <v>54</v>
      </c>
      <c r="H2452" s="3">
        <v>9.98</v>
      </c>
      <c r="I2452" s="3">
        <f>ProductLine[[#This Row],[Units]]*ProductLine[[#This Row],[Dollars]]</f>
        <v>538.92000000000007</v>
      </c>
    </row>
    <row r="2453" spans="1:9" x14ac:dyDescent="0.35">
      <c r="A2453">
        <v>2452</v>
      </c>
      <c r="B2453" t="s">
        <v>17</v>
      </c>
      <c r="C2453" s="2">
        <v>44281</v>
      </c>
      <c r="D2453">
        <f>YEAR(ProductLine[[#This Row],[Date]])</f>
        <v>2021</v>
      </c>
      <c r="E2453">
        <f>MONTH(ProductLine[[#This Row],[Date]])</f>
        <v>3</v>
      </c>
      <c r="F2453" t="s">
        <v>27</v>
      </c>
      <c r="G2453">
        <v>46</v>
      </c>
      <c r="H2453" s="3">
        <v>8.5500000000000007</v>
      </c>
      <c r="I2453" s="3">
        <f>ProductLine[[#This Row],[Units]]*ProductLine[[#This Row],[Dollars]]</f>
        <v>393.3</v>
      </c>
    </row>
    <row r="2454" spans="1:9" x14ac:dyDescent="0.35">
      <c r="A2454">
        <v>2453</v>
      </c>
      <c r="B2454" t="s">
        <v>20</v>
      </c>
      <c r="C2454" s="2">
        <v>44211</v>
      </c>
      <c r="D2454">
        <f>YEAR(ProductLine[[#This Row],[Date]])</f>
        <v>2021</v>
      </c>
      <c r="E2454">
        <f>MONTH(ProductLine[[#This Row],[Date]])</f>
        <v>1</v>
      </c>
      <c r="F2454" t="s">
        <v>27</v>
      </c>
      <c r="G2454">
        <v>70</v>
      </c>
      <c r="H2454" s="3">
        <v>8.5500000000000007</v>
      </c>
      <c r="I2454" s="3">
        <f>ProductLine[[#This Row],[Units]]*ProductLine[[#This Row],[Dollars]]</f>
        <v>598.5</v>
      </c>
    </row>
    <row r="2455" spans="1:9" x14ac:dyDescent="0.35">
      <c r="A2455">
        <v>2454</v>
      </c>
      <c r="B2455" t="s">
        <v>20</v>
      </c>
      <c r="C2455" s="2">
        <v>44271</v>
      </c>
      <c r="D2455">
        <f>YEAR(ProductLine[[#This Row],[Date]])</f>
        <v>2021</v>
      </c>
      <c r="E2455">
        <f>MONTH(ProductLine[[#This Row],[Date]])</f>
        <v>3</v>
      </c>
      <c r="F2455" t="s">
        <v>27</v>
      </c>
      <c r="G2455">
        <v>49</v>
      </c>
      <c r="H2455" s="3">
        <v>9.43</v>
      </c>
      <c r="I2455" s="3">
        <f>ProductLine[[#This Row],[Units]]*ProductLine[[#This Row],[Dollars]]</f>
        <v>462.07</v>
      </c>
    </row>
    <row r="2456" spans="1:9" x14ac:dyDescent="0.35">
      <c r="A2456">
        <v>2455</v>
      </c>
      <c r="B2456" t="s">
        <v>20</v>
      </c>
      <c r="C2456" s="2">
        <v>44284</v>
      </c>
      <c r="D2456">
        <f>YEAR(ProductLine[[#This Row],[Date]])</f>
        <v>2021</v>
      </c>
      <c r="E2456">
        <f>MONTH(ProductLine[[#This Row],[Date]])</f>
        <v>3</v>
      </c>
      <c r="F2456" t="s">
        <v>27</v>
      </c>
      <c r="G2456">
        <v>68</v>
      </c>
      <c r="H2456" s="3">
        <v>8.5500000000000007</v>
      </c>
      <c r="I2456" s="3">
        <f>ProductLine[[#This Row],[Units]]*ProductLine[[#This Row],[Dollars]]</f>
        <v>581.40000000000009</v>
      </c>
    </row>
    <row r="2457" spans="1:9" x14ac:dyDescent="0.35">
      <c r="A2457">
        <v>2456</v>
      </c>
      <c r="B2457" t="s">
        <v>11</v>
      </c>
      <c r="C2457" s="2">
        <v>44301</v>
      </c>
      <c r="D2457">
        <f>YEAR(ProductLine[[#This Row],[Date]])</f>
        <v>2021</v>
      </c>
      <c r="E2457">
        <f>MONTH(ProductLine[[#This Row],[Date]])</f>
        <v>4</v>
      </c>
      <c r="F2457" t="s">
        <v>26</v>
      </c>
      <c r="G2457">
        <v>75</v>
      </c>
      <c r="H2457" s="3">
        <v>8.98</v>
      </c>
      <c r="I2457" s="3">
        <f>ProductLine[[#This Row],[Units]]*ProductLine[[#This Row],[Dollars]]</f>
        <v>673.5</v>
      </c>
    </row>
    <row r="2458" spans="1:9" x14ac:dyDescent="0.35">
      <c r="A2458">
        <v>2457</v>
      </c>
      <c r="B2458" t="s">
        <v>11</v>
      </c>
      <c r="C2458" s="2">
        <v>44341</v>
      </c>
      <c r="D2458">
        <f>YEAR(ProductLine[[#This Row],[Date]])</f>
        <v>2021</v>
      </c>
      <c r="E2458">
        <f>MONTH(ProductLine[[#This Row],[Date]])</f>
        <v>5</v>
      </c>
      <c r="F2458" t="s">
        <v>26</v>
      </c>
      <c r="G2458">
        <v>80</v>
      </c>
      <c r="H2458" s="3">
        <v>7.98</v>
      </c>
      <c r="I2458" s="3">
        <f>ProductLine[[#This Row],[Units]]*ProductLine[[#This Row],[Dollars]]</f>
        <v>638.40000000000009</v>
      </c>
    </row>
    <row r="2459" spans="1:9" x14ac:dyDescent="0.35">
      <c r="A2459">
        <v>2458</v>
      </c>
      <c r="B2459" t="s">
        <v>11</v>
      </c>
      <c r="C2459" s="2">
        <v>44303</v>
      </c>
      <c r="D2459">
        <f>YEAR(ProductLine[[#This Row],[Date]])</f>
        <v>2021</v>
      </c>
      <c r="E2459">
        <f>MONTH(ProductLine[[#This Row],[Date]])</f>
        <v>4</v>
      </c>
      <c r="F2459" t="s">
        <v>26</v>
      </c>
      <c r="G2459">
        <v>60</v>
      </c>
      <c r="H2459" s="3">
        <v>7.98</v>
      </c>
      <c r="I2459" s="3">
        <f>ProductLine[[#This Row],[Units]]*ProductLine[[#This Row],[Dollars]]</f>
        <v>478.8</v>
      </c>
    </row>
    <row r="2460" spans="1:9" x14ac:dyDescent="0.35">
      <c r="A2460">
        <v>2459</v>
      </c>
      <c r="B2460" t="s">
        <v>17</v>
      </c>
      <c r="C2460" s="2">
        <v>44332</v>
      </c>
      <c r="D2460">
        <f>YEAR(ProductLine[[#This Row],[Date]])</f>
        <v>2021</v>
      </c>
      <c r="E2460">
        <f>MONTH(ProductLine[[#This Row],[Date]])</f>
        <v>5</v>
      </c>
      <c r="F2460" t="s">
        <v>26</v>
      </c>
      <c r="G2460">
        <v>46</v>
      </c>
      <c r="H2460" s="3">
        <v>7.98</v>
      </c>
      <c r="I2460" s="3">
        <f>ProductLine[[#This Row],[Units]]*ProductLine[[#This Row],[Dollars]]</f>
        <v>367.08000000000004</v>
      </c>
    </row>
    <row r="2461" spans="1:9" x14ac:dyDescent="0.35">
      <c r="A2461">
        <v>2460</v>
      </c>
      <c r="B2461" t="s">
        <v>17</v>
      </c>
      <c r="C2461" s="2">
        <v>44306</v>
      </c>
      <c r="D2461">
        <f>YEAR(ProductLine[[#This Row],[Date]])</f>
        <v>2021</v>
      </c>
      <c r="E2461">
        <f>MONTH(ProductLine[[#This Row],[Date]])</f>
        <v>4</v>
      </c>
      <c r="F2461" t="s">
        <v>26</v>
      </c>
      <c r="G2461">
        <v>56</v>
      </c>
      <c r="H2461" s="3">
        <v>8.98</v>
      </c>
      <c r="I2461" s="3">
        <f>ProductLine[[#This Row],[Units]]*ProductLine[[#This Row],[Dollars]]</f>
        <v>502.88</v>
      </c>
    </row>
    <row r="2462" spans="1:9" x14ac:dyDescent="0.35">
      <c r="A2462">
        <v>2461</v>
      </c>
      <c r="B2462" t="s">
        <v>17</v>
      </c>
      <c r="C2462" s="2">
        <v>44342</v>
      </c>
      <c r="D2462">
        <f>YEAR(ProductLine[[#This Row],[Date]])</f>
        <v>2021</v>
      </c>
      <c r="E2462">
        <f>MONTH(ProductLine[[#This Row],[Date]])</f>
        <v>5</v>
      </c>
      <c r="F2462" t="s">
        <v>26</v>
      </c>
      <c r="G2462">
        <v>29</v>
      </c>
      <c r="H2462" s="3">
        <v>9.98</v>
      </c>
      <c r="I2462" s="3">
        <f>ProductLine[[#This Row],[Units]]*ProductLine[[#This Row],[Dollars]]</f>
        <v>289.42</v>
      </c>
    </row>
    <row r="2463" spans="1:9" x14ac:dyDescent="0.35">
      <c r="A2463">
        <v>2462</v>
      </c>
      <c r="B2463" t="s">
        <v>17</v>
      </c>
      <c r="C2463" s="2">
        <v>44370</v>
      </c>
      <c r="D2463">
        <f>YEAR(ProductLine[[#This Row],[Date]])</f>
        <v>2021</v>
      </c>
      <c r="E2463">
        <f>MONTH(ProductLine[[#This Row],[Date]])</f>
        <v>6</v>
      </c>
      <c r="F2463" t="s">
        <v>26</v>
      </c>
      <c r="G2463">
        <v>34</v>
      </c>
      <c r="H2463" s="3">
        <v>10.98</v>
      </c>
      <c r="I2463" s="3">
        <f>ProductLine[[#This Row],[Units]]*ProductLine[[#This Row],[Dollars]]</f>
        <v>373.32</v>
      </c>
    </row>
    <row r="2464" spans="1:9" x14ac:dyDescent="0.35">
      <c r="A2464">
        <v>2463</v>
      </c>
      <c r="B2464" t="s">
        <v>17</v>
      </c>
      <c r="C2464" s="2">
        <v>44354</v>
      </c>
      <c r="D2464">
        <f>YEAR(ProductLine[[#This Row],[Date]])</f>
        <v>2021</v>
      </c>
      <c r="E2464">
        <f>MONTH(ProductLine[[#This Row],[Date]])</f>
        <v>6</v>
      </c>
      <c r="F2464" t="s">
        <v>26</v>
      </c>
      <c r="G2464">
        <v>58</v>
      </c>
      <c r="H2464" s="3">
        <v>7.98</v>
      </c>
      <c r="I2464" s="3">
        <f>ProductLine[[#This Row],[Units]]*ProductLine[[#This Row],[Dollars]]</f>
        <v>462.84000000000003</v>
      </c>
    </row>
    <row r="2465" spans="1:9" x14ac:dyDescent="0.35">
      <c r="A2465">
        <v>2464</v>
      </c>
      <c r="B2465" t="s">
        <v>17</v>
      </c>
      <c r="C2465" s="2">
        <v>44304</v>
      </c>
      <c r="D2465">
        <f>YEAR(ProductLine[[#This Row],[Date]])</f>
        <v>2021</v>
      </c>
      <c r="E2465">
        <f>MONTH(ProductLine[[#This Row],[Date]])</f>
        <v>4</v>
      </c>
      <c r="F2465" t="s">
        <v>26</v>
      </c>
      <c r="G2465">
        <v>66</v>
      </c>
      <c r="H2465" s="3">
        <v>8.98</v>
      </c>
      <c r="I2465" s="3">
        <f>ProductLine[[#This Row],[Units]]*ProductLine[[#This Row],[Dollars]]</f>
        <v>592.68000000000006</v>
      </c>
    </row>
    <row r="2466" spans="1:9" x14ac:dyDescent="0.35">
      <c r="A2466">
        <v>2465</v>
      </c>
      <c r="B2466" t="s">
        <v>13</v>
      </c>
      <c r="C2466" s="2">
        <v>44313</v>
      </c>
      <c r="D2466">
        <f>YEAR(ProductLine[[#This Row],[Date]])</f>
        <v>2021</v>
      </c>
      <c r="E2466">
        <f>MONTH(ProductLine[[#This Row],[Date]])</f>
        <v>4</v>
      </c>
      <c r="F2466" t="s">
        <v>26</v>
      </c>
      <c r="G2466">
        <v>45</v>
      </c>
      <c r="H2466" s="3">
        <v>8.98</v>
      </c>
      <c r="I2466" s="3">
        <f>ProductLine[[#This Row],[Units]]*ProductLine[[#This Row],[Dollars]]</f>
        <v>404.1</v>
      </c>
    </row>
    <row r="2467" spans="1:9" x14ac:dyDescent="0.35">
      <c r="A2467">
        <v>2466</v>
      </c>
      <c r="B2467" t="s">
        <v>14</v>
      </c>
      <c r="C2467" s="2">
        <v>44301</v>
      </c>
      <c r="D2467">
        <f>YEAR(ProductLine[[#This Row],[Date]])</f>
        <v>2021</v>
      </c>
      <c r="E2467">
        <f>MONTH(ProductLine[[#This Row],[Date]])</f>
        <v>4</v>
      </c>
      <c r="F2467" t="s">
        <v>26</v>
      </c>
      <c r="G2467">
        <v>76</v>
      </c>
      <c r="H2467" s="3">
        <v>7.98</v>
      </c>
      <c r="I2467" s="3">
        <f>ProductLine[[#This Row],[Units]]*ProductLine[[#This Row],[Dollars]]</f>
        <v>606.48</v>
      </c>
    </row>
    <row r="2468" spans="1:9" x14ac:dyDescent="0.35">
      <c r="A2468">
        <v>2467</v>
      </c>
      <c r="B2468" t="s">
        <v>13</v>
      </c>
      <c r="C2468" s="2">
        <v>44303</v>
      </c>
      <c r="D2468">
        <f>YEAR(ProductLine[[#This Row],[Date]])</f>
        <v>2021</v>
      </c>
      <c r="E2468">
        <f>MONTH(ProductLine[[#This Row],[Date]])</f>
        <v>4</v>
      </c>
      <c r="F2468" t="s">
        <v>26</v>
      </c>
      <c r="G2468">
        <v>34</v>
      </c>
      <c r="H2468" s="3">
        <v>8.98</v>
      </c>
      <c r="I2468" s="3">
        <f>ProductLine[[#This Row],[Units]]*ProductLine[[#This Row],[Dollars]]</f>
        <v>305.32</v>
      </c>
    </row>
    <row r="2469" spans="1:9" x14ac:dyDescent="0.35">
      <c r="A2469">
        <v>2468</v>
      </c>
      <c r="B2469" t="s">
        <v>14</v>
      </c>
      <c r="C2469" s="2">
        <v>44345</v>
      </c>
      <c r="D2469">
        <f>YEAR(ProductLine[[#This Row],[Date]])</f>
        <v>2021</v>
      </c>
      <c r="E2469">
        <f>MONTH(ProductLine[[#This Row],[Date]])</f>
        <v>5</v>
      </c>
      <c r="F2469" t="s">
        <v>26</v>
      </c>
      <c r="G2469">
        <v>24</v>
      </c>
      <c r="H2469" s="3">
        <v>7.98</v>
      </c>
      <c r="I2469" s="3">
        <f>ProductLine[[#This Row],[Units]]*ProductLine[[#This Row],[Dollars]]</f>
        <v>191.52</v>
      </c>
    </row>
    <row r="2470" spans="1:9" x14ac:dyDescent="0.35">
      <c r="A2470">
        <v>2469</v>
      </c>
      <c r="B2470" t="s">
        <v>20</v>
      </c>
      <c r="C2470" s="2">
        <v>44312</v>
      </c>
      <c r="D2470">
        <f>YEAR(ProductLine[[#This Row],[Date]])</f>
        <v>2021</v>
      </c>
      <c r="E2470">
        <f>MONTH(ProductLine[[#This Row],[Date]])</f>
        <v>4</v>
      </c>
      <c r="F2470" t="s">
        <v>26</v>
      </c>
      <c r="G2470">
        <v>28</v>
      </c>
      <c r="H2470" s="3">
        <v>8.98</v>
      </c>
      <c r="I2470" s="3">
        <f>ProductLine[[#This Row],[Units]]*ProductLine[[#This Row],[Dollars]]</f>
        <v>251.44</v>
      </c>
    </row>
    <row r="2471" spans="1:9" x14ac:dyDescent="0.35">
      <c r="A2471">
        <v>2470</v>
      </c>
      <c r="B2471" t="s">
        <v>20</v>
      </c>
      <c r="C2471" s="2">
        <v>44298</v>
      </c>
      <c r="D2471">
        <f>YEAR(ProductLine[[#This Row],[Date]])</f>
        <v>2021</v>
      </c>
      <c r="E2471">
        <f>MONTH(ProductLine[[#This Row],[Date]])</f>
        <v>4</v>
      </c>
      <c r="F2471" t="s">
        <v>26</v>
      </c>
      <c r="G2471">
        <v>48</v>
      </c>
      <c r="H2471" s="3">
        <v>7.98</v>
      </c>
      <c r="I2471" s="3">
        <f>ProductLine[[#This Row],[Units]]*ProductLine[[#This Row],[Dollars]]</f>
        <v>383.04</v>
      </c>
    </row>
    <row r="2472" spans="1:9" x14ac:dyDescent="0.35">
      <c r="A2472">
        <v>2471</v>
      </c>
      <c r="B2472" t="s">
        <v>9</v>
      </c>
      <c r="C2472" s="2">
        <v>44307</v>
      </c>
      <c r="D2472">
        <f>YEAR(ProductLine[[#This Row],[Date]])</f>
        <v>2021</v>
      </c>
      <c r="E2472">
        <f>MONTH(ProductLine[[#This Row],[Date]])</f>
        <v>4</v>
      </c>
      <c r="F2472" t="s">
        <v>24</v>
      </c>
      <c r="G2472">
        <v>58</v>
      </c>
      <c r="H2472" s="3">
        <v>10.89</v>
      </c>
      <c r="I2472" s="3">
        <f>ProductLine[[#This Row],[Units]]*ProductLine[[#This Row],[Dollars]]</f>
        <v>631.62</v>
      </c>
    </row>
    <row r="2473" spans="1:9" x14ac:dyDescent="0.35">
      <c r="A2473">
        <v>2472</v>
      </c>
      <c r="B2473" t="s">
        <v>9</v>
      </c>
      <c r="C2473" s="2">
        <v>44332</v>
      </c>
      <c r="D2473">
        <f>YEAR(ProductLine[[#This Row],[Date]])</f>
        <v>2021</v>
      </c>
      <c r="E2473">
        <f>MONTH(ProductLine[[#This Row],[Date]])</f>
        <v>5</v>
      </c>
      <c r="F2473" t="s">
        <v>24</v>
      </c>
      <c r="G2473">
        <v>48</v>
      </c>
      <c r="H2473" s="3">
        <v>13.98</v>
      </c>
      <c r="I2473" s="3">
        <f>ProductLine[[#This Row],[Units]]*ProductLine[[#This Row],[Dollars]]</f>
        <v>671.04</v>
      </c>
    </row>
    <row r="2474" spans="1:9" x14ac:dyDescent="0.35">
      <c r="A2474">
        <v>2473</v>
      </c>
      <c r="B2474" t="s">
        <v>9</v>
      </c>
      <c r="C2474" s="2">
        <v>44317</v>
      </c>
      <c r="D2474">
        <f>YEAR(ProductLine[[#This Row],[Date]])</f>
        <v>2021</v>
      </c>
      <c r="E2474">
        <f>MONTH(ProductLine[[#This Row],[Date]])</f>
        <v>5</v>
      </c>
      <c r="F2474" t="s">
        <v>24</v>
      </c>
      <c r="G2474">
        <v>29</v>
      </c>
      <c r="H2474" s="3">
        <v>9.9700000000000006</v>
      </c>
      <c r="I2474" s="3">
        <f>ProductLine[[#This Row],[Units]]*ProductLine[[#This Row],[Dollars]]</f>
        <v>289.13</v>
      </c>
    </row>
    <row r="2475" spans="1:9" x14ac:dyDescent="0.35">
      <c r="A2475">
        <v>2474</v>
      </c>
      <c r="B2475" t="s">
        <v>9</v>
      </c>
      <c r="C2475" s="2">
        <v>44354</v>
      </c>
      <c r="D2475">
        <f>YEAR(ProductLine[[#This Row],[Date]])</f>
        <v>2021</v>
      </c>
      <c r="E2475">
        <f>MONTH(ProductLine[[#This Row],[Date]])</f>
        <v>6</v>
      </c>
      <c r="F2475" t="s">
        <v>24</v>
      </c>
      <c r="G2475">
        <v>60</v>
      </c>
      <c r="H2475" s="3">
        <v>13.98</v>
      </c>
      <c r="I2475" s="3">
        <f>ProductLine[[#This Row],[Units]]*ProductLine[[#This Row],[Dollars]]</f>
        <v>838.80000000000007</v>
      </c>
    </row>
    <row r="2476" spans="1:9" x14ac:dyDescent="0.35">
      <c r="A2476">
        <v>2475</v>
      </c>
      <c r="B2476" t="s">
        <v>13</v>
      </c>
      <c r="C2476" s="2">
        <v>44294</v>
      </c>
      <c r="D2476">
        <f>YEAR(ProductLine[[#This Row],[Date]])</f>
        <v>2021</v>
      </c>
      <c r="E2476">
        <f>MONTH(ProductLine[[#This Row],[Date]])</f>
        <v>4</v>
      </c>
      <c r="F2476" t="s">
        <v>24</v>
      </c>
      <c r="G2476">
        <v>45</v>
      </c>
      <c r="H2476" s="3">
        <v>13.98</v>
      </c>
      <c r="I2476" s="3">
        <f>ProductLine[[#This Row],[Units]]*ProductLine[[#This Row],[Dollars]]</f>
        <v>629.1</v>
      </c>
    </row>
    <row r="2477" spans="1:9" x14ac:dyDescent="0.35">
      <c r="A2477">
        <v>2476</v>
      </c>
      <c r="B2477" t="s">
        <v>13</v>
      </c>
      <c r="C2477" s="2">
        <v>44292</v>
      </c>
      <c r="D2477">
        <f>YEAR(ProductLine[[#This Row],[Date]])</f>
        <v>2021</v>
      </c>
      <c r="E2477">
        <f>MONTH(ProductLine[[#This Row],[Date]])</f>
        <v>4</v>
      </c>
      <c r="F2477" t="s">
        <v>24</v>
      </c>
      <c r="G2477">
        <v>39</v>
      </c>
      <c r="H2477" s="3">
        <v>9.9700000000000006</v>
      </c>
      <c r="I2477" s="3">
        <f>ProductLine[[#This Row],[Units]]*ProductLine[[#This Row],[Dollars]]</f>
        <v>388.83000000000004</v>
      </c>
    </row>
    <row r="2478" spans="1:9" x14ac:dyDescent="0.35">
      <c r="A2478">
        <v>2477</v>
      </c>
      <c r="B2478" t="s">
        <v>13</v>
      </c>
      <c r="C2478" s="2">
        <v>44322</v>
      </c>
      <c r="D2478">
        <f>YEAR(ProductLine[[#This Row],[Date]])</f>
        <v>2021</v>
      </c>
      <c r="E2478">
        <f>MONTH(ProductLine[[#This Row],[Date]])</f>
        <v>5</v>
      </c>
      <c r="F2478" t="s">
        <v>24</v>
      </c>
      <c r="G2478">
        <v>65</v>
      </c>
      <c r="H2478" s="3">
        <v>10.89</v>
      </c>
      <c r="I2478" s="3">
        <f>ProductLine[[#This Row],[Units]]*ProductLine[[#This Row],[Dollars]]</f>
        <v>707.85</v>
      </c>
    </row>
    <row r="2479" spans="1:9" x14ac:dyDescent="0.35">
      <c r="A2479">
        <v>2478</v>
      </c>
      <c r="B2479" t="s">
        <v>13</v>
      </c>
      <c r="C2479" s="2">
        <v>44326</v>
      </c>
      <c r="D2479">
        <f>YEAR(ProductLine[[#This Row],[Date]])</f>
        <v>2021</v>
      </c>
      <c r="E2479">
        <f>MONTH(ProductLine[[#This Row],[Date]])</f>
        <v>5</v>
      </c>
      <c r="F2479" t="s">
        <v>24</v>
      </c>
      <c r="G2479">
        <v>69</v>
      </c>
      <c r="H2479" s="3">
        <v>9.9700000000000006</v>
      </c>
      <c r="I2479" s="3">
        <f>ProductLine[[#This Row],[Units]]*ProductLine[[#This Row],[Dollars]]</f>
        <v>687.93000000000006</v>
      </c>
    </row>
    <row r="2480" spans="1:9" x14ac:dyDescent="0.35">
      <c r="A2480">
        <v>2479</v>
      </c>
      <c r="B2480" t="s">
        <v>13</v>
      </c>
      <c r="C2480" s="2">
        <v>44367</v>
      </c>
      <c r="D2480">
        <f>YEAR(ProductLine[[#This Row],[Date]])</f>
        <v>2021</v>
      </c>
      <c r="E2480">
        <f>MONTH(ProductLine[[#This Row],[Date]])</f>
        <v>6</v>
      </c>
      <c r="F2480" t="s">
        <v>24</v>
      </c>
      <c r="G2480">
        <v>39</v>
      </c>
      <c r="H2480" s="3">
        <v>13.98</v>
      </c>
      <c r="I2480" s="3">
        <f>ProductLine[[#This Row],[Units]]*ProductLine[[#This Row],[Dollars]]</f>
        <v>545.22</v>
      </c>
    </row>
    <row r="2481" spans="1:9" x14ac:dyDescent="0.35">
      <c r="A2481">
        <v>2480</v>
      </c>
      <c r="B2481" t="s">
        <v>19</v>
      </c>
      <c r="C2481" s="2">
        <v>44295</v>
      </c>
      <c r="D2481">
        <f>YEAR(ProductLine[[#This Row],[Date]])</f>
        <v>2021</v>
      </c>
      <c r="E2481">
        <f>MONTH(ProductLine[[#This Row],[Date]])</f>
        <v>4</v>
      </c>
      <c r="F2481" t="s">
        <v>24</v>
      </c>
      <c r="G2481">
        <v>40</v>
      </c>
      <c r="H2481" s="3">
        <v>10.89</v>
      </c>
      <c r="I2481" s="3">
        <f>ProductLine[[#This Row],[Units]]*ProductLine[[#This Row],[Dollars]]</f>
        <v>435.6</v>
      </c>
    </row>
    <row r="2482" spans="1:9" x14ac:dyDescent="0.35">
      <c r="A2482">
        <v>2481</v>
      </c>
      <c r="B2482" t="s">
        <v>19</v>
      </c>
      <c r="C2482" s="2">
        <v>44326</v>
      </c>
      <c r="D2482">
        <f>YEAR(ProductLine[[#This Row],[Date]])</f>
        <v>2021</v>
      </c>
      <c r="E2482">
        <f>MONTH(ProductLine[[#This Row],[Date]])</f>
        <v>5</v>
      </c>
      <c r="F2482" t="s">
        <v>24</v>
      </c>
      <c r="G2482">
        <v>56</v>
      </c>
      <c r="H2482" s="3">
        <v>13.98</v>
      </c>
      <c r="I2482" s="3">
        <f>ProductLine[[#This Row],[Units]]*ProductLine[[#This Row],[Dollars]]</f>
        <v>782.88</v>
      </c>
    </row>
    <row r="2483" spans="1:9" x14ac:dyDescent="0.35">
      <c r="A2483">
        <v>2482</v>
      </c>
      <c r="B2483" t="s">
        <v>19</v>
      </c>
      <c r="C2483" s="2">
        <v>44334</v>
      </c>
      <c r="D2483">
        <f>YEAR(ProductLine[[#This Row],[Date]])</f>
        <v>2021</v>
      </c>
      <c r="E2483">
        <f>MONTH(ProductLine[[#This Row],[Date]])</f>
        <v>5</v>
      </c>
      <c r="F2483" t="s">
        <v>24</v>
      </c>
      <c r="G2483">
        <v>68</v>
      </c>
      <c r="H2483" s="3">
        <v>10.89</v>
      </c>
      <c r="I2483" s="3">
        <f>ProductLine[[#This Row],[Units]]*ProductLine[[#This Row],[Dollars]]</f>
        <v>740.52</v>
      </c>
    </row>
    <row r="2484" spans="1:9" x14ac:dyDescent="0.35">
      <c r="A2484">
        <v>2483</v>
      </c>
      <c r="B2484" t="s">
        <v>19</v>
      </c>
      <c r="C2484" s="2">
        <v>44366</v>
      </c>
      <c r="D2484">
        <f>YEAR(ProductLine[[#This Row],[Date]])</f>
        <v>2021</v>
      </c>
      <c r="E2484">
        <f>MONTH(ProductLine[[#This Row],[Date]])</f>
        <v>6</v>
      </c>
      <c r="F2484" t="s">
        <v>24</v>
      </c>
      <c r="G2484">
        <v>70</v>
      </c>
      <c r="H2484" s="3">
        <v>10.89</v>
      </c>
      <c r="I2484" s="3">
        <f>ProductLine[[#This Row],[Units]]*ProductLine[[#This Row],[Dollars]]</f>
        <v>762.30000000000007</v>
      </c>
    </row>
    <row r="2485" spans="1:9" x14ac:dyDescent="0.35">
      <c r="A2485">
        <v>2484</v>
      </c>
      <c r="B2485" t="s">
        <v>18</v>
      </c>
      <c r="C2485" s="2">
        <v>44318</v>
      </c>
      <c r="D2485">
        <f>YEAR(ProductLine[[#This Row],[Date]])</f>
        <v>2021</v>
      </c>
      <c r="E2485">
        <f>MONTH(ProductLine[[#This Row],[Date]])</f>
        <v>5</v>
      </c>
      <c r="F2485" t="s">
        <v>24</v>
      </c>
      <c r="G2485">
        <v>80</v>
      </c>
      <c r="H2485" s="3">
        <v>10.89</v>
      </c>
      <c r="I2485" s="3">
        <f>ProductLine[[#This Row],[Units]]*ProductLine[[#This Row],[Dollars]]</f>
        <v>871.2</v>
      </c>
    </row>
    <row r="2486" spans="1:9" x14ac:dyDescent="0.35">
      <c r="A2486">
        <v>2485</v>
      </c>
      <c r="B2486" t="s">
        <v>18</v>
      </c>
      <c r="C2486" s="2">
        <v>44340</v>
      </c>
      <c r="D2486">
        <f>YEAR(ProductLine[[#This Row],[Date]])</f>
        <v>2021</v>
      </c>
      <c r="E2486">
        <f>MONTH(ProductLine[[#This Row],[Date]])</f>
        <v>5</v>
      </c>
      <c r="F2486" t="s">
        <v>24</v>
      </c>
      <c r="G2486">
        <v>53</v>
      </c>
      <c r="H2486" s="3">
        <v>10.89</v>
      </c>
      <c r="I2486" s="3">
        <f>ProductLine[[#This Row],[Units]]*ProductLine[[#This Row],[Dollars]]</f>
        <v>577.17000000000007</v>
      </c>
    </row>
    <row r="2487" spans="1:9" x14ac:dyDescent="0.35">
      <c r="A2487">
        <v>2486</v>
      </c>
      <c r="B2487" t="s">
        <v>19</v>
      </c>
      <c r="C2487" s="2">
        <v>44304</v>
      </c>
      <c r="D2487">
        <f>YEAR(ProductLine[[#This Row],[Date]])</f>
        <v>2021</v>
      </c>
      <c r="E2487">
        <f>MONTH(ProductLine[[#This Row],[Date]])</f>
        <v>4</v>
      </c>
      <c r="F2487" t="s">
        <v>23</v>
      </c>
      <c r="G2487">
        <v>63</v>
      </c>
      <c r="H2487" s="3">
        <v>5.47</v>
      </c>
      <c r="I2487" s="3">
        <f>ProductLine[[#This Row],[Units]]*ProductLine[[#This Row],[Dollars]]</f>
        <v>344.60999999999996</v>
      </c>
    </row>
    <row r="2488" spans="1:9" x14ac:dyDescent="0.35">
      <c r="A2488">
        <v>2487</v>
      </c>
      <c r="B2488" t="s">
        <v>19</v>
      </c>
      <c r="C2488" s="2">
        <v>44302</v>
      </c>
      <c r="D2488">
        <f>YEAR(ProductLine[[#This Row],[Date]])</f>
        <v>2021</v>
      </c>
      <c r="E2488">
        <f>MONTH(ProductLine[[#This Row],[Date]])</f>
        <v>4</v>
      </c>
      <c r="F2488" t="s">
        <v>23</v>
      </c>
      <c r="G2488">
        <v>76</v>
      </c>
      <c r="H2488" s="3">
        <v>8.4600000000000009</v>
      </c>
      <c r="I2488" s="3">
        <f>ProductLine[[#This Row],[Units]]*ProductLine[[#This Row],[Dollars]]</f>
        <v>642.96</v>
      </c>
    </row>
    <row r="2489" spans="1:9" x14ac:dyDescent="0.35">
      <c r="A2489">
        <v>2488</v>
      </c>
      <c r="B2489" t="s">
        <v>19</v>
      </c>
      <c r="C2489" s="2">
        <v>44336</v>
      </c>
      <c r="D2489">
        <f>YEAR(ProductLine[[#This Row],[Date]])</f>
        <v>2021</v>
      </c>
      <c r="E2489">
        <f>MONTH(ProductLine[[#This Row],[Date]])</f>
        <v>5</v>
      </c>
      <c r="F2489" t="s">
        <v>23</v>
      </c>
      <c r="G2489">
        <v>36</v>
      </c>
      <c r="H2489" s="3">
        <v>5.47</v>
      </c>
      <c r="I2489" s="3">
        <f>ProductLine[[#This Row],[Units]]*ProductLine[[#This Row],[Dollars]]</f>
        <v>196.92</v>
      </c>
    </row>
    <row r="2490" spans="1:9" x14ac:dyDescent="0.35">
      <c r="A2490">
        <v>2489</v>
      </c>
      <c r="B2490" t="s">
        <v>19</v>
      </c>
      <c r="C2490" s="2">
        <v>44338</v>
      </c>
      <c r="D2490">
        <f>YEAR(ProductLine[[#This Row],[Date]])</f>
        <v>2021</v>
      </c>
      <c r="E2490">
        <f>MONTH(ProductLine[[#This Row],[Date]])</f>
        <v>5</v>
      </c>
      <c r="F2490" t="s">
        <v>23</v>
      </c>
      <c r="G2490">
        <v>42</v>
      </c>
      <c r="H2490" s="3">
        <v>8.4600000000000009</v>
      </c>
      <c r="I2490" s="3">
        <f>ProductLine[[#This Row],[Units]]*ProductLine[[#This Row],[Dollars]]</f>
        <v>355.32000000000005</v>
      </c>
    </row>
    <row r="2491" spans="1:9" x14ac:dyDescent="0.35">
      <c r="A2491">
        <v>2490</v>
      </c>
      <c r="B2491" t="s">
        <v>19</v>
      </c>
      <c r="C2491" s="2">
        <v>44364</v>
      </c>
      <c r="D2491">
        <f>YEAR(ProductLine[[#This Row],[Date]])</f>
        <v>2021</v>
      </c>
      <c r="E2491">
        <f>MONTH(ProductLine[[#This Row],[Date]])</f>
        <v>6</v>
      </c>
      <c r="F2491" t="s">
        <v>23</v>
      </c>
      <c r="G2491">
        <v>27</v>
      </c>
      <c r="H2491" s="3">
        <v>8.4600000000000009</v>
      </c>
      <c r="I2491" s="3">
        <f>ProductLine[[#This Row],[Units]]*ProductLine[[#This Row],[Dollars]]</f>
        <v>228.42000000000002</v>
      </c>
    </row>
    <row r="2492" spans="1:9" x14ac:dyDescent="0.35">
      <c r="A2492">
        <v>2491</v>
      </c>
      <c r="B2492" t="s">
        <v>18</v>
      </c>
      <c r="C2492" s="2">
        <v>44366</v>
      </c>
      <c r="D2492">
        <f>YEAR(ProductLine[[#This Row],[Date]])</f>
        <v>2021</v>
      </c>
      <c r="E2492">
        <f>MONTH(ProductLine[[#This Row],[Date]])</f>
        <v>6</v>
      </c>
      <c r="F2492" t="s">
        <v>23</v>
      </c>
      <c r="G2492">
        <v>30</v>
      </c>
      <c r="H2492" s="3">
        <v>5.47</v>
      </c>
      <c r="I2492" s="3">
        <f>ProductLine[[#This Row],[Units]]*ProductLine[[#This Row],[Dollars]]</f>
        <v>164.1</v>
      </c>
    </row>
    <row r="2493" spans="1:9" x14ac:dyDescent="0.35">
      <c r="A2493">
        <v>2492</v>
      </c>
      <c r="B2493" t="s">
        <v>18</v>
      </c>
      <c r="C2493" s="2">
        <v>44375</v>
      </c>
      <c r="D2493">
        <f>YEAR(ProductLine[[#This Row],[Date]])</f>
        <v>2021</v>
      </c>
      <c r="E2493">
        <f>MONTH(ProductLine[[#This Row],[Date]])</f>
        <v>6</v>
      </c>
      <c r="F2493" t="s">
        <v>23</v>
      </c>
      <c r="G2493">
        <v>56</v>
      </c>
      <c r="H2493" s="3">
        <v>5.47</v>
      </c>
      <c r="I2493" s="3">
        <f>ProductLine[[#This Row],[Units]]*ProductLine[[#This Row],[Dollars]]</f>
        <v>306.32</v>
      </c>
    </row>
    <row r="2494" spans="1:9" x14ac:dyDescent="0.35">
      <c r="A2494">
        <v>2493</v>
      </c>
      <c r="B2494" t="s">
        <v>18</v>
      </c>
      <c r="C2494" s="2">
        <v>44363</v>
      </c>
      <c r="D2494">
        <f>YEAR(ProductLine[[#This Row],[Date]])</f>
        <v>2021</v>
      </c>
      <c r="E2494">
        <f>MONTH(ProductLine[[#This Row],[Date]])</f>
        <v>6</v>
      </c>
      <c r="F2494" t="s">
        <v>23</v>
      </c>
      <c r="G2494">
        <v>42</v>
      </c>
      <c r="H2494" s="3">
        <v>8.4600000000000009</v>
      </c>
      <c r="I2494" s="3">
        <f>ProductLine[[#This Row],[Units]]*ProductLine[[#This Row],[Dollars]]</f>
        <v>355.32000000000005</v>
      </c>
    </row>
    <row r="2495" spans="1:9" x14ac:dyDescent="0.35">
      <c r="A2495">
        <v>2494</v>
      </c>
      <c r="B2495" t="s">
        <v>11</v>
      </c>
      <c r="C2495" s="2">
        <v>44301</v>
      </c>
      <c r="D2495">
        <f>YEAR(ProductLine[[#This Row],[Date]])</f>
        <v>2021</v>
      </c>
      <c r="E2495">
        <f>MONTH(ProductLine[[#This Row],[Date]])</f>
        <v>4</v>
      </c>
      <c r="F2495" t="s">
        <v>25</v>
      </c>
      <c r="G2495">
        <v>40</v>
      </c>
      <c r="H2495" s="3">
        <v>8.89</v>
      </c>
      <c r="I2495" s="3">
        <f>ProductLine[[#This Row],[Units]]*ProductLine[[#This Row],[Dollars]]</f>
        <v>355.6</v>
      </c>
    </row>
    <row r="2496" spans="1:9" x14ac:dyDescent="0.35">
      <c r="A2496">
        <v>2495</v>
      </c>
      <c r="B2496" t="s">
        <v>11</v>
      </c>
      <c r="C2496" s="2">
        <v>44305</v>
      </c>
      <c r="D2496">
        <f>YEAR(ProductLine[[#This Row],[Date]])</f>
        <v>2021</v>
      </c>
      <c r="E2496">
        <f>MONTH(ProductLine[[#This Row],[Date]])</f>
        <v>4</v>
      </c>
      <c r="F2496" t="s">
        <v>25</v>
      </c>
      <c r="G2496">
        <v>58</v>
      </c>
      <c r="H2496" s="3">
        <v>8.89</v>
      </c>
      <c r="I2496" s="3">
        <f>ProductLine[[#This Row],[Units]]*ProductLine[[#This Row],[Dollars]]</f>
        <v>515.62</v>
      </c>
    </row>
    <row r="2497" spans="1:9" x14ac:dyDescent="0.35">
      <c r="A2497">
        <v>2496</v>
      </c>
      <c r="B2497" t="s">
        <v>11</v>
      </c>
      <c r="C2497" s="2">
        <v>44332</v>
      </c>
      <c r="D2497">
        <f>YEAR(ProductLine[[#This Row],[Date]])</f>
        <v>2021</v>
      </c>
      <c r="E2497">
        <f>MONTH(ProductLine[[#This Row],[Date]])</f>
        <v>5</v>
      </c>
      <c r="F2497" t="s">
        <v>25</v>
      </c>
      <c r="G2497">
        <v>35</v>
      </c>
      <c r="H2497" s="3">
        <v>6.99</v>
      </c>
      <c r="I2497" s="3">
        <f>ProductLine[[#This Row],[Units]]*ProductLine[[#This Row],[Dollars]]</f>
        <v>244.65</v>
      </c>
    </row>
    <row r="2498" spans="1:9" x14ac:dyDescent="0.35">
      <c r="A2498">
        <v>2497</v>
      </c>
      <c r="B2498" t="s">
        <v>11</v>
      </c>
      <c r="C2498" s="2">
        <v>44326</v>
      </c>
      <c r="D2498">
        <f>YEAR(ProductLine[[#This Row],[Date]])</f>
        <v>2021</v>
      </c>
      <c r="E2498">
        <f>MONTH(ProductLine[[#This Row],[Date]])</f>
        <v>5</v>
      </c>
      <c r="F2498" t="s">
        <v>25</v>
      </c>
      <c r="G2498">
        <v>40</v>
      </c>
      <c r="H2498" s="3">
        <v>6.99</v>
      </c>
      <c r="I2498" s="3">
        <f>ProductLine[[#This Row],[Units]]*ProductLine[[#This Row],[Dollars]]</f>
        <v>279.60000000000002</v>
      </c>
    </row>
    <row r="2499" spans="1:9" x14ac:dyDescent="0.35">
      <c r="A2499">
        <v>2498</v>
      </c>
      <c r="B2499" t="s">
        <v>9</v>
      </c>
      <c r="C2499" s="2">
        <v>44302</v>
      </c>
      <c r="D2499">
        <f>YEAR(ProductLine[[#This Row],[Date]])</f>
        <v>2021</v>
      </c>
      <c r="E2499">
        <f>MONTH(ProductLine[[#This Row],[Date]])</f>
        <v>4</v>
      </c>
      <c r="F2499" t="s">
        <v>25</v>
      </c>
      <c r="G2499">
        <v>54</v>
      </c>
      <c r="H2499" s="3">
        <v>10.97</v>
      </c>
      <c r="I2499" s="3">
        <f>ProductLine[[#This Row],[Units]]*ProductLine[[#This Row],[Dollars]]</f>
        <v>592.38</v>
      </c>
    </row>
    <row r="2500" spans="1:9" x14ac:dyDescent="0.35">
      <c r="A2500">
        <v>2499</v>
      </c>
      <c r="B2500" t="s">
        <v>9</v>
      </c>
      <c r="C2500" s="2">
        <v>44335</v>
      </c>
      <c r="D2500">
        <f>YEAR(ProductLine[[#This Row],[Date]])</f>
        <v>2021</v>
      </c>
      <c r="E2500">
        <f>MONTH(ProductLine[[#This Row],[Date]])</f>
        <v>5</v>
      </c>
      <c r="F2500" t="s">
        <v>25</v>
      </c>
      <c r="G2500">
        <v>56</v>
      </c>
      <c r="H2500" s="3">
        <v>10.97</v>
      </c>
      <c r="I2500" s="3">
        <f>ProductLine[[#This Row],[Units]]*ProductLine[[#This Row],[Dollars]]</f>
        <v>614.32000000000005</v>
      </c>
    </row>
    <row r="2501" spans="1:9" x14ac:dyDescent="0.35">
      <c r="A2501">
        <v>2500</v>
      </c>
      <c r="B2501" t="s">
        <v>9</v>
      </c>
      <c r="C2501" s="2">
        <v>44336</v>
      </c>
      <c r="D2501">
        <f>YEAR(ProductLine[[#This Row],[Date]])</f>
        <v>2021</v>
      </c>
      <c r="E2501">
        <f>MONTH(ProductLine[[#This Row],[Date]])</f>
        <v>5</v>
      </c>
      <c r="F2501" t="s">
        <v>25</v>
      </c>
      <c r="G2501">
        <v>37</v>
      </c>
      <c r="H2501" s="3">
        <v>6.99</v>
      </c>
      <c r="I2501" s="3">
        <f>ProductLine[[#This Row],[Units]]*ProductLine[[#This Row],[Dollars]]</f>
        <v>258.63</v>
      </c>
    </row>
    <row r="2502" spans="1:9" x14ac:dyDescent="0.35">
      <c r="A2502">
        <v>2501</v>
      </c>
      <c r="B2502" t="s">
        <v>9</v>
      </c>
      <c r="C2502" s="2">
        <v>44364</v>
      </c>
      <c r="D2502">
        <f>YEAR(ProductLine[[#This Row],[Date]])</f>
        <v>2021</v>
      </c>
      <c r="E2502">
        <f>MONTH(ProductLine[[#This Row],[Date]])</f>
        <v>6</v>
      </c>
      <c r="F2502" t="s">
        <v>25</v>
      </c>
      <c r="G2502">
        <v>49</v>
      </c>
      <c r="H2502" s="3">
        <v>8.89</v>
      </c>
      <c r="I2502" s="3">
        <f>ProductLine[[#This Row],[Units]]*ProductLine[[#This Row],[Dollars]]</f>
        <v>435.61</v>
      </c>
    </row>
    <row r="2503" spans="1:9" x14ac:dyDescent="0.35">
      <c r="A2503">
        <v>2502</v>
      </c>
      <c r="B2503" t="s">
        <v>9</v>
      </c>
      <c r="C2503" s="2">
        <v>44364</v>
      </c>
      <c r="D2503">
        <f>YEAR(ProductLine[[#This Row],[Date]])</f>
        <v>2021</v>
      </c>
      <c r="E2503">
        <f>MONTH(ProductLine[[#This Row],[Date]])</f>
        <v>6</v>
      </c>
      <c r="F2503" t="s">
        <v>25</v>
      </c>
      <c r="G2503">
        <v>31</v>
      </c>
      <c r="H2503" s="3">
        <v>6.99</v>
      </c>
      <c r="I2503" s="3">
        <f>ProductLine[[#This Row],[Units]]*ProductLine[[#This Row],[Dollars]]</f>
        <v>216.69</v>
      </c>
    </row>
    <row r="2504" spans="1:9" x14ac:dyDescent="0.35">
      <c r="A2504">
        <v>2503</v>
      </c>
      <c r="B2504" t="s">
        <v>17</v>
      </c>
      <c r="C2504" s="2">
        <v>44295</v>
      </c>
      <c r="D2504">
        <f>YEAR(ProductLine[[#This Row],[Date]])</f>
        <v>2021</v>
      </c>
      <c r="E2504">
        <f>MONTH(ProductLine[[#This Row],[Date]])</f>
        <v>4</v>
      </c>
      <c r="F2504" t="s">
        <v>25</v>
      </c>
      <c r="G2504">
        <v>29</v>
      </c>
      <c r="H2504" s="3">
        <v>6.99</v>
      </c>
      <c r="I2504" s="3">
        <f>ProductLine[[#This Row],[Units]]*ProductLine[[#This Row],[Dollars]]</f>
        <v>202.71</v>
      </c>
    </row>
    <row r="2505" spans="1:9" x14ac:dyDescent="0.35">
      <c r="A2505">
        <v>2504</v>
      </c>
      <c r="B2505" t="s">
        <v>13</v>
      </c>
      <c r="C2505" s="2">
        <v>44305</v>
      </c>
      <c r="D2505">
        <f>YEAR(ProductLine[[#This Row],[Date]])</f>
        <v>2021</v>
      </c>
      <c r="E2505">
        <f>MONTH(ProductLine[[#This Row],[Date]])</f>
        <v>4</v>
      </c>
      <c r="F2505" t="s">
        <v>25</v>
      </c>
      <c r="G2505">
        <v>48</v>
      </c>
      <c r="H2505" s="3">
        <v>6.99</v>
      </c>
      <c r="I2505" s="3">
        <f>ProductLine[[#This Row],[Units]]*ProductLine[[#This Row],[Dollars]]</f>
        <v>335.52</v>
      </c>
    </row>
    <row r="2506" spans="1:9" x14ac:dyDescent="0.35">
      <c r="A2506">
        <v>2505</v>
      </c>
      <c r="B2506" t="s">
        <v>13</v>
      </c>
      <c r="C2506" s="2">
        <v>44333</v>
      </c>
      <c r="D2506">
        <f>YEAR(ProductLine[[#This Row],[Date]])</f>
        <v>2021</v>
      </c>
      <c r="E2506">
        <f>MONTH(ProductLine[[#This Row],[Date]])</f>
        <v>5</v>
      </c>
      <c r="F2506" t="s">
        <v>25</v>
      </c>
      <c r="G2506">
        <v>38</v>
      </c>
      <c r="H2506" s="3">
        <v>10.97</v>
      </c>
      <c r="I2506" s="3">
        <f>ProductLine[[#This Row],[Units]]*ProductLine[[#This Row],[Dollars]]</f>
        <v>416.86</v>
      </c>
    </row>
    <row r="2507" spans="1:9" x14ac:dyDescent="0.35">
      <c r="A2507">
        <v>2506</v>
      </c>
      <c r="B2507" t="s">
        <v>13</v>
      </c>
      <c r="C2507" s="2">
        <v>44337</v>
      </c>
      <c r="D2507">
        <f>YEAR(ProductLine[[#This Row],[Date]])</f>
        <v>2021</v>
      </c>
      <c r="E2507">
        <f>MONTH(ProductLine[[#This Row],[Date]])</f>
        <v>5</v>
      </c>
      <c r="F2507" t="s">
        <v>25</v>
      </c>
      <c r="G2507">
        <v>24</v>
      </c>
      <c r="H2507" s="3">
        <v>6.99</v>
      </c>
      <c r="I2507" s="3">
        <f>ProductLine[[#This Row],[Units]]*ProductLine[[#This Row],[Dollars]]</f>
        <v>167.76</v>
      </c>
    </row>
    <row r="2508" spans="1:9" x14ac:dyDescent="0.35">
      <c r="A2508">
        <v>2507</v>
      </c>
      <c r="B2508" t="s">
        <v>14</v>
      </c>
      <c r="C2508" s="2">
        <v>44335</v>
      </c>
      <c r="D2508">
        <f>YEAR(ProductLine[[#This Row],[Date]])</f>
        <v>2021</v>
      </c>
      <c r="E2508">
        <f>MONTH(ProductLine[[#This Row],[Date]])</f>
        <v>5</v>
      </c>
      <c r="F2508" t="s">
        <v>25</v>
      </c>
      <c r="G2508">
        <v>59</v>
      </c>
      <c r="H2508" s="3">
        <v>6.99</v>
      </c>
      <c r="I2508" s="3">
        <f>ProductLine[[#This Row],[Units]]*ProductLine[[#This Row],[Dollars]]</f>
        <v>412.41</v>
      </c>
    </row>
    <row r="2509" spans="1:9" x14ac:dyDescent="0.35">
      <c r="A2509">
        <v>2508</v>
      </c>
      <c r="B2509" t="s">
        <v>19</v>
      </c>
      <c r="C2509" s="2">
        <v>44363</v>
      </c>
      <c r="D2509">
        <f>YEAR(ProductLine[[#This Row],[Date]])</f>
        <v>2021</v>
      </c>
      <c r="E2509">
        <f>MONTH(ProductLine[[#This Row],[Date]])</f>
        <v>6</v>
      </c>
      <c r="F2509" t="s">
        <v>25</v>
      </c>
      <c r="G2509">
        <v>62</v>
      </c>
      <c r="H2509" s="3">
        <v>10.97</v>
      </c>
      <c r="I2509" s="3">
        <f>ProductLine[[#This Row],[Units]]*ProductLine[[#This Row],[Dollars]]</f>
        <v>680.14</v>
      </c>
    </row>
    <row r="2510" spans="1:9" x14ac:dyDescent="0.35">
      <c r="A2510">
        <v>2509</v>
      </c>
      <c r="B2510" t="s">
        <v>19</v>
      </c>
      <c r="C2510" s="2">
        <v>44348</v>
      </c>
      <c r="D2510">
        <f>YEAR(ProductLine[[#This Row],[Date]])</f>
        <v>2021</v>
      </c>
      <c r="E2510">
        <f>MONTH(ProductLine[[#This Row],[Date]])</f>
        <v>6</v>
      </c>
      <c r="F2510" t="s">
        <v>25</v>
      </c>
      <c r="G2510">
        <v>56</v>
      </c>
      <c r="H2510" s="3">
        <v>8.89</v>
      </c>
      <c r="I2510" s="3">
        <f>ProductLine[[#This Row],[Units]]*ProductLine[[#This Row],[Dollars]]</f>
        <v>497.84000000000003</v>
      </c>
    </row>
    <row r="2511" spans="1:9" x14ac:dyDescent="0.35">
      <c r="A2511">
        <v>2510</v>
      </c>
      <c r="B2511" t="s">
        <v>11</v>
      </c>
      <c r="C2511" s="2">
        <v>44357</v>
      </c>
      <c r="D2511">
        <f>YEAR(ProductLine[[#This Row],[Date]])</f>
        <v>2021</v>
      </c>
      <c r="E2511">
        <f>MONTH(ProductLine[[#This Row],[Date]])</f>
        <v>6</v>
      </c>
      <c r="F2511" t="s">
        <v>27</v>
      </c>
      <c r="G2511">
        <v>42</v>
      </c>
      <c r="H2511" s="3">
        <v>9.98</v>
      </c>
      <c r="I2511" s="3">
        <f>ProductLine[[#This Row],[Units]]*ProductLine[[#This Row],[Dollars]]</f>
        <v>419.16</v>
      </c>
    </row>
    <row r="2512" spans="1:9" x14ac:dyDescent="0.35">
      <c r="A2512">
        <v>2511</v>
      </c>
      <c r="B2512" t="s">
        <v>11</v>
      </c>
      <c r="C2512" s="2">
        <v>44363</v>
      </c>
      <c r="D2512">
        <f>YEAR(ProductLine[[#This Row],[Date]])</f>
        <v>2021</v>
      </c>
      <c r="E2512">
        <f>MONTH(ProductLine[[#This Row],[Date]])</f>
        <v>6</v>
      </c>
      <c r="F2512" t="s">
        <v>27</v>
      </c>
      <c r="G2512">
        <v>36</v>
      </c>
      <c r="H2512" s="3">
        <v>9.43</v>
      </c>
      <c r="I2512" s="3">
        <f>ProductLine[[#This Row],[Units]]*ProductLine[[#This Row],[Dollars]]</f>
        <v>339.48</v>
      </c>
    </row>
    <row r="2513" spans="1:9" x14ac:dyDescent="0.35">
      <c r="A2513">
        <v>2512</v>
      </c>
      <c r="B2513" t="s">
        <v>17</v>
      </c>
      <c r="C2513" s="2">
        <v>44307</v>
      </c>
      <c r="D2513">
        <f>YEAR(ProductLine[[#This Row],[Date]])</f>
        <v>2021</v>
      </c>
      <c r="E2513">
        <f>MONTH(ProductLine[[#This Row],[Date]])</f>
        <v>4</v>
      </c>
      <c r="F2513" t="s">
        <v>27</v>
      </c>
      <c r="G2513">
        <v>42</v>
      </c>
      <c r="H2513" s="3">
        <v>9.98</v>
      </c>
      <c r="I2513" s="3">
        <f>ProductLine[[#This Row],[Units]]*ProductLine[[#This Row],[Dollars]]</f>
        <v>419.16</v>
      </c>
    </row>
    <row r="2514" spans="1:9" x14ac:dyDescent="0.35">
      <c r="A2514">
        <v>2513</v>
      </c>
      <c r="B2514" t="s">
        <v>17</v>
      </c>
      <c r="C2514" s="2">
        <v>44308</v>
      </c>
      <c r="D2514">
        <f>YEAR(ProductLine[[#This Row],[Date]])</f>
        <v>2021</v>
      </c>
      <c r="E2514">
        <f>MONTH(ProductLine[[#This Row],[Date]])</f>
        <v>4</v>
      </c>
      <c r="F2514" t="s">
        <v>27</v>
      </c>
      <c r="G2514">
        <v>34</v>
      </c>
      <c r="H2514" s="3">
        <v>9.43</v>
      </c>
      <c r="I2514" s="3">
        <f>ProductLine[[#This Row],[Units]]*ProductLine[[#This Row],[Dollars]]</f>
        <v>320.62</v>
      </c>
    </row>
    <row r="2515" spans="1:9" x14ac:dyDescent="0.35">
      <c r="A2515">
        <v>2514</v>
      </c>
      <c r="B2515" t="s">
        <v>17</v>
      </c>
      <c r="C2515" s="2">
        <v>44334</v>
      </c>
      <c r="D2515">
        <f>YEAR(ProductLine[[#This Row],[Date]])</f>
        <v>2021</v>
      </c>
      <c r="E2515">
        <f>MONTH(ProductLine[[#This Row],[Date]])</f>
        <v>5</v>
      </c>
      <c r="F2515" t="s">
        <v>27</v>
      </c>
      <c r="G2515">
        <v>35</v>
      </c>
      <c r="H2515" s="3">
        <v>8.5500000000000007</v>
      </c>
      <c r="I2515" s="3">
        <f>ProductLine[[#This Row],[Units]]*ProductLine[[#This Row],[Dollars]]</f>
        <v>299.25</v>
      </c>
    </row>
    <row r="2516" spans="1:9" x14ac:dyDescent="0.35">
      <c r="A2516">
        <v>2515</v>
      </c>
      <c r="B2516" t="s">
        <v>17</v>
      </c>
      <c r="C2516" s="2">
        <v>44342</v>
      </c>
      <c r="D2516">
        <f>YEAR(ProductLine[[#This Row],[Date]])</f>
        <v>2021</v>
      </c>
      <c r="E2516">
        <f>MONTH(ProductLine[[#This Row],[Date]])</f>
        <v>5</v>
      </c>
      <c r="F2516" t="s">
        <v>27</v>
      </c>
      <c r="G2516">
        <v>27</v>
      </c>
      <c r="H2516" s="3">
        <v>9.43</v>
      </c>
      <c r="I2516" s="3">
        <f>ProductLine[[#This Row],[Units]]*ProductLine[[#This Row],[Dollars]]</f>
        <v>254.60999999999999</v>
      </c>
    </row>
    <row r="2517" spans="1:9" x14ac:dyDescent="0.35">
      <c r="A2517">
        <v>2516</v>
      </c>
      <c r="B2517" t="s">
        <v>13</v>
      </c>
      <c r="C2517" s="2">
        <v>44292</v>
      </c>
      <c r="D2517">
        <f>YEAR(ProductLine[[#This Row],[Date]])</f>
        <v>2021</v>
      </c>
      <c r="E2517">
        <f>MONTH(ProductLine[[#This Row],[Date]])</f>
        <v>4</v>
      </c>
      <c r="F2517" t="s">
        <v>27</v>
      </c>
      <c r="G2517">
        <v>20</v>
      </c>
      <c r="H2517" s="3">
        <v>9.43</v>
      </c>
      <c r="I2517" s="3">
        <f>ProductLine[[#This Row],[Units]]*ProductLine[[#This Row],[Dollars]]</f>
        <v>188.6</v>
      </c>
    </row>
    <row r="2518" spans="1:9" x14ac:dyDescent="0.35">
      <c r="A2518">
        <v>2517</v>
      </c>
      <c r="B2518" t="s">
        <v>13</v>
      </c>
      <c r="C2518" s="2">
        <v>44359</v>
      </c>
      <c r="D2518">
        <f>YEAR(ProductLine[[#This Row],[Date]])</f>
        <v>2021</v>
      </c>
      <c r="E2518">
        <f>MONTH(ProductLine[[#This Row],[Date]])</f>
        <v>6</v>
      </c>
      <c r="F2518" t="s">
        <v>27</v>
      </c>
      <c r="G2518">
        <v>34</v>
      </c>
      <c r="H2518" s="3">
        <v>9.98</v>
      </c>
      <c r="I2518" s="3">
        <f>ProductLine[[#This Row],[Units]]*ProductLine[[#This Row],[Dollars]]</f>
        <v>339.32</v>
      </c>
    </row>
    <row r="2519" spans="1:9" x14ac:dyDescent="0.35">
      <c r="A2519">
        <v>2518</v>
      </c>
      <c r="B2519" t="s">
        <v>14</v>
      </c>
      <c r="C2519" s="2">
        <v>44295</v>
      </c>
      <c r="D2519">
        <f>YEAR(ProductLine[[#This Row],[Date]])</f>
        <v>2021</v>
      </c>
      <c r="E2519">
        <f>MONTH(ProductLine[[#This Row],[Date]])</f>
        <v>4</v>
      </c>
      <c r="F2519" t="s">
        <v>27</v>
      </c>
      <c r="G2519">
        <v>30</v>
      </c>
      <c r="H2519" s="3">
        <v>8.5500000000000007</v>
      </c>
      <c r="I2519" s="3">
        <f>ProductLine[[#This Row],[Units]]*ProductLine[[#This Row],[Dollars]]</f>
        <v>256.5</v>
      </c>
    </row>
    <row r="2520" spans="1:9" x14ac:dyDescent="0.35">
      <c r="A2520">
        <v>2519</v>
      </c>
      <c r="B2520" t="s">
        <v>14</v>
      </c>
      <c r="C2520" s="2">
        <v>44301</v>
      </c>
      <c r="D2520">
        <f>YEAR(ProductLine[[#This Row],[Date]])</f>
        <v>2021</v>
      </c>
      <c r="E2520">
        <f>MONTH(ProductLine[[#This Row],[Date]])</f>
        <v>4</v>
      </c>
      <c r="F2520" t="s">
        <v>27</v>
      </c>
      <c r="G2520">
        <v>27</v>
      </c>
      <c r="H2520" s="3">
        <v>9.98</v>
      </c>
      <c r="I2520" s="3">
        <f>ProductLine[[#This Row],[Units]]*ProductLine[[#This Row],[Dollars]]</f>
        <v>269.46000000000004</v>
      </c>
    </row>
    <row r="2521" spans="1:9" x14ac:dyDescent="0.35">
      <c r="A2521">
        <v>2520</v>
      </c>
      <c r="B2521" t="s">
        <v>18</v>
      </c>
      <c r="C2521" s="2">
        <v>44296</v>
      </c>
      <c r="D2521">
        <f>YEAR(ProductLine[[#This Row],[Date]])</f>
        <v>2021</v>
      </c>
      <c r="E2521">
        <f>MONTH(ProductLine[[#This Row],[Date]])</f>
        <v>4</v>
      </c>
      <c r="F2521" t="s">
        <v>27</v>
      </c>
      <c r="G2521">
        <v>35</v>
      </c>
      <c r="H2521" s="3">
        <v>9.43</v>
      </c>
      <c r="I2521" s="3">
        <f>ProductLine[[#This Row],[Units]]*ProductLine[[#This Row],[Dollars]]</f>
        <v>330.05</v>
      </c>
    </row>
    <row r="2522" spans="1:9" x14ac:dyDescent="0.35">
      <c r="A2522">
        <v>2521</v>
      </c>
      <c r="B2522" t="s">
        <v>18</v>
      </c>
      <c r="C2522" s="2">
        <v>44297</v>
      </c>
      <c r="D2522">
        <f>YEAR(ProductLine[[#This Row],[Date]])</f>
        <v>2021</v>
      </c>
      <c r="E2522">
        <f>MONTH(ProductLine[[#This Row],[Date]])</f>
        <v>4</v>
      </c>
      <c r="F2522" t="s">
        <v>27</v>
      </c>
      <c r="G2522">
        <v>29</v>
      </c>
      <c r="H2522" s="3">
        <v>9.98</v>
      </c>
      <c r="I2522" s="3">
        <f>ProductLine[[#This Row],[Units]]*ProductLine[[#This Row],[Dollars]]</f>
        <v>289.42</v>
      </c>
    </row>
    <row r="2523" spans="1:9" x14ac:dyDescent="0.35">
      <c r="A2523">
        <v>2522</v>
      </c>
      <c r="B2523" t="s">
        <v>20</v>
      </c>
      <c r="C2523" s="2">
        <v>44301</v>
      </c>
      <c r="D2523">
        <f>YEAR(ProductLine[[#This Row],[Date]])</f>
        <v>2021</v>
      </c>
      <c r="E2523">
        <f>MONTH(ProductLine[[#This Row],[Date]])</f>
        <v>4</v>
      </c>
      <c r="F2523" t="s">
        <v>27</v>
      </c>
      <c r="G2523">
        <v>31</v>
      </c>
      <c r="H2523" s="3">
        <v>9.98</v>
      </c>
      <c r="I2523" s="3">
        <f>ProductLine[[#This Row],[Units]]*ProductLine[[#This Row],[Dollars]]</f>
        <v>309.38</v>
      </c>
    </row>
    <row r="2524" spans="1:9" x14ac:dyDescent="0.35">
      <c r="A2524">
        <v>2523</v>
      </c>
      <c r="B2524" t="s">
        <v>20</v>
      </c>
      <c r="C2524" s="2">
        <v>44321</v>
      </c>
      <c r="D2524">
        <f>YEAR(ProductLine[[#This Row],[Date]])</f>
        <v>2021</v>
      </c>
      <c r="E2524">
        <f>MONTH(ProductLine[[#This Row],[Date]])</f>
        <v>5</v>
      </c>
      <c r="F2524" t="s">
        <v>27</v>
      </c>
      <c r="G2524">
        <v>18</v>
      </c>
      <c r="H2524" s="3">
        <v>9.43</v>
      </c>
      <c r="I2524" s="3">
        <f>ProductLine[[#This Row],[Units]]*ProductLine[[#This Row],[Dollars]]</f>
        <v>169.74</v>
      </c>
    </row>
    <row r="2525" spans="1:9" x14ac:dyDescent="0.35">
      <c r="A2525">
        <v>2524</v>
      </c>
      <c r="B2525" t="s">
        <v>20</v>
      </c>
      <c r="C2525" s="2">
        <v>44354</v>
      </c>
      <c r="D2525">
        <f>YEAR(ProductLine[[#This Row],[Date]])</f>
        <v>2021</v>
      </c>
      <c r="E2525">
        <f>MONTH(ProductLine[[#This Row],[Date]])</f>
        <v>6</v>
      </c>
      <c r="F2525" t="s">
        <v>27</v>
      </c>
      <c r="G2525">
        <v>26</v>
      </c>
      <c r="H2525" s="3">
        <v>9.43</v>
      </c>
      <c r="I2525" s="3">
        <f>ProductLine[[#This Row],[Units]]*ProductLine[[#This Row],[Dollars]]</f>
        <v>245.18</v>
      </c>
    </row>
    <row r="2526" spans="1:9" x14ac:dyDescent="0.35">
      <c r="A2526">
        <v>2525</v>
      </c>
      <c r="B2526" t="s">
        <v>20</v>
      </c>
      <c r="C2526" s="2">
        <v>44365</v>
      </c>
      <c r="D2526">
        <f>YEAR(ProductLine[[#This Row],[Date]])</f>
        <v>2021</v>
      </c>
      <c r="E2526">
        <f>MONTH(ProductLine[[#This Row],[Date]])</f>
        <v>6</v>
      </c>
      <c r="F2526" t="s">
        <v>27</v>
      </c>
      <c r="G2526">
        <v>48</v>
      </c>
      <c r="H2526" s="3">
        <v>9.43</v>
      </c>
      <c r="I2526" s="3">
        <f>ProductLine[[#This Row],[Units]]*ProductLine[[#This Row],[Dollars]]</f>
        <v>452.64</v>
      </c>
    </row>
    <row r="2527" spans="1:9" x14ac:dyDescent="0.35">
      <c r="A2527">
        <v>2526</v>
      </c>
      <c r="B2527" t="s">
        <v>9</v>
      </c>
      <c r="C2527" s="2">
        <v>44397</v>
      </c>
      <c r="D2527">
        <f>YEAR(ProductLine[[#This Row],[Date]])</f>
        <v>2021</v>
      </c>
      <c r="E2527">
        <f>MONTH(ProductLine[[#This Row],[Date]])</f>
        <v>7</v>
      </c>
      <c r="F2527" t="s">
        <v>26</v>
      </c>
      <c r="G2527">
        <v>25</v>
      </c>
      <c r="H2527" s="3">
        <v>7.98</v>
      </c>
      <c r="I2527" s="3">
        <f>ProductLine[[#This Row],[Units]]*ProductLine[[#This Row],[Dollars]]</f>
        <v>199.5</v>
      </c>
    </row>
    <row r="2528" spans="1:9" x14ac:dyDescent="0.35">
      <c r="A2528">
        <v>2527</v>
      </c>
      <c r="B2528" t="s">
        <v>18</v>
      </c>
      <c r="C2528" s="2">
        <v>44428</v>
      </c>
      <c r="D2528">
        <f>YEAR(ProductLine[[#This Row],[Date]])</f>
        <v>2021</v>
      </c>
      <c r="E2528">
        <f>MONTH(ProductLine[[#This Row],[Date]])</f>
        <v>8</v>
      </c>
      <c r="F2528" t="s">
        <v>26</v>
      </c>
      <c r="G2528">
        <v>20</v>
      </c>
      <c r="H2528" s="3">
        <v>8.98</v>
      </c>
      <c r="I2528" s="3">
        <f>ProductLine[[#This Row],[Units]]*ProductLine[[#This Row],[Dollars]]</f>
        <v>179.60000000000002</v>
      </c>
    </row>
    <row r="2529" spans="1:9" x14ac:dyDescent="0.35">
      <c r="A2529">
        <v>2528</v>
      </c>
      <c r="B2529" t="s">
        <v>18</v>
      </c>
      <c r="C2529" s="2">
        <v>44393</v>
      </c>
      <c r="D2529">
        <f>YEAR(ProductLine[[#This Row],[Date]])</f>
        <v>2021</v>
      </c>
      <c r="E2529">
        <f>MONTH(ProductLine[[#This Row],[Date]])</f>
        <v>7</v>
      </c>
      <c r="F2529" t="s">
        <v>26</v>
      </c>
      <c r="G2529">
        <v>33</v>
      </c>
      <c r="H2529" s="3">
        <v>7.98</v>
      </c>
      <c r="I2529" s="3">
        <f>ProductLine[[#This Row],[Units]]*ProductLine[[#This Row],[Dollars]]</f>
        <v>263.34000000000003</v>
      </c>
    </row>
    <row r="2530" spans="1:9" x14ac:dyDescent="0.35">
      <c r="A2530">
        <v>2529</v>
      </c>
      <c r="B2530" t="s">
        <v>18</v>
      </c>
      <c r="C2530" s="2">
        <v>44449</v>
      </c>
      <c r="D2530">
        <f>YEAR(ProductLine[[#This Row],[Date]])</f>
        <v>2021</v>
      </c>
      <c r="E2530">
        <f>MONTH(ProductLine[[#This Row],[Date]])</f>
        <v>9</v>
      </c>
      <c r="F2530" t="s">
        <v>26</v>
      </c>
      <c r="G2530">
        <v>64</v>
      </c>
      <c r="H2530" s="3">
        <v>7.98</v>
      </c>
      <c r="I2530" s="3">
        <f>ProductLine[[#This Row],[Units]]*ProductLine[[#This Row],[Dollars]]</f>
        <v>510.72</v>
      </c>
    </row>
    <row r="2531" spans="1:9" x14ac:dyDescent="0.35">
      <c r="A2531">
        <v>2530</v>
      </c>
      <c r="B2531" t="s">
        <v>13</v>
      </c>
      <c r="C2531" s="2">
        <v>44385</v>
      </c>
      <c r="D2531">
        <f>YEAR(ProductLine[[#This Row],[Date]])</f>
        <v>2021</v>
      </c>
      <c r="E2531">
        <f>MONTH(ProductLine[[#This Row],[Date]])</f>
        <v>7</v>
      </c>
      <c r="F2531" t="s">
        <v>26</v>
      </c>
      <c r="G2531">
        <v>56</v>
      </c>
      <c r="H2531" s="3">
        <v>8.98</v>
      </c>
      <c r="I2531" s="3">
        <f>ProductLine[[#This Row],[Units]]*ProductLine[[#This Row],[Dollars]]</f>
        <v>502.88</v>
      </c>
    </row>
    <row r="2532" spans="1:9" x14ac:dyDescent="0.35">
      <c r="A2532">
        <v>2531</v>
      </c>
      <c r="B2532" t="s">
        <v>17</v>
      </c>
      <c r="C2532" s="2">
        <v>44400</v>
      </c>
      <c r="D2532">
        <f>YEAR(ProductLine[[#This Row],[Date]])</f>
        <v>2021</v>
      </c>
      <c r="E2532">
        <f>MONTH(ProductLine[[#This Row],[Date]])</f>
        <v>7</v>
      </c>
      <c r="F2532" t="s">
        <v>24</v>
      </c>
      <c r="G2532">
        <v>36</v>
      </c>
      <c r="H2532" s="3">
        <v>13.98</v>
      </c>
      <c r="I2532" s="3">
        <f>ProductLine[[#This Row],[Units]]*ProductLine[[#This Row],[Dollars]]</f>
        <v>503.28000000000003</v>
      </c>
    </row>
    <row r="2533" spans="1:9" x14ac:dyDescent="0.35">
      <c r="A2533">
        <v>2532</v>
      </c>
      <c r="B2533" t="s">
        <v>17</v>
      </c>
      <c r="C2533" s="2">
        <v>44389</v>
      </c>
      <c r="D2533">
        <f>YEAR(ProductLine[[#This Row],[Date]])</f>
        <v>2021</v>
      </c>
      <c r="E2533">
        <f>MONTH(ProductLine[[#This Row],[Date]])</f>
        <v>7</v>
      </c>
      <c r="F2533" t="s">
        <v>24</v>
      </c>
      <c r="G2533">
        <v>48</v>
      </c>
      <c r="H2533" s="3">
        <v>9.9700000000000006</v>
      </c>
      <c r="I2533" s="3">
        <f>ProductLine[[#This Row],[Units]]*ProductLine[[#This Row],[Dollars]]</f>
        <v>478.56000000000006</v>
      </c>
    </row>
    <row r="2534" spans="1:9" x14ac:dyDescent="0.35">
      <c r="A2534">
        <v>2533</v>
      </c>
      <c r="B2534" t="s">
        <v>13</v>
      </c>
      <c r="C2534" s="2">
        <v>44386</v>
      </c>
      <c r="D2534">
        <f>YEAR(ProductLine[[#This Row],[Date]])</f>
        <v>2021</v>
      </c>
      <c r="E2534">
        <f>MONTH(ProductLine[[#This Row],[Date]])</f>
        <v>7</v>
      </c>
      <c r="F2534" t="s">
        <v>24</v>
      </c>
      <c r="G2534">
        <v>34</v>
      </c>
      <c r="H2534" s="3">
        <v>10.89</v>
      </c>
      <c r="I2534" s="3">
        <f>ProductLine[[#This Row],[Units]]*ProductLine[[#This Row],[Dollars]]</f>
        <v>370.26</v>
      </c>
    </row>
    <row r="2535" spans="1:9" x14ac:dyDescent="0.35">
      <c r="A2535">
        <v>2534</v>
      </c>
      <c r="B2535" t="s">
        <v>13</v>
      </c>
      <c r="C2535" s="2">
        <v>44420</v>
      </c>
      <c r="D2535">
        <f>YEAR(ProductLine[[#This Row],[Date]])</f>
        <v>2021</v>
      </c>
      <c r="E2535">
        <f>MONTH(ProductLine[[#This Row],[Date]])</f>
        <v>8</v>
      </c>
      <c r="F2535" t="s">
        <v>24</v>
      </c>
      <c r="G2535">
        <v>27</v>
      </c>
      <c r="H2535" s="3">
        <v>10.89</v>
      </c>
      <c r="I2535" s="3">
        <f>ProductLine[[#This Row],[Units]]*ProductLine[[#This Row],[Dollars]]</f>
        <v>294.03000000000003</v>
      </c>
    </row>
    <row r="2536" spans="1:9" x14ac:dyDescent="0.35">
      <c r="A2536">
        <v>2535</v>
      </c>
      <c r="B2536" t="s">
        <v>13</v>
      </c>
      <c r="C2536" s="2">
        <v>44438</v>
      </c>
      <c r="D2536">
        <f>YEAR(ProductLine[[#This Row],[Date]])</f>
        <v>2021</v>
      </c>
      <c r="E2536">
        <f>MONTH(ProductLine[[#This Row],[Date]])</f>
        <v>8</v>
      </c>
      <c r="F2536" t="s">
        <v>24</v>
      </c>
      <c r="G2536">
        <v>59</v>
      </c>
      <c r="H2536" s="3">
        <v>13.98</v>
      </c>
      <c r="I2536" s="3">
        <f>ProductLine[[#This Row],[Units]]*ProductLine[[#This Row],[Dollars]]</f>
        <v>824.82</v>
      </c>
    </row>
    <row r="2537" spans="1:9" x14ac:dyDescent="0.35">
      <c r="A2537">
        <v>2536</v>
      </c>
      <c r="B2537" t="s">
        <v>13</v>
      </c>
      <c r="C2537" s="2">
        <v>44450</v>
      </c>
      <c r="D2537">
        <f>YEAR(ProductLine[[#This Row],[Date]])</f>
        <v>2021</v>
      </c>
      <c r="E2537">
        <f>MONTH(ProductLine[[#This Row],[Date]])</f>
        <v>9</v>
      </c>
      <c r="F2537" t="s">
        <v>24</v>
      </c>
      <c r="G2537">
        <v>63</v>
      </c>
      <c r="H2537" s="3">
        <v>13.98</v>
      </c>
      <c r="I2537" s="3">
        <f>ProductLine[[#This Row],[Units]]*ProductLine[[#This Row],[Dollars]]</f>
        <v>880.74</v>
      </c>
    </row>
    <row r="2538" spans="1:9" x14ac:dyDescent="0.35">
      <c r="A2538">
        <v>2537</v>
      </c>
      <c r="B2538" t="s">
        <v>13</v>
      </c>
      <c r="C2538" s="2">
        <v>44460</v>
      </c>
      <c r="D2538">
        <f>YEAR(ProductLine[[#This Row],[Date]])</f>
        <v>2021</v>
      </c>
      <c r="E2538">
        <f>MONTH(ProductLine[[#This Row],[Date]])</f>
        <v>9</v>
      </c>
      <c r="F2538" t="s">
        <v>24</v>
      </c>
      <c r="G2538">
        <v>48</v>
      </c>
      <c r="H2538" s="3">
        <v>10.89</v>
      </c>
      <c r="I2538" s="3">
        <f>ProductLine[[#This Row],[Units]]*ProductLine[[#This Row],[Dollars]]</f>
        <v>522.72</v>
      </c>
    </row>
    <row r="2539" spans="1:9" x14ac:dyDescent="0.35">
      <c r="A2539">
        <v>2538</v>
      </c>
      <c r="B2539" t="s">
        <v>11</v>
      </c>
      <c r="C2539" s="2">
        <v>44405</v>
      </c>
      <c r="D2539">
        <f>YEAR(ProductLine[[#This Row],[Date]])</f>
        <v>2021</v>
      </c>
      <c r="E2539">
        <f>MONTH(ProductLine[[#This Row],[Date]])</f>
        <v>7</v>
      </c>
      <c r="F2539" t="s">
        <v>23</v>
      </c>
      <c r="G2539">
        <v>28</v>
      </c>
      <c r="H2539" s="3">
        <v>5.47</v>
      </c>
      <c r="I2539" s="3">
        <f>ProductLine[[#This Row],[Units]]*ProductLine[[#This Row],[Dollars]]</f>
        <v>153.16</v>
      </c>
    </row>
    <row r="2540" spans="1:9" x14ac:dyDescent="0.35">
      <c r="A2540">
        <v>2539</v>
      </c>
      <c r="B2540" t="s">
        <v>11</v>
      </c>
      <c r="C2540" s="2">
        <v>44395</v>
      </c>
      <c r="D2540">
        <f>YEAR(ProductLine[[#This Row],[Date]])</f>
        <v>2021</v>
      </c>
      <c r="E2540">
        <f>MONTH(ProductLine[[#This Row],[Date]])</f>
        <v>7</v>
      </c>
      <c r="F2540" t="s">
        <v>23</v>
      </c>
      <c r="G2540">
        <v>24</v>
      </c>
      <c r="H2540" s="3">
        <v>8.4600000000000009</v>
      </c>
      <c r="I2540" s="3">
        <f>ProductLine[[#This Row],[Units]]*ProductLine[[#This Row],[Dollars]]</f>
        <v>203.04000000000002</v>
      </c>
    </row>
    <row r="2541" spans="1:9" x14ac:dyDescent="0.35">
      <c r="A2541">
        <v>2540</v>
      </c>
      <c r="B2541" t="s">
        <v>11</v>
      </c>
      <c r="C2541" s="2">
        <v>44387</v>
      </c>
      <c r="D2541">
        <f>YEAR(ProductLine[[#This Row],[Date]])</f>
        <v>2021</v>
      </c>
      <c r="E2541">
        <f>MONTH(ProductLine[[#This Row],[Date]])</f>
        <v>7</v>
      </c>
      <c r="F2541" t="s">
        <v>23</v>
      </c>
      <c r="G2541">
        <v>36</v>
      </c>
      <c r="H2541" s="3">
        <v>8.4600000000000009</v>
      </c>
      <c r="I2541" s="3">
        <f>ProductLine[[#This Row],[Units]]*ProductLine[[#This Row],[Dollars]]</f>
        <v>304.56000000000006</v>
      </c>
    </row>
    <row r="2542" spans="1:9" x14ac:dyDescent="0.35">
      <c r="A2542">
        <v>2541</v>
      </c>
      <c r="B2542" t="s">
        <v>11</v>
      </c>
      <c r="C2542" s="2">
        <v>44427</v>
      </c>
      <c r="D2542">
        <f>YEAR(ProductLine[[#This Row],[Date]])</f>
        <v>2021</v>
      </c>
      <c r="E2542">
        <f>MONTH(ProductLine[[#This Row],[Date]])</f>
        <v>8</v>
      </c>
      <c r="F2542" t="s">
        <v>23</v>
      </c>
      <c r="G2542">
        <v>47</v>
      </c>
      <c r="H2542" s="3">
        <v>5.47</v>
      </c>
      <c r="I2542" s="3">
        <f>ProductLine[[#This Row],[Units]]*ProductLine[[#This Row],[Dollars]]</f>
        <v>257.08999999999997</v>
      </c>
    </row>
    <row r="2543" spans="1:9" x14ac:dyDescent="0.35">
      <c r="A2543">
        <v>2542</v>
      </c>
      <c r="B2543" t="s">
        <v>11</v>
      </c>
      <c r="C2543" s="2">
        <v>44458</v>
      </c>
      <c r="D2543">
        <f>YEAR(ProductLine[[#This Row],[Date]])</f>
        <v>2021</v>
      </c>
      <c r="E2543">
        <f>MONTH(ProductLine[[#This Row],[Date]])</f>
        <v>9</v>
      </c>
      <c r="F2543" t="s">
        <v>23</v>
      </c>
      <c r="G2543">
        <v>52</v>
      </c>
      <c r="H2543" s="3">
        <v>5.47</v>
      </c>
      <c r="I2543" s="3">
        <f>ProductLine[[#This Row],[Units]]*ProductLine[[#This Row],[Dollars]]</f>
        <v>284.44</v>
      </c>
    </row>
    <row r="2544" spans="1:9" x14ac:dyDescent="0.35">
      <c r="A2544">
        <v>2543</v>
      </c>
      <c r="B2544" t="s">
        <v>9</v>
      </c>
      <c r="C2544" s="2">
        <v>44378</v>
      </c>
      <c r="D2544">
        <f>YEAR(ProductLine[[#This Row],[Date]])</f>
        <v>2021</v>
      </c>
      <c r="E2544">
        <f>MONTH(ProductLine[[#This Row],[Date]])</f>
        <v>7</v>
      </c>
      <c r="F2544" t="s">
        <v>23</v>
      </c>
      <c r="G2544">
        <v>56</v>
      </c>
      <c r="H2544" s="3">
        <v>5.47</v>
      </c>
      <c r="I2544" s="3">
        <f>ProductLine[[#This Row],[Units]]*ProductLine[[#This Row],[Dollars]]</f>
        <v>306.32</v>
      </c>
    </row>
    <row r="2545" spans="1:9" x14ac:dyDescent="0.35">
      <c r="A2545">
        <v>2544</v>
      </c>
      <c r="B2545" t="s">
        <v>9</v>
      </c>
      <c r="C2545" s="2">
        <v>44431</v>
      </c>
      <c r="D2545">
        <f>YEAR(ProductLine[[#This Row],[Date]])</f>
        <v>2021</v>
      </c>
      <c r="E2545">
        <f>MONTH(ProductLine[[#This Row],[Date]])</f>
        <v>8</v>
      </c>
      <c r="F2545" t="s">
        <v>23</v>
      </c>
      <c r="G2545">
        <v>34</v>
      </c>
      <c r="H2545" s="3">
        <v>8.4600000000000009</v>
      </c>
      <c r="I2545" s="3">
        <f>ProductLine[[#This Row],[Units]]*ProductLine[[#This Row],[Dollars]]</f>
        <v>287.64000000000004</v>
      </c>
    </row>
    <row r="2546" spans="1:9" x14ac:dyDescent="0.35">
      <c r="A2546">
        <v>2545</v>
      </c>
      <c r="B2546" t="s">
        <v>9</v>
      </c>
      <c r="C2546" s="2">
        <v>44428</v>
      </c>
      <c r="D2546">
        <f>YEAR(ProductLine[[#This Row],[Date]])</f>
        <v>2021</v>
      </c>
      <c r="E2546">
        <f>MONTH(ProductLine[[#This Row],[Date]])</f>
        <v>8</v>
      </c>
      <c r="F2546" t="s">
        <v>23</v>
      </c>
      <c r="G2546">
        <v>28</v>
      </c>
      <c r="H2546" s="3">
        <v>8.4600000000000009</v>
      </c>
      <c r="I2546" s="3">
        <f>ProductLine[[#This Row],[Units]]*ProductLine[[#This Row],[Dollars]]</f>
        <v>236.88000000000002</v>
      </c>
    </row>
    <row r="2547" spans="1:9" x14ac:dyDescent="0.35">
      <c r="A2547">
        <v>2546</v>
      </c>
      <c r="B2547" t="s">
        <v>9</v>
      </c>
      <c r="C2547" s="2">
        <v>44457</v>
      </c>
      <c r="D2547">
        <f>YEAR(ProductLine[[#This Row],[Date]])</f>
        <v>2021</v>
      </c>
      <c r="E2547">
        <f>MONTH(ProductLine[[#This Row],[Date]])</f>
        <v>9</v>
      </c>
      <c r="F2547" t="s">
        <v>23</v>
      </c>
      <c r="G2547">
        <v>39</v>
      </c>
      <c r="H2547" s="3">
        <v>8.4600000000000009</v>
      </c>
      <c r="I2547" s="3">
        <f>ProductLine[[#This Row],[Units]]*ProductLine[[#This Row],[Dollars]]</f>
        <v>329.94000000000005</v>
      </c>
    </row>
    <row r="2548" spans="1:9" x14ac:dyDescent="0.35">
      <c r="A2548">
        <v>2547</v>
      </c>
      <c r="B2548" t="s">
        <v>17</v>
      </c>
      <c r="C2548" s="2">
        <v>44393</v>
      </c>
      <c r="D2548">
        <f>YEAR(ProductLine[[#This Row],[Date]])</f>
        <v>2021</v>
      </c>
      <c r="E2548">
        <f>MONTH(ProductLine[[#This Row],[Date]])</f>
        <v>7</v>
      </c>
      <c r="F2548" t="s">
        <v>23</v>
      </c>
      <c r="G2548">
        <v>32</v>
      </c>
      <c r="H2548" s="3">
        <v>5.47</v>
      </c>
      <c r="I2548" s="3">
        <f>ProductLine[[#This Row],[Units]]*ProductLine[[#This Row],[Dollars]]</f>
        <v>175.04</v>
      </c>
    </row>
    <row r="2549" spans="1:9" x14ac:dyDescent="0.35">
      <c r="A2549">
        <v>2548</v>
      </c>
      <c r="B2549" t="s">
        <v>17</v>
      </c>
      <c r="C2549" s="2">
        <v>44397</v>
      </c>
      <c r="D2549">
        <f>YEAR(ProductLine[[#This Row],[Date]])</f>
        <v>2021</v>
      </c>
      <c r="E2549">
        <f>MONTH(ProductLine[[#This Row],[Date]])</f>
        <v>7</v>
      </c>
      <c r="F2549" t="s">
        <v>23</v>
      </c>
      <c r="G2549">
        <v>36</v>
      </c>
      <c r="H2549" s="3">
        <v>8.4600000000000009</v>
      </c>
      <c r="I2549" s="3">
        <f>ProductLine[[#This Row],[Units]]*ProductLine[[#This Row],[Dollars]]</f>
        <v>304.56000000000006</v>
      </c>
    </row>
    <row r="2550" spans="1:9" x14ac:dyDescent="0.35">
      <c r="A2550">
        <v>2549</v>
      </c>
      <c r="B2550" t="s">
        <v>17</v>
      </c>
      <c r="C2550" s="2">
        <v>44426</v>
      </c>
      <c r="D2550">
        <f>YEAR(ProductLine[[#This Row],[Date]])</f>
        <v>2021</v>
      </c>
      <c r="E2550">
        <f>MONTH(ProductLine[[#This Row],[Date]])</f>
        <v>8</v>
      </c>
      <c r="F2550" t="s">
        <v>23</v>
      </c>
      <c r="G2550">
        <v>48</v>
      </c>
      <c r="H2550" s="3">
        <v>5.47</v>
      </c>
      <c r="I2550" s="3">
        <f>ProductLine[[#This Row],[Units]]*ProductLine[[#This Row],[Dollars]]</f>
        <v>262.56</v>
      </c>
    </row>
    <row r="2551" spans="1:9" x14ac:dyDescent="0.35">
      <c r="A2551">
        <v>2550</v>
      </c>
      <c r="B2551" t="s">
        <v>17</v>
      </c>
      <c r="C2551" s="2">
        <v>44428</v>
      </c>
      <c r="D2551">
        <f>YEAR(ProductLine[[#This Row],[Date]])</f>
        <v>2021</v>
      </c>
      <c r="E2551">
        <f>MONTH(ProductLine[[#This Row],[Date]])</f>
        <v>8</v>
      </c>
      <c r="F2551" t="s">
        <v>23</v>
      </c>
      <c r="G2551">
        <v>24</v>
      </c>
      <c r="H2551" s="3">
        <v>8.4600000000000009</v>
      </c>
      <c r="I2551" s="3">
        <f>ProductLine[[#This Row],[Units]]*ProductLine[[#This Row],[Dollars]]</f>
        <v>203.04000000000002</v>
      </c>
    </row>
    <row r="2552" spans="1:9" x14ac:dyDescent="0.35">
      <c r="A2552">
        <v>2551</v>
      </c>
      <c r="B2552" t="s">
        <v>17</v>
      </c>
      <c r="C2552" s="2">
        <v>44464</v>
      </c>
      <c r="D2552">
        <f>YEAR(ProductLine[[#This Row],[Date]])</f>
        <v>2021</v>
      </c>
      <c r="E2552">
        <f>MONTH(ProductLine[[#This Row],[Date]])</f>
        <v>9</v>
      </c>
      <c r="F2552" t="s">
        <v>23</v>
      </c>
      <c r="G2552">
        <v>28</v>
      </c>
      <c r="H2552" s="3">
        <v>5.47</v>
      </c>
      <c r="I2552" s="3">
        <f>ProductLine[[#This Row],[Units]]*ProductLine[[#This Row],[Dollars]]</f>
        <v>153.16</v>
      </c>
    </row>
    <row r="2553" spans="1:9" x14ac:dyDescent="0.35">
      <c r="A2553">
        <v>2552</v>
      </c>
      <c r="B2553" t="s">
        <v>17</v>
      </c>
      <c r="C2553" s="2">
        <v>44457</v>
      </c>
      <c r="D2553">
        <f>YEAR(ProductLine[[#This Row],[Date]])</f>
        <v>2021</v>
      </c>
      <c r="E2553">
        <f>MONTH(ProductLine[[#This Row],[Date]])</f>
        <v>9</v>
      </c>
      <c r="F2553" t="s">
        <v>23</v>
      </c>
      <c r="G2553">
        <v>38</v>
      </c>
      <c r="H2553" s="3">
        <v>5.47</v>
      </c>
      <c r="I2553" s="3">
        <f>ProductLine[[#This Row],[Units]]*ProductLine[[#This Row],[Dollars]]</f>
        <v>207.85999999999999</v>
      </c>
    </row>
    <row r="2554" spans="1:9" x14ac:dyDescent="0.35">
      <c r="A2554">
        <v>2553</v>
      </c>
      <c r="B2554" t="s">
        <v>17</v>
      </c>
      <c r="C2554" s="2">
        <v>44461</v>
      </c>
      <c r="D2554">
        <f>YEAR(ProductLine[[#This Row],[Date]])</f>
        <v>2021</v>
      </c>
      <c r="E2554">
        <f>MONTH(ProductLine[[#This Row],[Date]])</f>
        <v>9</v>
      </c>
      <c r="F2554" t="s">
        <v>23</v>
      </c>
      <c r="G2554">
        <v>56</v>
      </c>
      <c r="H2554" s="3">
        <v>5.47</v>
      </c>
      <c r="I2554" s="3">
        <f>ProductLine[[#This Row],[Units]]*ProductLine[[#This Row],[Dollars]]</f>
        <v>306.32</v>
      </c>
    </row>
    <row r="2555" spans="1:9" x14ac:dyDescent="0.35">
      <c r="A2555">
        <v>2554</v>
      </c>
      <c r="B2555" t="s">
        <v>14</v>
      </c>
      <c r="C2555" s="2">
        <v>44389</v>
      </c>
      <c r="D2555">
        <f>YEAR(ProductLine[[#This Row],[Date]])</f>
        <v>2021</v>
      </c>
      <c r="E2555">
        <f>MONTH(ProductLine[[#This Row],[Date]])</f>
        <v>7</v>
      </c>
      <c r="F2555" t="s">
        <v>23</v>
      </c>
      <c r="G2555">
        <v>62</v>
      </c>
      <c r="H2555" s="3">
        <v>5.47</v>
      </c>
      <c r="I2555" s="3">
        <f>ProductLine[[#This Row],[Units]]*ProductLine[[#This Row],[Dollars]]</f>
        <v>339.14</v>
      </c>
    </row>
    <row r="2556" spans="1:9" x14ac:dyDescent="0.35">
      <c r="A2556">
        <v>2555</v>
      </c>
      <c r="B2556" t="s">
        <v>14</v>
      </c>
      <c r="C2556" s="2">
        <v>44396</v>
      </c>
      <c r="D2556">
        <f>YEAR(ProductLine[[#This Row],[Date]])</f>
        <v>2021</v>
      </c>
      <c r="E2556">
        <f>MONTH(ProductLine[[#This Row],[Date]])</f>
        <v>7</v>
      </c>
      <c r="F2556" t="s">
        <v>23</v>
      </c>
      <c r="G2556">
        <v>34</v>
      </c>
      <c r="H2556" s="3">
        <v>8.4600000000000009</v>
      </c>
      <c r="I2556" s="3">
        <f>ProductLine[[#This Row],[Units]]*ProductLine[[#This Row],[Dollars]]</f>
        <v>287.64000000000004</v>
      </c>
    </row>
    <row r="2557" spans="1:9" x14ac:dyDescent="0.35">
      <c r="A2557">
        <v>2556</v>
      </c>
      <c r="B2557" t="s">
        <v>14</v>
      </c>
      <c r="C2557" s="2">
        <v>44417</v>
      </c>
      <c r="D2557">
        <f>YEAR(ProductLine[[#This Row],[Date]])</f>
        <v>2021</v>
      </c>
      <c r="E2557">
        <f>MONTH(ProductLine[[#This Row],[Date]])</f>
        <v>8</v>
      </c>
      <c r="F2557" t="s">
        <v>23</v>
      </c>
      <c r="G2557">
        <v>67</v>
      </c>
      <c r="H2557" s="3">
        <v>5.47</v>
      </c>
      <c r="I2557" s="3">
        <f>ProductLine[[#This Row],[Units]]*ProductLine[[#This Row],[Dollars]]</f>
        <v>366.49</v>
      </c>
    </row>
    <row r="2558" spans="1:9" x14ac:dyDescent="0.35">
      <c r="A2558">
        <v>2557</v>
      </c>
      <c r="B2558" t="s">
        <v>14</v>
      </c>
      <c r="C2558" s="2">
        <v>44451</v>
      </c>
      <c r="D2558">
        <f>YEAR(ProductLine[[#This Row],[Date]])</f>
        <v>2021</v>
      </c>
      <c r="E2558">
        <f>MONTH(ProductLine[[#This Row],[Date]])</f>
        <v>9</v>
      </c>
      <c r="F2558" t="s">
        <v>23</v>
      </c>
      <c r="G2558">
        <v>27</v>
      </c>
      <c r="H2558" s="3">
        <v>8.4600000000000009</v>
      </c>
      <c r="I2558" s="3">
        <f>ProductLine[[#This Row],[Units]]*ProductLine[[#This Row],[Dollars]]</f>
        <v>228.42000000000002</v>
      </c>
    </row>
    <row r="2559" spans="1:9" x14ac:dyDescent="0.35">
      <c r="A2559">
        <v>2558</v>
      </c>
      <c r="B2559" t="s">
        <v>20</v>
      </c>
      <c r="C2559" s="2">
        <v>44388</v>
      </c>
      <c r="D2559">
        <f>YEAR(ProductLine[[#This Row],[Date]])</f>
        <v>2021</v>
      </c>
      <c r="E2559">
        <f>MONTH(ProductLine[[#This Row],[Date]])</f>
        <v>7</v>
      </c>
      <c r="F2559" t="s">
        <v>23</v>
      </c>
      <c r="G2559">
        <v>38</v>
      </c>
      <c r="H2559" s="3">
        <v>8.4600000000000009</v>
      </c>
      <c r="I2559" s="3">
        <f>ProductLine[[#This Row],[Units]]*ProductLine[[#This Row],[Dollars]]</f>
        <v>321.48</v>
      </c>
    </row>
    <row r="2560" spans="1:9" x14ac:dyDescent="0.35">
      <c r="A2560">
        <v>2559</v>
      </c>
      <c r="B2560" t="s">
        <v>20</v>
      </c>
      <c r="C2560" s="2">
        <v>44423</v>
      </c>
      <c r="D2560">
        <f>YEAR(ProductLine[[#This Row],[Date]])</f>
        <v>2021</v>
      </c>
      <c r="E2560">
        <f>MONTH(ProductLine[[#This Row],[Date]])</f>
        <v>8</v>
      </c>
      <c r="F2560" t="s">
        <v>23</v>
      </c>
      <c r="G2560">
        <v>28</v>
      </c>
      <c r="H2560" s="3">
        <v>5.47</v>
      </c>
      <c r="I2560" s="3">
        <f>ProductLine[[#This Row],[Units]]*ProductLine[[#This Row],[Dollars]]</f>
        <v>153.16</v>
      </c>
    </row>
    <row r="2561" spans="1:9" x14ac:dyDescent="0.35">
      <c r="A2561">
        <v>2560</v>
      </c>
      <c r="B2561" t="s">
        <v>20</v>
      </c>
      <c r="C2561" s="2">
        <v>44455</v>
      </c>
      <c r="D2561">
        <f>YEAR(ProductLine[[#This Row],[Date]])</f>
        <v>2021</v>
      </c>
      <c r="E2561">
        <f>MONTH(ProductLine[[#This Row],[Date]])</f>
        <v>9</v>
      </c>
      <c r="F2561" t="s">
        <v>23</v>
      </c>
      <c r="G2561">
        <v>30</v>
      </c>
      <c r="H2561" s="3">
        <v>5.47</v>
      </c>
      <c r="I2561" s="3">
        <f>ProductLine[[#This Row],[Units]]*ProductLine[[#This Row],[Dollars]]</f>
        <v>164.1</v>
      </c>
    </row>
    <row r="2562" spans="1:9" x14ac:dyDescent="0.35">
      <c r="A2562">
        <v>2561</v>
      </c>
      <c r="B2562" t="s">
        <v>9</v>
      </c>
      <c r="C2562" s="2">
        <v>44385</v>
      </c>
      <c r="D2562">
        <f>YEAR(ProductLine[[#This Row],[Date]])</f>
        <v>2021</v>
      </c>
      <c r="E2562">
        <f>MONTH(ProductLine[[#This Row],[Date]])</f>
        <v>7</v>
      </c>
      <c r="F2562" t="s">
        <v>25</v>
      </c>
      <c r="G2562">
        <v>40</v>
      </c>
      <c r="H2562" s="3">
        <v>6.99</v>
      </c>
      <c r="I2562" s="3">
        <f>ProductLine[[#This Row],[Units]]*ProductLine[[#This Row],[Dollars]]</f>
        <v>279.60000000000002</v>
      </c>
    </row>
    <row r="2563" spans="1:9" x14ac:dyDescent="0.35">
      <c r="A2563">
        <v>2562</v>
      </c>
      <c r="B2563" t="s">
        <v>9</v>
      </c>
      <c r="C2563" s="2">
        <v>44394</v>
      </c>
      <c r="D2563">
        <f>YEAR(ProductLine[[#This Row],[Date]])</f>
        <v>2021</v>
      </c>
      <c r="E2563">
        <f>MONTH(ProductLine[[#This Row],[Date]])</f>
        <v>7</v>
      </c>
      <c r="F2563" t="s">
        <v>25</v>
      </c>
      <c r="G2563">
        <v>34</v>
      </c>
      <c r="H2563" s="3">
        <v>10.97</v>
      </c>
      <c r="I2563" s="3">
        <f>ProductLine[[#This Row],[Units]]*ProductLine[[#This Row],[Dollars]]</f>
        <v>372.98</v>
      </c>
    </row>
    <row r="2564" spans="1:9" x14ac:dyDescent="0.35">
      <c r="A2564">
        <v>2563</v>
      </c>
      <c r="B2564" t="s">
        <v>9</v>
      </c>
      <c r="C2564" s="2">
        <v>44417</v>
      </c>
      <c r="D2564">
        <f>YEAR(ProductLine[[#This Row],[Date]])</f>
        <v>2021</v>
      </c>
      <c r="E2564">
        <f>MONTH(ProductLine[[#This Row],[Date]])</f>
        <v>8</v>
      </c>
      <c r="F2564" t="s">
        <v>25</v>
      </c>
      <c r="G2564">
        <v>27</v>
      </c>
      <c r="H2564" s="3">
        <v>6.99</v>
      </c>
      <c r="I2564" s="3">
        <f>ProductLine[[#This Row],[Units]]*ProductLine[[#This Row],[Dollars]]</f>
        <v>188.73000000000002</v>
      </c>
    </row>
    <row r="2565" spans="1:9" x14ac:dyDescent="0.35">
      <c r="A2565">
        <v>2564</v>
      </c>
      <c r="B2565" t="s">
        <v>9</v>
      </c>
      <c r="C2565" s="2">
        <v>44428</v>
      </c>
      <c r="D2565">
        <f>YEAR(ProductLine[[#This Row],[Date]])</f>
        <v>2021</v>
      </c>
      <c r="E2565">
        <f>MONTH(ProductLine[[#This Row],[Date]])</f>
        <v>8</v>
      </c>
      <c r="F2565" t="s">
        <v>25</v>
      </c>
      <c r="G2565">
        <v>67</v>
      </c>
      <c r="H2565" s="3">
        <v>6.99</v>
      </c>
      <c r="I2565" s="3">
        <f>ProductLine[[#This Row],[Units]]*ProductLine[[#This Row],[Dollars]]</f>
        <v>468.33000000000004</v>
      </c>
    </row>
    <row r="2566" spans="1:9" x14ac:dyDescent="0.35">
      <c r="A2566">
        <v>2565</v>
      </c>
      <c r="B2566" t="s">
        <v>9</v>
      </c>
      <c r="C2566" s="2">
        <v>44459</v>
      </c>
      <c r="D2566">
        <f>YEAR(ProductLine[[#This Row],[Date]])</f>
        <v>2021</v>
      </c>
      <c r="E2566">
        <f>MONTH(ProductLine[[#This Row],[Date]])</f>
        <v>9</v>
      </c>
      <c r="F2566" t="s">
        <v>25</v>
      </c>
      <c r="G2566">
        <v>56</v>
      </c>
      <c r="H2566" s="3">
        <v>6.99</v>
      </c>
      <c r="I2566" s="3">
        <f>ProductLine[[#This Row],[Units]]*ProductLine[[#This Row],[Dollars]]</f>
        <v>391.44</v>
      </c>
    </row>
    <row r="2567" spans="1:9" x14ac:dyDescent="0.35">
      <c r="A2567">
        <v>2566</v>
      </c>
      <c r="B2567" t="s">
        <v>9</v>
      </c>
      <c r="C2567" s="2">
        <v>44469</v>
      </c>
      <c r="D2567">
        <f>YEAR(ProductLine[[#This Row],[Date]])</f>
        <v>2021</v>
      </c>
      <c r="E2567">
        <f>MONTH(ProductLine[[#This Row],[Date]])</f>
        <v>9</v>
      </c>
      <c r="F2567" t="s">
        <v>25</v>
      </c>
      <c r="G2567">
        <v>36</v>
      </c>
      <c r="H2567" s="3">
        <v>6.99</v>
      </c>
      <c r="I2567" s="3">
        <f>ProductLine[[#This Row],[Units]]*ProductLine[[#This Row],[Dollars]]</f>
        <v>251.64000000000001</v>
      </c>
    </row>
    <row r="2568" spans="1:9" x14ac:dyDescent="0.35">
      <c r="A2568">
        <v>2567</v>
      </c>
      <c r="B2568" t="s">
        <v>13</v>
      </c>
      <c r="C2568" s="2">
        <v>44429</v>
      </c>
      <c r="D2568">
        <f>YEAR(ProductLine[[#This Row],[Date]])</f>
        <v>2021</v>
      </c>
      <c r="E2568">
        <f>MONTH(ProductLine[[#This Row],[Date]])</f>
        <v>8</v>
      </c>
      <c r="F2568" t="s">
        <v>25</v>
      </c>
      <c r="G2568">
        <v>49</v>
      </c>
      <c r="H2568" s="3">
        <v>6.99</v>
      </c>
      <c r="I2568" s="3">
        <f>ProductLine[[#This Row],[Units]]*ProductLine[[#This Row],[Dollars]]</f>
        <v>342.51</v>
      </c>
    </row>
    <row r="2569" spans="1:9" x14ac:dyDescent="0.35">
      <c r="A2569">
        <v>2568</v>
      </c>
      <c r="B2569" t="s">
        <v>13</v>
      </c>
      <c r="C2569" s="2">
        <v>44454</v>
      </c>
      <c r="D2569">
        <f>YEAR(ProductLine[[#This Row],[Date]])</f>
        <v>2021</v>
      </c>
      <c r="E2569">
        <f>MONTH(ProductLine[[#This Row],[Date]])</f>
        <v>9</v>
      </c>
      <c r="F2569" t="s">
        <v>25</v>
      </c>
      <c r="G2569">
        <v>56</v>
      </c>
      <c r="H2569" s="3">
        <v>8.89</v>
      </c>
      <c r="I2569" s="3">
        <f>ProductLine[[#This Row],[Units]]*ProductLine[[#This Row],[Dollars]]</f>
        <v>497.84000000000003</v>
      </c>
    </row>
    <row r="2570" spans="1:9" x14ac:dyDescent="0.35">
      <c r="A2570">
        <v>2569</v>
      </c>
      <c r="B2570" t="s">
        <v>18</v>
      </c>
      <c r="C2570" s="2">
        <v>44428</v>
      </c>
      <c r="D2570">
        <f>YEAR(ProductLine[[#This Row],[Date]])</f>
        <v>2021</v>
      </c>
      <c r="E2570">
        <f>MONTH(ProductLine[[#This Row],[Date]])</f>
        <v>8</v>
      </c>
      <c r="F2570" t="s">
        <v>25</v>
      </c>
      <c r="G2570">
        <v>65</v>
      </c>
      <c r="H2570" s="3">
        <v>8.89</v>
      </c>
      <c r="I2570" s="3">
        <f>ProductLine[[#This Row],[Units]]*ProductLine[[#This Row],[Dollars]]</f>
        <v>577.85</v>
      </c>
    </row>
    <row r="2571" spans="1:9" x14ac:dyDescent="0.35">
      <c r="A2571">
        <v>2570</v>
      </c>
      <c r="B2571" t="s">
        <v>20</v>
      </c>
      <c r="C2571" s="2">
        <v>44397</v>
      </c>
      <c r="D2571">
        <f>YEAR(ProductLine[[#This Row],[Date]])</f>
        <v>2021</v>
      </c>
      <c r="E2571">
        <f>MONTH(ProductLine[[#This Row],[Date]])</f>
        <v>7</v>
      </c>
      <c r="F2571" t="s">
        <v>25</v>
      </c>
      <c r="G2571">
        <v>76</v>
      </c>
      <c r="H2571" s="3">
        <v>8.89</v>
      </c>
      <c r="I2571" s="3">
        <f>ProductLine[[#This Row],[Units]]*ProductLine[[#This Row],[Dollars]]</f>
        <v>675.6400000000001</v>
      </c>
    </row>
    <row r="2572" spans="1:9" x14ac:dyDescent="0.35">
      <c r="A2572">
        <v>2571</v>
      </c>
      <c r="B2572" t="s">
        <v>20</v>
      </c>
      <c r="C2572" s="2">
        <v>44428</v>
      </c>
      <c r="D2572">
        <f>YEAR(ProductLine[[#This Row],[Date]])</f>
        <v>2021</v>
      </c>
      <c r="E2572">
        <f>MONTH(ProductLine[[#This Row],[Date]])</f>
        <v>8</v>
      </c>
      <c r="F2572" t="s">
        <v>25</v>
      </c>
      <c r="G2572">
        <v>38</v>
      </c>
      <c r="H2572" s="3">
        <v>8.89</v>
      </c>
      <c r="I2572" s="3">
        <f>ProductLine[[#This Row],[Units]]*ProductLine[[#This Row],[Dollars]]</f>
        <v>337.82000000000005</v>
      </c>
    </row>
    <row r="2573" spans="1:9" x14ac:dyDescent="0.35">
      <c r="A2573">
        <v>2572</v>
      </c>
      <c r="B2573" t="s">
        <v>9</v>
      </c>
      <c r="C2573" s="2">
        <v>44388</v>
      </c>
      <c r="D2573">
        <f>YEAR(ProductLine[[#This Row],[Date]])</f>
        <v>2021</v>
      </c>
      <c r="E2573">
        <f>MONTH(ProductLine[[#This Row],[Date]])</f>
        <v>7</v>
      </c>
      <c r="F2573" t="s">
        <v>27</v>
      </c>
      <c r="G2573">
        <v>28</v>
      </c>
      <c r="H2573" s="3">
        <v>9.98</v>
      </c>
      <c r="I2573" s="3">
        <f>ProductLine[[#This Row],[Units]]*ProductLine[[#This Row],[Dollars]]</f>
        <v>279.44</v>
      </c>
    </row>
    <row r="2574" spans="1:9" x14ac:dyDescent="0.35">
      <c r="A2574">
        <v>2573</v>
      </c>
      <c r="B2574" t="s">
        <v>9</v>
      </c>
      <c r="C2574" s="2">
        <v>44419</v>
      </c>
      <c r="D2574">
        <f>YEAR(ProductLine[[#This Row],[Date]])</f>
        <v>2021</v>
      </c>
      <c r="E2574">
        <f>MONTH(ProductLine[[#This Row],[Date]])</f>
        <v>8</v>
      </c>
      <c r="F2574" t="s">
        <v>27</v>
      </c>
      <c r="G2574">
        <v>29</v>
      </c>
      <c r="H2574" s="3">
        <v>9.98</v>
      </c>
      <c r="I2574" s="3">
        <f>ProductLine[[#This Row],[Units]]*ProductLine[[#This Row],[Dollars]]</f>
        <v>289.42</v>
      </c>
    </row>
    <row r="2575" spans="1:9" x14ac:dyDescent="0.35">
      <c r="A2575">
        <v>2574</v>
      </c>
      <c r="B2575" t="s">
        <v>9</v>
      </c>
      <c r="C2575" s="2">
        <v>44397</v>
      </c>
      <c r="D2575">
        <f>YEAR(ProductLine[[#This Row],[Date]])</f>
        <v>2021</v>
      </c>
      <c r="E2575">
        <f>MONTH(ProductLine[[#This Row],[Date]])</f>
        <v>7</v>
      </c>
      <c r="F2575" t="s">
        <v>27</v>
      </c>
      <c r="G2575">
        <v>58</v>
      </c>
      <c r="H2575" s="3">
        <v>9.43</v>
      </c>
      <c r="I2575" s="3">
        <f>ProductLine[[#This Row],[Units]]*ProductLine[[#This Row],[Dollars]]</f>
        <v>546.93999999999994</v>
      </c>
    </row>
    <row r="2576" spans="1:9" x14ac:dyDescent="0.35">
      <c r="A2576">
        <v>2575</v>
      </c>
      <c r="B2576" t="s">
        <v>9</v>
      </c>
      <c r="C2576" s="2">
        <v>44460</v>
      </c>
      <c r="D2576">
        <f>YEAR(ProductLine[[#This Row],[Date]])</f>
        <v>2021</v>
      </c>
      <c r="E2576">
        <f>MONTH(ProductLine[[#This Row],[Date]])</f>
        <v>9</v>
      </c>
      <c r="F2576" t="s">
        <v>27</v>
      </c>
      <c r="G2576">
        <v>49</v>
      </c>
      <c r="H2576" s="3">
        <v>8.5500000000000007</v>
      </c>
      <c r="I2576" s="3">
        <f>ProductLine[[#This Row],[Units]]*ProductLine[[#This Row],[Dollars]]</f>
        <v>418.95000000000005</v>
      </c>
    </row>
    <row r="2577" spans="1:9" x14ac:dyDescent="0.35">
      <c r="A2577">
        <v>2576</v>
      </c>
      <c r="B2577" t="s">
        <v>9</v>
      </c>
      <c r="C2577" s="2">
        <v>44450</v>
      </c>
      <c r="D2577">
        <f>YEAR(ProductLine[[#This Row],[Date]])</f>
        <v>2021</v>
      </c>
      <c r="E2577">
        <f>MONTH(ProductLine[[#This Row],[Date]])</f>
        <v>9</v>
      </c>
      <c r="F2577" t="s">
        <v>27</v>
      </c>
      <c r="G2577">
        <v>38</v>
      </c>
      <c r="H2577" s="3">
        <v>8.5500000000000007</v>
      </c>
      <c r="I2577" s="3">
        <f>ProductLine[[#This Row],[Units]]*ProductLine[[#This Row],[Dollars]]</f>
        <v>324.90000000000003</v>
      </c>
    </row>
    <row r="2578" spans="1:9" x14ac:dyDescent="0.35">
      <c r="A2578">
        <v>2577</v>
      </c>
      <c r="B2578" t="s">
        <v>9</v>
      </c>
      <c r="C2578" s="2">
        <v>44444</v>
      </c>
      <c r="D2578">
        <f>YEAR(ProductLine[[#This Row],[Date]])</f>
        <v>2021</v>
      </c>
      <c r="E2578">
        <f>MONTH(ProductLine[[#This Row],[Date]])</f>
        <v>9</v>
      </c>
      <c r="F2578" t="s">
        <v>27</v>
      </c>
      <c r="G2578">
        <v>57</v>
      </c>
      <c r="H2578" s="3">
        <v>9.43</v>
      </c>
      <c r="I2578" s="3">
        <f>ProductLine[[#This Row],[Units]]*ProductLine[[#This Row],[Dollars]]</f>
        <v>537.51</v>
      </c>
    </row>
    <row r="2579" spans="1:9" x14ac:dyDescent="0.35">
      <c r="A2579">
        <v>2578</v>
      </c>
      <c r="B2579" t="s">
        <v>14</v>
      </c>
      <c r="C2579" s="2">
        <v>44389</v>
      </c>
      <c r="D2579">
        <f>YEAR(ProductLine[[#This Row],[Date]])</f>
        <v>2021</v>
      </c>
      <c r="E2579">
        <f>MONTH(ProductLine[[#This Row],[Date]])</f>
        <v>7</v>
      </c>
      <c r="F2579" t="s">
        <v>27</v>
      </c>
      <c r="G2579">
        <v>28</v>
      </c>
      <c r="H2579" s="3">
        <v>9.98</v>
      </c>
      <c r="I2579" s="3">
        <f>ProductLine[[#This Row],[Units]]*ProductLine[[#This Row],[Dollars]]</f>
        <v>279.44</v>
      </c>
    </row>
    <row r="2580" spans="1:9" x14ac:dyDescent="0.35">
      <c r="A2580">
        <v>2579</v>
      </c>
      <c r="B2580" t="s">
        <v>14</v>
      </c>
      <c r="C2580" s="2">
        <v>44427</v>
      </c>
      <c r="D2580">
        <f>YEAR(ProductLine[[#This Row],[Date]])</f>
        <v>2021</v>
      </c>
      <c r="E2580">
        <f>MONTH(ProductLine[[#This Row],[Date]])</f>
        <v>8</v>
      </c>
      <c r="F2580" t="s">
        <v>27</v>
      </c>
      <c r="G2580">
        <v>29</v>
      </c>
      <c r="H2580" s="3">
        <v>9.43</v>
      </c>
      <c r="I2580" s="3">
        <f>ProductLine[[#This Row],[Units]]*ProductLine[[#This Row],[Dollars]]</f>
        <v>273.46999999999997</v>
      </c>
    </row>
    <row r="2581" spans="1:9" x14ac:dyDescent="0.35">
      <c r="A2581">
        <v>2580</v>
      </c>
      <c r="B2581" t="s">
        <v>14</v>
      </c>
      <c r="C2581" s="2">
        <v>44459</v>
      </c>
      <c r="D2581">
        <f>YEAR(ProductLine[[#This Row],[Date]])</f>
        <v>2021</v>
      </c>
      <c r="E2581">
        <f>MONTH(ProductLine[[#This Row],[Date]])</f>
        <v>9</v>
      </c>
      <c r="F2581" t="s">
        <v>27</v>
      </c>
      <c r="G2581">
        <v>32</v>
      </c>
      <c r="H2581" s="3">
        <v>9.98</v>
      </c>
      <c r="I2581" s="3">
        <f>ProductLine[[#This Row],[Units]]*ProductLine[[#This Row],[Dollars]]</f>
        <v>319.36</v>
      </c>
    </row>
    <row r="2582" spans="1:9" x14ac:dyDescent="0.35">
      <c r="A2582">
        <v>2581</v>
      </c>
      <c r="B2582" t="s">
        <v>19</v>
      </c>
      <c r="C2582" s="2">
        <v>44385</v>
      </c>
      <c r="D2582">
        <f>YEAR(ProductLine[[#This Row],[Date]])</f>
        <v>2021</v>
      </c>
      <c r="E2582">
        <f>MONTH(ProductLine[[#This Row],[Date]])</f>
        <v>7</v>
      </c>
      <c r="F2582" t="s">
        <v>27</v>
      </c>
      <c r="G2582">
        <v>45</v>
      </c>
      <c r="H2582" s="3">
        <v>9.98</v>
      </c>
      <c r="I2582" s="3">
        <f>ProductLine[[#This Row],[Units]]*ProductLine[[#This Row],[Dollars]]</f>
        <v>449.1</v>
      </c>
    </row>
    <row r="2583" spans="1:9" x14ac:dyDescent="0.35">
      <c r="A2583">
        <v>2582</v>
      </c>
      <c r="B2583" t="s">
        <v>18</v>
      </c>
      <c r="C2583" s="2">
        <v>44396</v>
      </c>
      <c r="D2583">
        <f>YEAR(ProductLine[[#This Row],[Date]])</f>
        <v>2021</v>
      </c>
      <c r="E2583">
        <f>MONTH(ProductLine[[#This Row],[Date]])</f>
        <v>7</v>
      </c>
      <c r="F2583" t="s">
        <v>27</v>
      </c>
      <c r="G2583">
        <v>17</v>
      </c>
      <c r="H2583" s="3">
        <v>9.98</v>
      </c>
      <c r="I2583" s="3">
        <f>ProductLine[[#This Row],[Units]]*ProductLine[[#This Row],[Dollars]]</f>
        <v>169.66</v>
      </c>
    </row>
    <row r="2584" spans="1:9" x14ac:dyDescent="0.35">
      <c r="A2584">
        <v>2583</v>
      </c>
      <c r="B2584" t="s">
        <v>18</v>
      </c>
      <c r="C2584" s="2">
        <v>44467</v>
      </c>
      <c r="D2584">
        <f>YEAR(ProductLine[[#This Row],[Date]])</f>
        <v>2021</v>
      </c>
      <c r="E2584">
        <f>MONTH(ProductLine[[#This Row],[Date]])</f>
        <v>9</v>
      </c>
      <c r="F2584" t="s">
        <v>27</v>
      </c>
      <c r="G2584">
        <v>19</v>
      </c>
      <c r="H2584" s="3">
        <v>9.98</v>
      </c>
      <c r="I2584" s="3">
        <f>ProductLine[[#This Row],[Units]]*ProductLine[[#This Row],[Dollars]]</f>
        <v>189.62</v>
      </c>
    </row>
    <row r="2585" spans="1:9" x14ac:dyDescent="0.35">
      <c r="A2585">
        <v>2584</v>
      </c>
      <c r="B2585" t="s">
        <v>18</v>
      </c>
      <c r="C2585" s="2">
        <v>44409</v>
      </c>
      <c r="D2585">
        <f>YEAR(ProductLine[[#This Row],[Date]])</f>
        <v>2021</v>
      </c>
      <c r="E2585">
        <f>MONTH(ProductLine[[#This Row],[Date]])</f>
        <v>8</v>
      </c>
      <c r="F2585" t="s">
        <v>27</v>
      </c>
      <c r="G2585">
        <v>32</v>
      </c>
      <c r="H2585" s="3">
        <v>9.98</v>
      </c>
      <c r="I2585" s="3">
        <f>ProductLine[[#This Row],[Units]]*ProductLine[[#This Row],[Dollars]]</f>
        <v>319.36</v>
      </c>
    </row>
    <row r="2586" spans="1:9" x14ac:dyDescent="0.35">
      <c r="A2586">
        <v>2585</v>
      </c>
      <c r="B2586" t="s">
        <v>19</v>
      </c>
      <c r="C2586" s="2">
        <v>44450</v>
      </c>
      <c r="D2586">
        <f>YEAR(ProductLine[[#This Row],[Date]])</f>
        <v>2021</v>
      </c>
      <c r="E2586">
        <f>MONTH(ProductLine[[#This Row],[Date]])</f>
        <v>9</v>
      </c>
      <c r="F2586" t="s">
        <v>27</v>
      </c>
      <c r="G2586">
        <v>48</v>
      </c>
      <c r="H2586" s="3">
        <v>8.5500000000000007</v>
      </c>
      <c r="I2586" s="3">
        <f>ProductLine[[#This Row],[Units]]*ProductLine[[#This Row],[Dollars]]</f>
        <v>410.40000000000003</v>
      </c>
    </row>
    <row r="2587" spans="1:9" x14ac:dyDescent="0.35">
      <c r="A2587">
        <v>2586</v>
      </c>
      <c r="B2587" t="s">
        <v>11</v>
      </c>
      <c r="C2587" s="2">
        <v>44470</v>
      </c>
      <c r="D2587">
        <f>YEAR(ProductLine[[#This Row],[Date]])</f>
        <v>2021</v>
      </c>
      <c r="E2587">
        <f>MONTH(ProductLine[[#This Row],[Date]])</f>
        <v>10</v>
      </c>
      <c r="F2587" t="s">
        <v>26</v>
      </c>
      <c r="G2587">
        <v>28</v>
      </c>
      <c r="H2587" s="3">
        <v>7.98</v>
      </c>
      <c r="I2587" s="3">
        <f>ProductLine[[#This Row],[Units]]*ProductLine[[#This Row],[Dollars]]</f>
        <v>223.44</v>
      </c>
    </row>
    <row r="2588" spans="1:9" x14ac:dyDescent="0.35">
      <c r="A2588">
        <v>2587</v>
      </c>
      <c r="B2588" t="s">
        <v>11</v>
      </c>
      <c r="C2588" s="2">
        <v>44481</v>
      </c>
      <c r="D2588">
        <f>YEAR(ProductLine[[#This Row],[Date]])</f>
        <v>2021</v>
      </c>
      <c r="E2588">
        <f>MONTH(ProductLine[[#This Row],[Date]])</f>
        <v>10</v>
      </c>
      <c r="F2588" t="s">
        <v>26</v>
      </c>
      <c r="G2588">
        <v>30</v>
      </c>
      <c r="H2588" s="3">
        <v>8.98</v>
      </c>
      <c r="I2588" s="3">
        <f>ProductLine[[#This Row],[Units]]*ProductLine[[#This Row],[Dollars]]</f>
        <v>269.40000000000003</v>
      </c>
    </row>
    <row r="2589" spans="1:9" x14ac:dyDescent="0.35">
      <c r="A2589">
        <v>2588</v>
      </c>
      <c r="B2589" t="s">
        <v>11</v>
      </c>
      <c r="C2589" s="2">
        <v>44504</v>
      </c>
      <c r="D2589">
        <f>YEAR(ProductLine[[#This Row],[Date]])</f>
        <v>2021</v>
      </c>
      <c r="E2589">
        <f>MONTH(ProductLine[[#This Row],[Date]])</f>
        <v>11</v>
      </c>
      <c r="F2589" t="s">
        <v>26</v>
      </c>
      <c r="G2589">
        <v>49</v>
      </c>
      <c r="H2589" s="3">
        <v>8.98</v>
      </c>
      <c r="I2589" s="3">
        <f>ProductLine[[#This Row],[Units]]*ProductLine[[#This Row],[Dollars]]</f>
        <v>440.02000000000004</v>
      </c>
    </row>
    <row r="2590" spans="1:9" x14ac:dyDescent="0.35">
      <c r="A2590">
        <v>2589</v>
      </c>
      <c r="B2590" t="s">
        <v>11</v>
      </c>
      <c r="C2590" s="2">
        <v>44517</v>
      </c>
      <c r="D2590">
        <f>YEAR(ProductLine[[#This Row],[Date]])</f>
        <v>2021</v>
      </c>
      <c r="E2590">
        <f>MONTH(ProductLine[[#This Row],[Date]])</f>
        <v>11</v>
      </c>
      <c r="F2590" t="s">
        <v>26</v>
      </c>
      <c r="G2590">
        <v>52</v>
      </c>
      <c r="H2590" s="3">
        <v>8.98</v>
      </c>
      <c r="I2590" s="3">
        <f>ProductLine[[#This Row],[Units]]*ProductLine[[#This Row],[Dollars]]</f>
        <v>466.96000000000004</v>
      </c>
    </row>
    <row r="2591" spans="1:9" x14ac:dyDescent="0.35">
      <c r="A2591">
        <v>2590</v>
      </c>
      <c r="B2591" t="s">
        <v>11</v>
      </c>
      <c r="C2591" s="2">
        <v>44533</v>
      </c>
      <c r="D2591">
        <f>YEAR(ProductLine[[#This Row],[Date]])</f>
        <v>2021</v>
      </c>
      <c r="E2591">
        <f>MONTH(ProductLine[[#This Row],[Date]])</f>
        <v>12</v>
      </c>
      <c r="F2591" t="s">
        <v>26</v>
      </c>
      <c r="G2591">
        <v>47</v>
      </c>
      <c r="H2591" s="3">
        <v>8.98</v>
      </c>
      <c r="I2591" s="3">
        <f>ProductLine[[#This Row],[Units]]*ProductLine[[#This Row],[Dollars]]</f>
        <v>422.06</v>
      </c>
    </row>
    <row r="2592" spans="1:9" x14ac:dyDescent="0.35">
      <c r="A2592">
        <v>2591</v>
      </c>
      <c r="B2592" t="s">
        <v>17</v>
      </c>
      <c r="C2592" s="2">
        <v>44492</v>
      </c>
      <c r="D2592">
        <f>YEAR(ProductLine[[#This Row],[Date]])</f>
        <v>2021</v>
      </c>
      <c r="E2592">
        <f>MONTH(ProductLine[[#This Row],[Date]])</f>
        <v>10</v>
      </c>
      <c r="F2592" t="s">
        <v>26</v>
      </c>
      <c r="G2592">
        <v>45</v>
      </c>
      <c r="H2592" s="3">
        <v>7.98</v>
      </c>
      <c r="I2592" s="3">
        <f>ProductLine[[#This Row],[Units]]*ProductLine[[#This Row],[Dollars]]</f>
        <v>359.1</v>
      </c>
    </row>
    <row r="2593" spans="1:9" x14ac:dyDescent="0.35">
      <c r="A2593">
        <v>2592</v>
      </c>
      <c r="B2593" t="s">
        <v>17</v>
      </c>
      <c r="C2593" s="2">
        <v>44499</v>
      </c>
      <c r="D2593">
        <f>YEAR(ProductLine[[#This Row],[Date]])</f>
        <v>2021</v>
      </c>
      <c r="E2593">
        <f>MONTH(ProductLine[[#This Row],[Date]])</f>
        <v>10</v>
      </c>
      <c r="F2593" t="s">
        <v>26</v>
      </c>
      <c r="G2593">
        <v>38</v>
      </c>
      <c r="H2593" s="3">
        <v>7.98</v>
      </c>
      <c r="I2593" s="3">
        <f>ProductLine[[#This Row],[Units]]*ProductLine[[#This Row],[Dollars]]</f>
        <v>303.24</v>
      </c>
    </row>
    <row r="2594" spans="1:9" x14ac:dyDescent="0.35">
      <c r="A2594">
        <v>2593</v>
      </c>
      <c r="B2594" t="s">
        <v>17</v>
      </c>
      <c r="C2594" s="2">
        <v>44483</v>
      </c>
      <c r="D2594">
        <f>YEAR(ProductLine[[#This Row],[Date]])</f>
        <v>2021</v>
      </c>
      <c r="E2594">
        <f>MONTH(ProductLine[[#This Row],[Date]])</f>
        <v>10</v>
      </c>
      <c r="F2594" t="s">
        <v>26</v>
      </c>
      <c r="G2594">
        <v>26</v>
      </c>
      <c r="H2594" s="3">
        <v>8.98</v>
      </c>
      <c r="I2594" s="3">
        <f>ProductLine[[#This Row],[Units]]*ProductLine[[#This Row],[Dollars]]</f>
        <v>233.48000000000002</v>
      </c>
    </row>
    <row r="2595" spans="1:9" x14ac:dyDescent="0.35">
      <c r="A2595">
        <v>2594</v>
      </c>
      <c r="B2595" t="s">
        <v>13</v>
      </c>
      <c r="C2595" s="2">
        <v>44510</v>
      </c>
      <c r="D2595">
        <f>YEAR(ProductLine[[#This Row],[Date]])</f>
        <v>2021</v>
      </c>
      <c r="E2595">
        <f>MONTH(ProductLine[[#This Row],[Date]])</f>
        <v>11</v>
      </c>
      <c r="F2595" t="s">
        <v>26</v>
      </c>
      <c r="G2595">
        <v>42</v>
      </c>
      <c r="H2595" s="3">
        <v>8.98</v>
      </c>
      <c r="I2595" s="3">
        <f>ProductLine[[#This Row],[Units]]*ProductLine[[#This Row],[Dollars]]</f>
        <v>377.16</v>
      </c>
    </row>
    <row r="2596" spans="1:9" x14ac:dyDescent="0.35">
      <c r="A2596">
        <v>2595</v>
      </c>
      <c r="B2596" t="s">
        <v>13</v>
      </c>
      <c r="C2596" s="2">
        <v>44512</v>
      </c>
      <c r="D2596">
        <f>YEAR(ProductLine[[#This Row],[Date]])</f>
        <v>2021</v>
      </c>
      <c r="E2596">
        <f>MONTH(ProductLine[[#This Row],[Date]])</f>
        <v>11</v>
      </c>
      <c r="F2596" t="s">
        <v>26</v>
      </c>
      <c r="G2596">
        <v>48</v>
      </c>
      <c r="H2596" s="3">
        <v>8.98</v>
      </c>
      <c r="I2596" s="3">
        <f>ProductLine[[#This Row],[Units]]*ProductLine[[#This Row],[Dollars]]</f>
        <v>431.04</v>
      </c>
    </row>
    <row r="2597" spans="1:9" x14ac:dyDescent="0.35">
      <c r="A2597">
        <v>2596</v>
      </c>
      <c r="B2597" t="s">
        <v>14</v>
      </c>
      <c r="C2597" s="2">
        <v>44533</v>
      </c>
      <c r="D2597">
        <f>YEAR(ProductLine[[#This Row],[Date]])</f>
        <v>2021</v>
      </c>
      <c r="E2597">
        <f>MONTH(ProductLine[[#This Row],[Date]])</f>
        <v>12</v>
      </c>
      <c r="F2597" t="s">
        <v>26</v>
      </c>
      <c r="G2597">
        <v>54</v>
      </c>
      <c r="H2597" s="3">
        <v>7.98</v>
      </c>
      <c r="I2597" s="3">
        <f>ProductLine[[#This Row],[Units]]*ProductLine[[#This Row],[Dollars]]</f>
        <v>430.92</v>
      </c>
    </row>
    <row r="2598" spans="1:9" x14ac:dyDescent="0.35">
      <c r="A2598">
        <v>2597</v>
      </c>
      <c r="B2598" t="s">
        <v>14</v>
      </c>
      <c r="C2598" s="2">
        <v>44539</v>
      </c>
      <c r="D2598">
        <f>YEAR(ProductLine[[#This Row],[Date]])</f>
        <v>2021</v>
      </c>
      <c r="E2598">
        <f>MONTH(ProductLine[[#This Row],[Date]])</f>
        <v>12</v>
      </c>
      <c r="F2598" t="s">
        <v>26</v>
      </c>
      <c r="G2598">
        <v>65</v>
      </c>
      <c r="H2598" s="3">
        <v>7.98</v>
      </c>
      <c r="I2598" s="3">
        <f>ProductLine[[#This Row],[Units]]*ProductLine[[#This Row],[Dollars]]</f>
        <v>518.70000000000005</v>
      </c>
    </row>
    <row r="2599" spans="1:9" x14ac:dyDescent="0.35">
      <c r="A2599">
        <v>2598</v>
      </c>
      <c r="B2599" t="s">
        <v>19</v>
      </c>
      <c r="C2599" s="2">
        <v>44539</v>
      </c>
      <c r="D2599">
        <f>YEAR(ProductLine[[#This Row],[Date]])</f>
        <v>2021</v>
      </c>
      <c r="E2599">
        <f>MONTH(ProductLine[[#This Row],[Date]])</f>
        <v>12</v>
      </c>
      <c r="F2599" t="s">
        <v>26</v>
      </c>
      <c r="G2599">
        <v>45</v>
      </c>
      <c r="H2599" s="3">
        <v>7.98</v>
      </c>
      <c r="I2599" s="3">
        <f>ProductLine[[#This Row],[Units]]*ProductLine[[#This Row],[Dollars]]</f>
        <v>359.1</v>
      </c>
    </row>
    <row r="2600" spans="1:9" x14ac:dyDescent="0.35">
      <c r="A2600">
        <v>2599</v>
      </c>
      <c r="B2600" t="s">
        <v>19</v>
      </c>
      <c r="C2600" s="2">
        <v>44478</v>
      </c>
      <c r="D2600">
        <f>YEAR(ProductLine[[#This Row],[Date]])</f>
        <v>2021</v>
      </c>
      <c r="E2600">
        <f>MONTH(ProductLine[[#This Row],[Date]])</f>
        <v>10</v>
      </c>
      <c r="F2600" t="s">
        <v>26</v>
      </c>
      <c r="G2600">
        <v>65</v>
      </c>
      <c r="H2600" s="3">
        <v>7.98</v>
      </c>
      <c r="I2600" s="3">
        <f>ProductLine[[#This Row],[Units]]*ProductLine[[#This Row],[Dollars]]</f>
        <v>518.70000000000005</v>
      </c>
    </row>
    <row r="2601" spans="1:9" x14ac:dyDescent="0.35">
      <c r="A2601">
        <v>2600</v>
      </c>
      <c r="B2601" t="s">
        <v>19</v>
      </c>
      <c r="C2601" s="2">
        <v>44477</v>
      </c>
      <c r="D2601">
        <f>YEAR(ProductLine[[#This Row],[Date]])</f>
        <v>2021</v>
      </c>
      <c r="E2601">
        <f>MONTH(ProductLine[[#This Row],[Date]])</f>
        <v>10</v>
      </c>
      <c r="F2601" t="s">
        <v>26</v>
      </c>
      <c r="G2601">
        <v>72</v>
      </c>
      <c r="H2601" s="3">
        <v>7.98</v>
      </c>
      <c r="I2601" s="3">
        <f>ProductLine[[#This Row],[Units]]*ProductLine[[#This Row],[Dollars]]</f>
        <v>574.56000000000006</v>
      </c>
    </row>
    <row r="2602" spans="1:9" x14ac:dyDescent="0.35">
      <c r="A2602">
        <v>2601</v>
      </c>
      <c r="B2602" t="s">
        <v>19</v>
      </c>
      <c r="C2602" s="2">
        <v>44508</v>
      </c>
      <c r="D2602">
        <f>YEAR(ProductLine[[#This Row],[Date]])</f>
        <v>2021</v>
      </c>
      <c r="E2602">
        <f>MONTH(ProductLine[[#This Row],[Date]])</f>
        <v>11</v>
      </c>
      <c r="F2602" t="s">
        <v>26</v>
      </c>
      <c r="G2602">
        <v>38</v>
      </c>
      <c r="H2602" s="3">
        <v>7.98</v>
      </c>
      <c r="I2602" s="3">
        <f>ProductLine[[#This Row],[Units]]*ProductLine[[#This Row],[Dollars]]</f>
        <v>303.24</v>
      </c>
    </row>
    <row r="2603" spans="1:9" x14ac:dyDescent="0.35">
      <c r="A2603">
        <v>2602</v>
      </c>
      <c r="B2603" t="s">
        <v>19</v>
      </c>
      <c r="C2603" s="2">
        <v>44506</v>
      </c>
      <c r="D2603">
        <f>YEAR(ProductLine[[#This Row],[Date]])</f>
        <v>2021</v>
      </c>
      <c r="E2603">
        <f>MONTH(ProductLine[[#This Row],[Date]])</f>
        <v>11</v>
      </c>
      <c r="F2603" t="s">
        <v>26</v>
      </c>
      <c r="G2603">
        <v>41</v>
      </c>
      <c r="H2603" s="3">
        <v>8.98</v>
      </c>
      <c r="I2603" s="3">
        <f>ProductLine[[#This Row],[Units]]*ProductLine[[#This Row],[Dollars]]</f>
        <v>368.18</v>
      </c>
    </row>
    <row r="2604" spans="1:9" x14ac:dyDescent="0.35">
      <c r="A2604">
        <v>2603</v>
      </c>
      <c r="B2604" t="s">
        <v>19</v>
      </c>
      <c r="C2604" s="2">
        <v>44505</v>
      </c>
      <c r="D2604">
        <f>YEAR(ProductLine[[#This Row],[Date]])</f>
        <v>2021</v>
      </c>
      <c r="E2604">
        <f>MONTH(ProductLine[[#This Row],[Date]])</f>
        <v>11</v>
      </c>
      <c r="F2604" t="s">
        <v>26</v>
      </c>
      <c r="G2604">
        <v>52</v>
      </c>
      <c r="H2604" s="3">
        <v>8.98</v>
      </c>
      <c r="I2604" s="3">
        <f>ProductLine[[#This Row],[Units]]*ProductLine[[#This Row],[Dollars]]</f>
        <v>466.96000000000004</v>
      </c>
    </row>
    <row r="2605" spans="1:9" x14ac:dyDescent="0.35">
      <c r="A2605">
        <v>2604</v>
      </c>
      <c r="B2605" t="s">
        <v>20</v>
      </c>
      <c r="C2605" s="2">
        <v>44498</v>
      </c>
      <c r="D2605">
        <f>YEAR(ProductLine[[#This Row],[Date]])</f>
        <v>2021</v>
      </c>
      <c r="E2605">
        <f>MONTH(ProductLine[[#This Row],[Date]])</f>
        <v>10</v>
      </c>
      <c r="F2605" t="s">
        <v>26</v>
      </c>
      <c r="G2605">
        <v>66</v>
      </c>
      <c r="H2605" s="3">
        <v>7.98</v>
      </c>
      <c r="I2605" s="3">
        <f>ProductLine[[#This Row],[Units]]*ProductLine[[#This Row],[Dollars]]</f>
        <v>526.68000000000006</v>
      </c>
    </row>
    <row r="2606" spans="1:9" x14ac:dyDescent="0.35">
      <c r="A2606">
        <v>2605</v>
      </c>
      <c r="B2606" t="s">
        <v>20</v>
      </c>
      <c r="C2606" s="2">
        <v>44488</v>
      </c>
      <c r="D2606">
        <f>YEAR(ProductLine[[#This Row],[Date]])</f>
        <v>2021</v>
      </c>
      <c r="E2606">
        <f>MONTH(ProductLine[[#This Row],[Date]])</f>
        <v>10</v>
      </c>
      <c r="F2606" t="s">
        <v>26</v>
      </c>
      <c r="G2606">
        <v>61</v>
      </c>
      <c r="H2606" s="3">
        <v>8.98</v>
      </c>
      <c r="I2606" s="3">
        <f>ProductLine[[#This Row],[Units]]*ProductLine[[#This Row],[Dollars]]</f>
        <v>547.78</v>
      </c>
    </row>
    <row r="2607" spans="1:9" x14ac:dyDescent="0.35">
      <c r="A2607">
        <v>2606</v>
      </c>
      <c r="B2607" t="s">
        <v>20</v>
      </c>
      <c r="C2607" s="2">
        <v>44483</v>
      </c>
      <c r="D2607">
        <f>YEAR(ProductLine[[#This Row],[Date]])</f>
        <v>2021</v>
      </c>
      <c r="E2607">
        <f>MONTH(ProductLine[[#This Row],[Date]])</f>
        <v>10</v>
      </c>
      <c r="F2607" t="s">
        <v>26</v>
      </c>
      <c r="G2607">
        <v>72</v>
      </c>
      <c r="H2607" s="3">
        <v>7.98</v>
      </c>
      <c r="I2607" s="3">
        <f>ProductLine[[#This Row],[Units]]*ProductLine[[#This Row],[Dollars]]</f>
        <v>574.56000000000006</v>
      </c>
    </row>
    <row r="2608" spans="1:9" x14ac:dyDescent="0.35">
      <c r="A2608">
        <v>2607</v>
      </c>
      <c r="B2608" t="s">
        <v>20</v>
      </c>
      <c r="C2608" s="2">
        <v>44514</v>
      </c>
      <c r="D2608">
        <f>YEAR(ProductLine[[#This Row],[Date]])</f>
        <v>2021</v>
      </c>
      <c r="E2608">
        <f>MONTH(ProductLine[[#This Row],[Date]])</f>
        <v>11</v>
      </c>
      <c r="F2608" t="s">
        <v>26</v>
      </c>
      <c r="G2608">
        <v>45</v>
      </c>
      <c r="H2608" s="3">
        <v>7.98</v>
      </c>
      <c r="I2608" s="3">
        <f>ProductLine[[#This Row],[Units]]*ProductLine[[#This Row],[Dollars]]</f>
        <v>359.1</v>
      </c>
    </row>
    <row r="2609" spans="1:9" x14ac:dyDescent="0.35">
      <c r="A2609">
        <v>2608</v>
      </c>
      <c r="B2609" t="s">
        <v>20</v>
      </c>
      <c r="C2609" s="2">
        <v>44546</v>
      </c>
      <c r="D2609">
        <f>YEAR(ProductLine[[#This Row],[Date]])</f>
        <v>2021</v>
      </c>
      <c r="E2609">
        <f>MONTH(ProductLine[[#This Row],[Date]])</f>
        <v>12</v>
      </c>
      <c r="F2609" t="s">
        <v>26</v>
      </c>
      <c r="G2609">
        <v>38</v>
      </c>
      <c r="H2609" s="3">
        <v>7.98</v>
      </c>
      <c r="I2609" s="3">
        <f>ProductLine[[#This Row],[Units]]*ProductLine[[#This Row],[Dollars]]</f>
        <v>303.24</v>
      </c>
    </row>
    <row r="2610" spans="1:9" x14ac:dyDescent="0.35">
      <c r="A2610">
        <v>2609</v>
      </c>
      <c r="B2610" t="s">
        <v>20</v>
      </c>
      <c r="C2610" s="2">
        <v>44547</v>
      </c>
      <c r="D2610">
        <f>YEAR(ProductLine[[#This Row],[Date]])</f>
        <v>2021</v>
      </c>
      <c r="E2610">
        <f>MONTH(ProductLine[[#This Row],[Date]])</f>
        <v>12</v>
      </c>
      <c r="F2610" t="s">
        <v>26</v>
      </c>
      <c r="G2610">
        <v>36</v>
      </c>
      <c r="H2610" s="3">
        <v>8.98</v>
      </c>
      <c r="I2610" s="3">
        <f>ProductLine[[#This Row],[Units]]*ProductLine[[#This Row],[Dollars]]</f>
        <v>323.28000000000003</v>
      </c>
    </row>
    <row r="2611" spans="1:9" x14ac:dyDescent="0.35">
      <c r="A2611">
        <v>2610</v>
      </c>
      <c r="B2611" t="s">
        <v>11</v>
      </c>
      <c r="C2611" s="2">
        <v>44481</v>
      </c>
      <c r="D2611">
        <f>YEAR(ProductLine[[#This Row],[Date]])</f>
        <v>2021</v>
      </c>
      <c r="E2611">
        <f>MONTH(ProductLine[[#This Row],[Date]])</f>
        <v>10</v>
      </c>
      <c r="F2611" t="s">
        <v>24</v>
      </c>
      <c r="G2611">
        <v>25</v>
      </c>
      <c r="H2611" s="3">
        <v>10.89</v>
      </c>
      <c r="I2611" s="3">
        <f>ProductLine[[#This Row],[Units]]*ProductLine[[#This Row],[Dollars]]</f>
        <v>272.25</v>
      </c>
    </row>
    <row r="2612" spans="1:9" x14ac:dyDescent="0.35">
      <c r="A2612">
        <v>2611</v>
      </c>
      <c r="B2612" t="s">
        <v>11</v>
      </c>
      <c r="C2612" s="2">
        <v>44494</v>
      </c>
      <c r="D2612">
        <f>YEAR(ProductLine[[#This Row],[Date]])</f>
        <v>2021</v>
      </c>
      <c r="E2612">
        <f>MONTH(ProductLine[[#This Row],[Date]])</f>
        <v>10</v>
      </c>
      <c r="F2612" t="s">
        <v>24</v>
      </c>
      <c r="G2612">
        <v>39</v>
      </c>
      <c r="H2612" s="3">
        <v>9.9700000000000006</v>
      </c>
      <c r="I2612" s="3">
        <f>ProductLine[[#This Row],[Units]]*ProductLine[[#This Row],[Dollars]]</f>
        <v>388.83000000000004</v>
      </c>
    </row>
    <row r="2613" spans="1:9" x14ac:dyDescent="0.35">
      <c r="A2613">
        <v>2612</v>
      </c>
      <c r="B2613" t="s">
        <v>9</v>
      </c>
      <c r="C2613" s="2">
        <v>44490</v>
      </c>
      <c r="D2613">
        <f>YEAR(ProductLine[[#This Row],[Date]])</f>
        <v>2021</v>
      </c>
      <c r="E2613">
        <f>MONTH(ProductLine[[#This Row],[Date]])</f>
        <v>10</v>
      </c>
      <c r="F2613" t="s">
        <v>24</v>
      </c>
      <c r="G2613">
        <v>40</v>
      </c>
      <c r="H2613" s="3">
        <v>9.9700000000000006</v>
      </c>
      <c r="I2613" s="3">
        <f>ProductLine[[#This Row],[Units]]*ProductLine[[#This Row],[Dollars]]</f>
        <v>398.8</v>
      </c>
    </row>
    <row r="2614" spans="1:9" x14ac:dyDescent="0.35">
      <c r="A2614">
        <v>2613</v>
      </c>
      <c r="B2614" t="s">
        <v>9</v>
      </c>
      <c r="C2614" s="2">
        <v>44517</v>
      </c>
      <c r="D2614">
        <f>YEAR(ProductLine[[#This Row],[Date]])</f>
        <v>2021</v>
      </c>
      <c r="E2614">
        <f>MONTH(ProductLine[[#This Row],[Date]])</f>
        <v>11</v>
      </c>
      <c r="F2614" t="s">
        <v>24</v>
      </c>
      <c r="G2614">
        <v>28</v>
      </c>
      <c r="H2614" s="3">
        <v>10.89</v>
      </c>
      <c r="I2614" s="3">
        <f>ProductLine[[#This Row],[Units]]*ProductLine[[#This Row],[Dollars]]</f>
        <v>304.92</v>
      </c>
    </row>
    <row r="2615" spans="1:9" x14ac:dyDescent="0.35">
      <c r="A2615">
        <v>2614</v>
      </c>
      <c r="B2615" t="s">
        <v>9</v>
      </c>
      <c r="C2615" s="2">
        <v>44510</v>
      </c>
      <c r="D2615">
        <f>YEAR(ProductLine[[#This Row],[Date]])</f>
        <v>2021</v>
      </c>
      <c r="E2615">
        <f>MONTH(ProductLine[[#This Row],[Date]])</f>
        <v>11</v>
      </c>
      <c r="F2615" t="s">
        <v>24</v>
      </c>
      <c r="G2615">
        <v>32</v>
      </c>
      <c r="H2615" s="3">
        <v>10.89</v>
      </c>
      <c r="I2615" s="3">
        <f>ProductLine[[#This Row],[Units]]*ProductLine[[#This Row],[Dollars]]</f>
        <v>348.48</v>
      </c>
    </row>
    <row r="2616" spans="1:9" x14ac:dyDescent="0.35">
      <c r="A2616">
        <v>2615</v>
      </c>
      <c r="B2616" t="s">
        <v>14</v>
      </c>
      <c r="C2616" s="2">
        <v>44481</v>
      </c>
      <c r="D2616">
        <f>YEAR(ProductLine[[#This Row],[Date]])</f>
        <v>2021</v>
      </c>
      <c r="E2616">
        <f>MONTH(ProductLine[[#This Row],[Date]])</f>
        <v>10</v>
      </c>
      <c r="F2616" t="s">
        <v>24</v>
      </c>
      <c r="G2616">
        <v>24</v>
      </c>
      <c r="H2616" s="3">
        <v>10.89</v>
      </c>
      <c r="I2616" s="3">
        <f>ProductLine[[#This Row],[Units]]*ProductLine[[#This Row],[Dollars]]</f>
        <v>261.36</v>
      </c>
    </row>
    <row r="2617" spans="1:9" x14ac:dyDescent="0.35">
      <c r="A2617">
        <v>2616</v>
      </c>
      <c r="B2617" t="s">
        <v>19</v>
      </c>
      <c r="C2617" s="2">
        <v>44489</v>
      </c>
      <c r="D2617">
        <f>YEAR(ProductLine[[#This Row],[Date]])</f>
        <v>2021</v>
      </c>
      <c r="E2617">
        <f>MONTH(ProductLine[[#This Row],[Date]])</f>
        <v>10</v>
      </c>
      <c r="F2617" t="s">
        <v>24</v>
      </c>
      <c r="G2617">
        <v>56</v>
      </c>
      <c r="H2617" s="3">
        <v>13.98</v>
      </c>
      <c r="I2617" s="3">
        <f>ProductLine[[#This Row],[Units]]*ProductLine[[#This Row],[Dollars]]</f>
        <v>782.88</v>
      </c>
    </row>
    <row r="2618" spans="1:9" x14ac:dyDescent="0.35">
      <c r="A2618">
        <v>2617</v>
      </c>
      <c r="B2618" t="s">
        <v>18</v>
      </c>
      <c r="C2618" s="2">
        <v>44478</v>
      </c>
      <c r="D2618">
        <f>YEAR(ProductLine[[#This Row],[Date]])</f>
        <v>2021</v>
      </c>
      <c r="E2618">
        <f>MONTH(ProductLine[[#This Row],[Date]])</f>
        <v>10</v>
      </c>
      <c r="F2618" t="s">
        <v>24</v>
      </c>
      <c r="G2618">
        <v>32</v>
      </c>
      <c r="H2618" s="3">
        <v>10.89</v>
      </c>
      <c r="I2618" s="3">
        <f>ProductLine[[#This Row],[Units]]*ProductLine[[#This Row],[Dollars]]</f>
        <v>348.48</v>
      </c>
    </row>
    <row r="2619" spans="1:9" x14ac:dyDescent="0.35">
      <c r="A2619">
        <v>2618</v>
      </c>
      <c r="B2619" t="s">
        <v>18</v>
      </c>
      <c r="C2619" s="2">
        <v>44507</v>
      </c>
      <c r="D2619">
        <f>YEAR(ProductLine[[#This Row],[Date]])</f>
        <v>2021</v>
      </c>
      <c r="E2619">
        <f>MONTH(ProductLine[[#This Row],[Date]])</f>
        <v>11</v>
      </c>
      <c r="F2619" t="s">
        <v>24</v>
      </c>
      <c r="G2619">
        <v>48</v>
      </c>
      <c r="H2619" s="3">
        <v>13.98</v>
      </c>
      <c r="I2619" s="3">
        <f>ProductLine[[#This Row],[Units]]*ProductLine[[#This Row],[Dollars]]</f>
        <v>671.04</v>
      </c>
    </row>
    <row r="2620" spans="1:9" x14ac:dyDescent="0.35">
      <c r="A2620">
        <v>2619</v>
      </c>
      <c r="B2620" t="s">
        <v>20</v>
      </c>
      <c r="C2620" s="2">
        <v>44535</v>
      </c>
      <c r="D2620">
        <f>YEAR(ProductLine[[#This Row],[Date]])</f>
        <v>2021</v>
      </c>
      <c r="E2620">
        <f>MONTH(ProductLine[[#This Row],[Date]])</f>
        <v>12</v>
      </c>
      <c r="F2620" t="s">
        <v>24</v>
      </c>
      <c r="G2620">
        <v>12</v>
      </c>
      <c r="H2620" s="3">
        <v>9.9700000000000006</v>
      </c>
      <c r="I2620" s="3">
        <f>ProductLine[[#This Row],[Units]]*ProductLine[[#This Row],[Dollars]]</f>
        <v>119.64000000000001</v>
      </c>
    </row>
    <row r="2621" spans="1:9" x14ac:dyDescent="0.35">
      <c r="A2621">
        <v>2620</v>
      </c>
      <c r="B2621" t="s">
        <v>20</v>
      </c>
      <c r="C2621" s="2">
        <v>44540</v>
      </c>
      <c r="D2621">
        <f>YEAR(ProductLine[[#This Row],[Date]])</f>
        <v>2021</v>
      </c>
      <c r="E2621">
        <f>MONTH(ProductLine[[#This Row],[Date]])</f>
        <v>12</v>
      </c>
      <c r="F2621" t="s">
        <v>24</v>
      </c>
      <c r="G2621">
        <v>8</v>
      </c>
      <c r="H2621" s="3">
        <v>13.98</v>
      </c>
      <c r="I2621" s="3">
        <f>ProductLine[[#This Row],[Units]]*ProductLine[[#This Row],[Dollars]]</f>
        <v>111.84</v>
      </c>
    </row>
    <row r="2622" spans="1:9" x14ac:dyDescent="0.35">
      <c r="A2622">
        <v>2621</v>
      </c>
      <c r="B2622" t="s">
        <v>20</v>
      </c>
      <c r="C2622" s="2">
        <v>44496</v>
      </c>
      <c r="D2622">
        <f>YEAR(ProductLine[[#This Row],[Date]])</f>
        <v>2021</v>
      </c>
      <c r="E2622">
        <f>MONTH(ProductLine[[#This Row],[Date]])</f>
        <v>10</v>
      </c>
      <c r="F2622" t="s">
        <v>24</v>
      </c>
      <c r="G2622">
        <v>19</v>
      </c>
      <c r="H2622" s="3">
        <v>9.9700000000000006</v>
      </c>
      <c r="I2622" s="3">
        <f>ProductLine[[#This Row],[Units]]*ProductLine[[#This Row],[Dollars]]</f>
        <v>189.43</v>
      </c>
    </row>
    <row r="2623" spans="1:9" x14ac:dyDescent="0.35">
      <c r="A2623">
        <v>2622</v>
      </c>
      <c r="B2623" t="s">
        <v>20</v>
      </c>
      <c r="C2623" s="2">
        <v>44506</v>
      </c>
      <c r="D2623">
        <f>YEAR(ProductLine[[#This Row],[Date]])</f>
        <v>2021</v>
      </c>
      <c r="E2623">
        <f>MONTH(ProductLine[[#This Row],[Date]])</f>
        <v>11</v>
      </c>
      <c r="F2623" t="s">
        <v>24</v>
      </c>
      <c r="G2623">
        <v>27</v>
      </c>
      <c r="H2623" s="3">
        <v>10.89</v>
      </c>
      <c r="I2623" s="3">
        <f>ProductLine[[#This Row],[Units]]*ProductLine[[#This Row],[Dollars]]</f>
        <v>294.03000000000003</v>
      </c>
    </row>
    <row r="2624" spans="1:9" x14ac:dyDescent="0.35">
      <c r="A2624">
        <v>2623</v>
      </c>
      <c r="B2624" t="s">
        <v>9</v>
      </c>
      <c r="C2624" s="2">
        <v>44471</v>
      </c>
      <c r="D2624">
        <f>YEAR(ProductLine[[#This Row],[Date]])</f>
        <v>2021</v>
      </c>
      <c r="E2624">
        <f>MONTH(ProductLine[[#This Row],[Date]])</f>
        <v>10</v>
      </c>
      <c r="F2624" t="s">
        <v>23</v>
      </c>
      <c r="G2624">
        <v>28</v>
      </c>
      <c r="H2624" s="3">
        <v>5.47</v>
      </c>
      <c r="I2624" s="3">
        <f>ProductLine[[#This Row],[Units]]*ProductLine[[#This Row],[Dollars]]</f>
        <v>153.16</v>
      </c>
    </row>
    <row r="2625" spans="1:9" x14ac:dyDescent="0.35">
      <c r="A2625">
        <v>2624</v>
      </c>
      <c r="B2625" t="s">
        <v>9</v>
      </c>
      <c r="C2625" s="2">
        <v>44478</v>
      </c>
      <c r="D2625">
        <f>YEAR(ProductLine[[#This Row],[Date]])</f>
        <v>2021</v>
      </c>
      <c r="E2625">
        <f>MONTH(ProductLine[[#This Row],[Date]])</f>
        <v>10</v>
      </c>
      <c r="F2625" t="s">
        <v>23</v>
      </c>
      <c r="G2625">
        <v>34</v>
      </c>
      <c r="H2625" s="3">
        <v>8.4600000000000009</v>
      </c>
      <c r="I2625" s="3">
        <f>ProductLine[[#This Row],[Units]]*ProductLine[[#This Row],[Dollars]]</f>
        <v>287.64000000000004</v>
      </c>
    </row>
    <row r="2626" spans="1:9" x14ac:dyDescent="0.35">
      <c r="A2626">
        <v>2625</v>
      </c>
      <c r="B2626" t="s">
        <v>9</v>
      </c>
      <c r="C2626" s="2">
        <v>44503</v>
      </c>
      <c r="D2626">
        <f>YEAR(ProductLine[[#This Row],[Date]])</f>
        <v>2021</v>
      </c>
      <c r="E2626">
        <f>MONTH(ProductLine[[#This Row],[Date]])</f>
        <v>11</v>
      </c>
      <c r="F2626" t="s">
        <v>23</v>
      </c>
      <c r="G2626">
        <v>36</v>
      </c>
      <c r="H2626" s="3">
        <v>5.47</v>
      </c>
      <c r="I2626" s="3">
        <f>ProductLine[[#This Row],[Units]]*ProductLine[[#This Row],[Dollars]]</f>
        <v>196.92</v>
      </c>
    </row>
    <row r="2627" spans="1:9" x14ac:dyDescent="0.35">
      <c r="A2627">
        <v>2626</v>
      </c>
      <c r="B2627" t="s">
        <v>9</v>
      </c>
      <c r="C2627" s="2">
        <v>44519</v>
      </c>
      <c r="D2627">
        <f>YEAR(ProductLine[[#This Row],[Date]])</f>
        <v>2021</v>
      </c>
      <c r="E2627">
        <f>MONTH(ProductLine[[#This Row],[Date]])</f>
        <v>11</v>
      </c>
      <c r="F2627" t="s">
        <v>23</v>
      </c>
      <c r="G2627">
        <v>48</v>
      </c>
      <c r="H2627" s="3">
        <v>8.4600000000000009</v>
      </c>
      <c r="I2627" s="3">
        <f>ProductLine[[#This Row],[Units]]*ProductLine[[#This Row],[Dollars]]</f>
        <v>406.08000000000004</v>
      </c>
    </row>
    <row r="2628" spans="1:9" x14ac:dyDescent="0.35">
      <c r="A2628">
        <v>2627</v>
      </c>
      <c r="B2628" t="s">
        <v>9</v>
      </c>
      <c r="C2628" s="2">
        <v>44552</v>
      </c>
      <c r="D2628">
        <f>YEAR(ProductLine[[#This Row],[Date]])</f>
        <v>2021</v>
      </c>
      <c r="E2628">
        <f>MONTH(ProductLine[[#This Row],[Date]])</f>
        <v>12</v>
      </c>
      <c r="F2628" t="s">
        <v>23</v>
      </c>
      <c r="G2628">
        <v>69</v>
      </c>
      <c r="H2628" s="3">
        <v>8.4600000000000009</v>
      </c>
      <c r="I2628" s="3">
        <f>ProductLine[[#This Row],[Units]]*ProductLine[[#This Row],[Dollars]]</f>
        <v>583.74</v>
      </c>
    </row>
    <row r="2629" spans="1:9" x14ac:dyDescent="0.35">
      <c r="A2629">
        <v>2628</v>
      </c>
      <c r="B2629" t="s">
        <v>17</v>
      </c>
      <c r="C2629" s="2">
        <v>44475</v>
      </c>
      <c r="D2629">
        <f>YEAR(ProductLine[[#This Row],[Date]])</f>
        <v>2021</v>
      </c>
      <c r="E2629">
        <f>MONTH(ProductLine[[#This Row],[Date]])</f>
        <v>10</v>
      </c>
      <c r="F2629" t="s">
        <v>23</v>
      </c>
      <c r="G2629">
        <v>54</v>
      </c>
      <c r="H2629" s="3">
        <v>8.4600000000000009</v>
      </c>
      <c r="I2629" s="3">
        <f>ProductLine[[#This Row],[Units]]*ProductLine[[#This Row],[Dollars]]</f>
        <v>456.84000000000003</v>
      </c>
    </row>
    <row r="2630" spans="1:9" x14ac:dyDescent="0.35">
      <c r="A2630">
        <v>2629</v>
      </c>
      <c r="B2630" t="s">
        <v>17</v>
      </c>
      <c r="C2630" s="2">
        <v>44509</v>
      </c>
      <c r="D2630">
        <f>YEAR(ProductLine[[#This Row],[Date]])</f>
        <v>2021</v>
      </c>
      <c r="E2630">
        <f>MONTH(ProductLine[[#This Row],[Date]])</f>
        <v>11</v>
      </c>
      <c r="F2630" t="s">
        <v>23</v>
      </c>
      <c r="G2630">
        <v>62</v>
      </c>
      <c r="H2630" s="3">
        <v>8.4600000000000009</v>
      </c>
      <c r="I2630" s="3">
        <f>ProductLine[[#This Row],[Units]]*ProductLine[[#This Row],[Dollars]]</f>
        <v>524.5200000000001</v>
      </c>
    </row>
    <row r="2631" spans="1:9" x14ac:dyDescent="0.35">
      <c r="A2631">
        <v>2630</v>
      </c>
      <c r="B2631" t="s">
        <v>17</v>
      </c>
      <c r="C2631" s="2">
        <v>44519</v>
      </c>
      <c r="D2631">
        <f>YEAR(ProductLine[[#This Row],[Date]])</f>
        <v>2021</v>
      </c>
      <c r="E2631">
        <f>MONTH(ProductLine[[#This Row],[Date]])</f>
        <v>11</v>
      </c>
      <c r="F2631" t="s">
        <v>23</v>
      </c>
      <c r="G2631">
        <v>48</v>
      </c>
      <c r="H2631" s="3">
        <v>5.47</v>
      </c>
      <c r="I2631" s="3">
        <f>ProductLine[[#This Row],[Units]]*ProductLine[[#This Row],[Dollars]]</f>
        <v>262.56</v>
      </c>
    </row>
    <row r="2632" spans="1:9" x14ac:dyDescent="0.35">
      <c r="A2632">
        <v>2631</v>
      </c>
      <c r="B2632" t="s">
        <v>17</v>
      </c>
      <c r="C2632" s="2">
        <v>44539</v>
      </c>
      <c r="D2632">
        <f>YEAR(ProductLine[[#This Row],[Date]])</f>
        <v>2021</v>
      </c>
      <c r="E2632">
        <f>MONTH(ProductLine[[#This Row],[Date]])</f>
        <v>12</v>
      </c>
      <c r="F2632" t="s">
        <v>23</v>
      </c>
      <c r="G2632">
        <v>26</v>
      </c>
      <c r="H2632" s="3">
        <v>5.57</v>
      </c>
      <c r="I2632" s="3">
        <f>ProductLine[[#This Row],[Units]]*ProductLine[[#This Row],[Dollars]]</f>
        <v>144.82</v>
      </c>
    </row>
    <row r="2633" spans="1:9" x14ac:dyDescent="0.35">
      <c r="A2633">
        <v>2632</v>
      </c>
      <c r="B2633" t="s">
        <v>13</v>
      </c>
      <c r="C2633" s="2">
        <v>44479</v>
      </c>
      <c r="D2633">
        <f>YEAR(ProductLine[[#This Row],[Date]])</f>
        <v>2021</v>
      </c>
      <c r="E2633">
        <f>MONTH(ProductLine[[#This Row],[Date]])</f>
        <v>10</v>
      </c>
      <c r="F2633" t="s">
        <v>23</v>
      </c>
      <c r="G2633">
        <v>29</v>
      </c>
      <c r="H2633" s="3">
        <v>5.57</v>
      </c>
      <c r="I2633" s="3">
        <f>ProductLine[[#This Row],[Units]]*ProductLine[[#This Row],[Dollars]]</f>
        <v>161.53</v>
      </c>
    </row>
    <row r="2634" spans="1:9" x14ac:dyDescent="0.35">
      <c r="A2634">
        <v>2633</v>
      </c>
      <c r="B2634" t="s">
        <v>13</v>
      </c>
      <c r="C2634" s="2">
        <v>44512</v>
      </c>
      <c r="D2634">
        <f>YEAR(ProductLine[[#This Row],[Date]])</f>
        <v>2021</v>
      </c>
      <c r="E2634">
        <f>MONTH(ProductLine[[#This Row],[Date]])</f>
        <v>11</v>
      </c>
      <c r="F2634" t="s">
        <v>23</v>
      </c>
      <c r="G2634">
        <v>44</v>
      </c>
      <c r="H2634" s="3">
        <v>8.4600000000000009</v>
      </c>
      <c r="I2634" s="3">
        <f>ProductLine[[#This Row],[Units]]*ProductLine[[#This Row],[Dollars]]</f>
        <v>372.24</v>
      </c>
    </row>
    <row r="2635" spans="1:9" x14ac:dyDescent="0.35">
      <c r="A2635">
        <v>2634</v>
      </c>
      <c r="B2635" t="s">
        <v>13</v>
      </c>
      <c r="C2635" s="2">
        <v>44541</v>
      </c>
      <c r="D2635">
        <f>YEAR(ProductLine[[#This Row],[Date]])</f>
        <v>2021</v>
      </c>
      <c r="E2635">
        <f>MONTH(ProductLine[[#This Row],[Date]])</f>
        <v>12</v>
      </c>
      <c r="F2635" t="s">
        <v>23</v>
      </c>
      <c r="G2635">
        <v>69</v>
      </c>
      <c r="H2635" s="3">
        <v>8.4600000000000009</v>
      </c>
      <c r="I2635" s="3">
        <f>ProductLine[[#This Row],[Units]]*ProductLine[[#This Row],[Dollars]]</f>
        <v>583.74</v>
      </c>
    </row>
    <row r="2636" spans="1:9" x14ac:dyDescent="0.35">
      <c r="A2636">
        <v>2635</v>
      </c>
      <c r="B2636" t="s">
        <v>19</v>
      </c>
      <c r="C2636" s="2">
        <v>44471</v>
      </c>
      <c r="D2636">
        <f>YEAR(ProductLine[[#This Row],[Date]])</f>
        <v>2021</v>
      </c>
      <c r="E2636">
        <f>MONTH(ProductLine[[#This Row],[Date]])</f>
        <v>10</v>
      </c>
      <c r="F2636" t="s">
        <v>23</v>
      </c>
      <c r="G2636">
        <v>49</v>
      </c>
      <c r="H2636" s="3">
        <v>8.4600000000000009</v>
      </c>
      <c r="I2636" s="3">
        <f>ProductLine[[#This Row],[Units]]*ProductLine[[#This Row],[Dollars]]</f>
        <v>414.54</v>
      </c>
    </row>
    <row r="2637" spans="1:9" x14ac:dyDescent="0.35">
      <c r="A2637">
        <v>2636</v>
      </c>
      <c r="B2637" t="s">
        <v>18</v>
      </c>
      <c r="C2637" s="2">
        <v>44502</v>
      </c>
      <c r="D2637">
        <f>YEAR(ProductLine[[#This Row],[Date]])</f>
        <v>2021</v>
      </c>
      <c r="E2637">
        <f>MONTH(ProductLine[[#This Row],[Date]])</f>
        <v>11</v>
      </c>
      <c r="F2637" t="s">
        <v>23</v>
      </c>
      <c r="G2637">
        <v>59</v>
      </c>
      <c r="H2637" s="3">
        <v>8.4600000000000009</v>
      </c>
      <c r="I2637" s="3">
        <f>ProductLine[[#This Row],[Units]]*ProductLine[[#This Row],[Dollars]]</f>
        <v>499.14000000000004</v>
      </c>
    </row>
    <row r="2638" spans="1:9" x14ac:dyDescent="0.35">
      <c r="A2638">
        <v>2637</v>
      </c>
      <c r="B2638" t="s">
        <v>18</v>
      </c>
      <c r="C2638" s="2">
        <v>44536</v>
      </c>
      <c r="D2638">
        <f>YEAR(ProductLine[[#This Row],[Date]])</f>
        <v>2021</v>
      </c>
      <c r="E2638">
        <f>MONTH(ProductLine[[#This Row],[Date]])</f>
        <v>12</v>
      </c>
      <c r="F2638" t="s">
        <v>23</v>
      </c>
      <c r="G2638">
        <v>69</v>
      </c>
      <c r="H2638" s="3">
        <v>8.4600000000000009</v>
      </c>
      <c r="I2638" s="3">
        <f>ProductLine[[#This Row],[Units]]*ProductLine[[#This Row],[Dollars]]</f>
        <v>583.74</v>
      </c>
    </row>
    <row r="2639" spans="1:9" x14ac:dyDescent="0.35">
      <c r="A2639">
        <v>2638</v>
      </c>
      <c r="B2639" t="s">
        <v>11</v>
      </c>
      <c r="C2639" s="2">
        <v>44470</v>
      </c>
      <c r="D2639">
        <f>YEAR(ProductLine[[#This Row],[Date]])</f>
        <v>2021</v>
      </c>
      <c r="E2639">
        <f>MONTH(ProductLine[[#This Row],[Date]])</f>
        <v>10</v>
      </c>
      <c r="F2639" t="s">
        <v>25</v>
      </c>
      <c r="G2639">
        <v>48</v>
      </c>
      <c r="H2639" s="3">
        <v>6.99</v>
      </c>
      <c r="I2639" s="3">
        <f>ProductLine[[#This Row],[Units]]*ProductLine[[#This Row],[Dollars]]</f>
        <v>335.52</v>
      </c>
    </row>
    <row r="2640" spans="1:9" x14ac:dyDescent="0.35">
      <c r="A2640">
        <v>2639</v>
      </c>
      <c r="B2640" t="s">
        <v>11</v>
      </c>
      <c r="C2640" s="2">
        <v>44473</v>
      </c>
      <c r="D2640">
        <f>YEAR(ProductLine[[#This Row],[Date]])</f>
        <v>2021</v>
      </c>
      <c r="E2640">
        <f>MONTH(ProductLine[[#This Row],[Date]])</f>
        <v>10</v>
      </c>
      <c r="F2640" t="s">
        <v>25</v>
      </c>
      <c r="G2640">
        <v>39</v>
      </c>
      <c r="H2640" s="3">
        <v>10.97</v>
      </c>
      <c r="I2640" s="3">
        <f>ProductLine[[#This Row],[Units]]*ProductLine[[#This Row],[Dollars]]</f>
        <v>427.83000000000004</v>
      </c>
    </row>
    <row r="2641" spans="1:9" x14ac:dyDescent="0.35">
      <c r="A2641">
        <v>2640</v>
      </c>
      <c r="B2641" t="s">
        <v>11</v>
      </c>
      <c r="C2641" s="2">
        <v>44509</v>
      </c>
      <c r="D2641">
        <f>YEAR(ProductLine[[#This Row],[Date]])</f>
        <v>2021</v>
      </c>
      <c r="E2641">
        <f>MONTH(ProductLine[[#This Row],[Date]])</f>
        <v>11</v>
      </c>
      <c r="F2641" t="s">
        <v>25</v>
      </c>
      <c r="G2641">
        <v>56</v>
      </c>
      <c r="H2641" s="3">
        <v>10.97</v>
      </c>
      <c r="I2641" s="3">
        <f>ProductLine[[#This Row],[Units]]*ProductLine[[#This Row],[Dollars]]</f>
        <v>614.32000000000005</v>
      </c>
    </row>
    <row r="2642" spans="1:9" x14ac:dyDescent="0.35">
      <c r="A2642">
        <v>2641</v>
      </c>
      <c r="B2642" t="s">
        <v>11</v>
      </c>
      <c r="C2642" s="2">
        <v>44510</v>
      </c>
      <c r="D2642">
        <f>YEAR(ProductLine[[#This Row],[Date]])</f>
        <v>2021</v>
      </c>
      <c r="E2642">
        <f>MONTH(ProductLine[[#This Row],[Date]])</f>
        <v>11</v>
      </c>
      <c r="F2642" t="s">
        <v>25</v>
      </c>
      <c r="G2642">
        <v>38</v>
      </c>
      <c r="H2642" s="3">
        <v>8.89</v>
      </c>
      <c r="I2642" s="3">
        <f>ProductLine[[#This Row],[Units]]*ProductLine[[#This Row],[Dollars]]</f>
        <v>337.82000000000005</v>
      </c>
    </row>
    <row r="2643" spans="1:9" x14ac:dyDescent="0.35">
      <c r="A2643">
        <v>2642</v>
      </c>
      <c r="B2643" t="s">
        <v>11</v>
      </c>
      <c r="C2643" s="2">
        <v>44533</v>
      </c>
      <c r="D2643">
        <f>YEAR(ProductLine[[#This Row],[Date]])</f>
        <v>2021</v>
      </c>
      <c r="E2643">
        <f>MONTH(ProductLine[[#This Row],[Date]])</f>
        <v>12</v>
      </c>
      <c r="F2643" t="s">
        <v>25</v>
      </c>
      <c r="G2643">
        <v>29</v>
      </c>
      <c r="H2643" s="3">
        <v>8.89</v>
      </c>
      <c r="I2643" s="3">
        <f>ProductLine[[#This Row],[Units]]*ProductLine[[#This Row],[Dollars]]</f>
        <v>257.81</v>
      </c>
    </row>
    <row r="2644" spans="1:9" x14ac:dyDescent="0.35">
      <c r="A2644">
        <v>2643</v>
      </c>
      <c r="B2644" t="s">
        <v>11</v>
      </c>
      <c r="C2644" s="2">
        <v>44483</v>
      </c>
      <c r="D2644">
        <f>YEAR(ProductLine[[#This Row],[Date]])</f>
        <v>2021</v>
      </c>
      <c r="E2644">
        <f>MONTH(ProductLine[[#This Row],[Date]])</f>
        <v>10</v>
      </c>
      <c r="F2644" t="s">
        <v>25</v>
      </c>
      <c r="G2644">
        <v>28</v>
      </c>
      <c r="H2644" s="3">
        <v>10.97</v>
      </c>
      <c r="I2644" s="3">
        <f>ProductLine[[#This Row],[Units]]*ProductLine[[#This Row],[Dollars]]</f>
        <v>307.16000000000003</v>
      </c>
    </row>
    <row r="2645" spans="1:9" x14ac:dyDescent="0.35">
      <c r="A2645">
        <v>2644</v>
      </c>
      <c r="B2645" t="s">
        <v>9</v>
      </c>
      <c r="C2645" s="2">
        <v>44489</v>
      </c>
      <c r="D2645">
        <f>YEAR(ProductLine[[#This Row],[Date]])</f>
        <v>2021</v>
      </c>
      <c r="E2645">
        <f>MONTH(ProductLine[[#This Row],[Date]])</f>
        <v>10</v>
      </c>
      <c r="F2645" t="s">
        <v>25</v>
      </c>
      <c r="G2645">
        <v>64</v>
      </c>
      <c r="H2645" s="3">
        <v>10.97</v>
      </c>
      <c r="I2645" s="3">
        <f>ProductLine[[#This Row],[Units]]*ProductLine[[#This Row],[Dollars]]</f>
        <v>702.08</v>
      </c>
    </row>
    <row r="2646" spans="1:9" x14ac:dyDescent="0.35">
      <c r="A2646">
        <v>2645</v>
      </c>
      <c r="B2646" t="s">
        <v>9</v>
      </c>
      <c r="C2646" s="2">
        <v>44514</v>
      </c>
      <c r="D2646">
        <f>YEAR(ProductLine[[#This Row],[Date]])</f>
        <v>2021</v>
      </c>
      <c r="E2646">
        <f>MONTH(ProductLine[[#This Row],[Date]])</f>
        <v>11</v>
      </c>
      <c r="F2646" t="s">
        <v>25</v>
      </c>
      <c r="G2646">
        <v>73</v>
      </c>
      <c r="H2646" s="3">
        <v>10.97</v>
      </c>
      <c r="I2646" s="3">
        <f>ProductLine[[#This Row],[Units]]*ProductLine[[#This Row],[Dollars]]</f>
        <v>800.81000000000006</v>
      </c>
    </row>
    <row r="2647" spans="1:9" x14ac:dyDescent="0.35">
      <c r="A2647">
        <v>2646</v>
      </c>
      <c r="B2647" t="s">
        <v>9</v>
      </c>
      <c r="C2647" s="2">
        <v>44554</v>
      </c>
      <c r="D2647">
        <f>YEAR(ProductLine[[#This Row],[Date]])</f>
        <v>2021</v>
      </c>
      <c r="E2647">
        <f>MONTH(ProductLine[[#This Row],[Date]])</f>
        <v>12</v>
      </c>
      <c r="F2647" t="s">
        <v>25</v>
      </c>
      <c r="G2647">
        <v>37</v>
      </c>
      <c r="H2647" s="3">
        <v>10.97</v>
      </c>
      <c r="I2647" s="3">
        <f>ProductLine[[#This Row],[Units]]*ProductLine[[#This Row],[Dollars]]</f>
        <v>405.89000000000004</v>
      </c>
    </row>
    <row r="2648" spans="1:9" x14ac:dyDescent="0.35">
      <c r="A2648">
        <v>2647</v>
      </c>
      <c r="B2648" t="s">
        <v>9</v>
      </c>
      <c r="C2648" s="2">
        <v>44555</v>
      </c>
      <c r="D2648">
        <f>YEAR(ProductLine[[#This Row],[Date]])</f>
        <v>2021</v>
      </c>
      <c r="E2648">
        <f>MONTH(ProductLine[[#This Row],[Date]])</f>
        <v>12</v>
      </c>
      <c r="F2648" t="s">
        <v>25</v>
      </c>
      <c r="G2648">
        <v>52</v>
      </c>
      <c r="H2648" s="3">
        <v>6.99</v>
      </c>
      <c r="I2648" s="3">
        <f>ProductLine[[#This Row],[Units]]*ProductLine[[#This Row],[Dollars]]</f>
        <v>363.48</v>
      </c>
    </row>
    <row r="2649" spans="1:9" x14ac:dyDescent="0.35">
      <c r="A2649">
        <v>2648</v>
      </c>
      <c r="B2649" t="s">
        <v>19</v>
      </c>
      <c r="C2649" s="2">
        <v>44558</v>
      </c>
      <c r="D2649">
        <f>YEAR(ProductLine[[#This Row],[Date]])</f>
        <v>2021</v>
      </c>
      <c r="E2649">
        <f>MONTH(ProductLine[[#This Row],[Date]])</f>
        <v>12</v>
      </c>
      <c r="F2649" t="s">
        <v>25</v>
      </c>
      <c r="G2649">
        <v>28</v>
      </c>
      <c r="H2649" s="3">
        <v>10.97</v>
      </c>
      <c r="I2649" s="3">
        <f>ProductLine[[#This Row],[Units]]*ProductLine[[#This Row],[Dollars]]</f>
        <v>307.16000000000003</v>
      </c>
    </row>
    <row r="2650" spans="1:9" x14ac:dyDescent="0.35">
      <c r="A2650">
        <v>2649</v>
      </c>
      <c r="B2650" t="s">
        <v>19</v>
      </c>
      <c r="C2650" s="2">
        <v>44550</v>
      </c>
      <c r="D2650">
        <f>YEAR(ProductLine[[#This Row],[Date]])</f>
        <v>2021</v>
      </c>
      <c r="E2650">
        <f>MONTH(ProductLine[[#This Row],[Date]])</f>
        <v>12</v>
      </c>
      <c r="F2650" t="s">
        <v>25</v>
      </c>
      <c r="G2650">
        <v>52</v>
      </c>
      <c r="H2650" s="3">
        <v>8.89</v>
      </c>
      <c r="I2650" s="3">
        <f>ProductLine[[#This Row],[Units]]*ProductLine[[#This Row],[Dollars]]</f>
        <v>462.28000000000003</v>
      </c>
    </row>
    <row r="2651" spans="1:9" x14ac:dyDescent="0.35">
      <c r="A2651">
        <v>2650</v>
      </c>
      <c r="B2651" t="s">
        <v>19</v>
      </c>
      <c r="C2651" s="2">
        <v>44478</v>
      </c>
      <c r="D2651">
        <f>YEAR(ProductLine[[#This Row],[Date]])</f>
        <v>2021</v>
      </c>
      <c r="E2651">
        <f>MONTH(ProductLine[[#This Row],[Date]])</f>
        <v>10</v>
      </c>
      <c r="F2651" t="s">
        <v>25</v>
      </c>
      <c r="G2651">
        <v>13</v>
      </c>
      <c r="H2651" s="3">
        <v>10.97</v>
      </c>
      <c r="I2651" s="3">
        <f>ProductLine[[#This Row],[Units]]*ProductLine[[#This Row],[Dollars]]</f>
        <v>142.61000000000001</v>
      </c>
    </row>
    <row r="2652" spans="1:9" x14ac:dyDescent="0.35">
      <c r="A2652">
        <v>2651</v>
      </c>
      <c r="B2652" t="s">
        <v>19</v>
      </c>
      <c r="C2652" s="2">
        <v>44494</v>
      </c>
      <c r="D2652">
        <f>YEAR(ProductLine[[#This Row],[Date]])</f>
        <v>2021</v>
      </c>
      <c r="E2652">
        <f>MONTH(ProductLine[[#This Row],[Date]])</f>
        <v>10</v>
      </c>
      <c r="F2652" t="s">
        <v>25</v>
      </c>
      <c r="G2652">
        <v>34</v>
      </c>
      <c r="H2652" s="3">
        <v>8.89</v>
      </c>
      <c r="I2652" s="3">
        <f>ProductLine[[#This Row],[Units]]*ProductLine[[#This Row],[Dollars]]</f>
        <v>302.26</v>
      </c>
    </row>
    <row r="2653" spans="1:9" x14ac:dyDescent="0.35">
      <c r="A2653">
        <v>2652</v>
      </c>
      <c r="B2653" t="s">
        <v>19</v>
      </c>
      <c r="C2653" s="2">
        <v>44516</v>
      </c>
      <c r="D2653">
        <f>YEAR(ProductLine[[#This Row],[Date]])</f>
        <v>2021</v>
      </c>
      <c r="E2653">
        <f>MONTH(ProductLine[[#This Row],[Date]])</f>
        <v>11</v>
      </c>
      <c r="F2653" t="s">
        <v>25</v>
      </c>
      <c r="G2653">
        <v>50</v>
      </c>
      <c r="H2653" s="3">
        <v>10.97</v>
      </c>
      <c r="I2653" s="3">
        <f>ProductLine[[#This Row],[Units]]*ProductLine[[#This Row],[Dollars]]</f>
        <v>548.5</v>
      </c>
    </row>
    <row r="2654" spans="1:9" x14ac:dyDescent="0.35">
      <c r="A2654">
        <v>2653</v>
      </c>
      <c r="B2654" t="s">
        <v>18</v>
      </c>
      <c r="C2654" s="2">
        <v>44487</v>
      </c>
      <c r="D2654">
        <f>YEAR(ProductLine[[#This Row],[Date]])</f>
        <v>2021</v>
      </c>
      <c r="E2654">
        <f>MONTH(ProductLine[[#This Row],[Date]])</f>
        <v>10</v>
      </c>
      <c r="F2654" t="s">
        <v>25</v>
      </c>
      <c r="G2654">
        <v>62</v>
      </c>
      <c r="H2654" s="3">
        <v>8.89</v>
      </c>
      <c r="I2654" s="3">
        <f>ProductLine[[#This Row],[Units]]*ProductLine[[#This Row],[Dollars]]</f>
        <v>551.18000000000006</v>
      </c>
    </row>
    <row r="2655" spans="1:9" x14ac:dyDescent="0.35">
      <c r="A2655">
        <v>2654</v>
      </c>
      <c r="B2655" t="s">
        <v>18</v>
      </c>
      <c r="C2655" s="2">
        <v>44526</v>
      </c>
      <c r="D2655">
        <f>YEAR(ProductLine[[#This Row],[Date]])</f>
        <v>2021</v>
      </c>
      <c r="E2655">
        <f>MONTH(ProductLine[[#This Row],[Date]])</f>
        <v>11</v>
      </c>
      <c r="F2655" t="s">
        <v>25</v>
      </c>
      <c r="G2655">
        <v>28</v>
      </c>
      <c r="H2655" s="3">
        <v>10.97</v>
      </c>
      <c r="I2655" s="3">
        <f>ProductLine[[#This Row],[Units]]*ProductLine[[#This Row],[Dollars]]</f>
        <v>307.16000000000003</v>
      </c>
    </row>
    <row r="2656" spans="1:9" x14ac:dyDescent="0.35">
      <c r="A2656">
        <v>2655</v>
      </c>
      <c r="B2656" t="s">
        <v>18</v>
      </c>
      <c r="C2656" s="2">
        <v>44531</v>
      </c>
      <c r="D2656">
        <f>YEAR(ProductLine[[#This Row],[Date]])</f>
        <v>2021</v>
      </c>
      <c r="E2656">
        <f>MONTH(ProductLine[[#This Row],[Date]])</f>
        <v>12</v>
      </c>
      <c r="F2656" t="s">
        <v>25</v>
      </c>
      <c r="G2656">
        <v>10</v>
      </c>
      <c r="H2656" s="3">
        <v>10.97</v>
      </c>
      <c r="I2656" s="3">
        <f>ProductLine[[#This Row],[Units]]*ProductLine[[#This Row],[Dollars]]</f>
        <v>109.7</v>
      </c>
    </row>
    <row r="2657" spans="1:9" x14ac:dyDescent="0.35">
      <c r="A2657">
        <v>2656</v>
      </c>
      <c r="B2657" t="s">
        <v>18</v>
      </c>
      <c r="C2657" s="2">
        <v>44539</v>
      </c>
      <c r="D2657">
        <f>YEAR(ProductLine[[#This Row],[Date]])</f>
        <v>2021</v>
      </c>
      <c r="E2657">
        <f>MONTH(ProductLine[[#This Row],[Date]])</f>
        <v>12</v>
      </c>
      <c r="F2657" t="s">
        <v>25</v>
      </c>
      <c r="G2657">
        <v>39</v>
      </c>
      <c r="H2657" s="3">
        <v>10.97</v>
      </c>
      <c r="I2657" s="3">
        <f>ProductLine[[#This Row],[Units]]*ProductLine[[#This Row],[Dollars]]</f>
        <v>427.83000000000004</v>
      </c>
    </row>
    <row r="2658" spans="1:9" x14ac:dyDescent="0.35">
      <c r="A2658">
        <v>2657</v>
      </c>
      <c r="B2658" t="s">
        <v>20</v>
      </c>
      <c r="C2658" s="2">
        <v>44559</v>
      </c>
      <c r="D2658">
        <f>YEAR(ProductLine[[#This Row],[Date]])</f>
        <v>2021</v>
      </c>
      <c r="E2658">
        <f>MONTH(ProductLine[[#This Row],[Date]])</f>
        <v>12</v>
      </c>
      <c r="F2658" t="s">
        <v>25</v>
      </c>
      <c r="G2658">
        <v>52</v>
      </c>
      <c r="H2658" s="3">
        <v>10.97</v>
      </c>
      <c r="I2658" s="3">
        <f>ProductLine[[#This Row],[Units]]*ProductLine[[#This Row],[Dollars]]</f>
        <v>570.44000000000005</v>
      </c>
    </row>
    <row r="2659" spans="1:9" x14ac:dyDescent="0.35">
      <c r="A2659">
        <v>2658</v>
      </c>
      <c r="B2659" t="s">
        <v>9</v>
      </c>
      <c r="C2659" s="2">
        <v>44483</v>
      </c>
      <c r="D2659">
        <f>YEAR(ProductLine[[#This Row],[Date]])</f>
        <v>2021</v>
      </c>
      <c r="E2659">
        <f>MONTH(ProductLine[[#This Row],[Date]])</f>
        <v>10</v>
      </c>
      <c r="F2659" t="s">
        <v>27</v>
      </c>
      <c r="G2659">
        <v>28</v>
      </c>
      <c r="H2659" s="3">
        <v>9.98</v>
      </c>
      <c r="I2659" s="3">
        <f>ProductLine[[#This Row],[Units]]*ProductLine[[#This Row],[Dollars]]</f>
        <v>279.44</v>
      </c>
    </row>
    <row r="2660" spans="1:9" x14ac:dyDescent="0.35">
      <c r="A2660">
        <v>2659</v>
      </c>
      <c r="B2660" t="s">
        <v>9</v>
      </c>
      <c r="C2660" s="2">
        <v>44498</v>
      </c>
      <c r="D2660">
        <f>YEAR(ProductLine[[#This Row],[Date]])</f>
        <v>2021</v>
      </c>
      <c r="E2660">
        <f>MONTH(ProductLine[[#This Row],[Date]])</f>
        <v>10</v>
      </c>
      <c r="F2660" t="s">
        <v>27</v>
      </c>
      <c r="G2660">
        <v>39</v>
      </c>
      <c r="H2660" s="3">
        <v>9.43</v>
      </c>
      <c r="I2660" s="3">
        <f>ProductLine[[#This Row],[Units]]*ProductLine[[#This Row],[Dollars]]</f>
        <v>367.77</v>
      </c>
    </row>
    <row r="2661" spans="1:9" x14ac:dyDescent="0.35">
      <c r="A2661">
        <v>2660</v>
      </c>
      <c r="B2661" t="s">
        <v>13</v>
      </c>
      <c r="C2661" s="2">
        <v>44480</v>
      </c>
      <c r="D2661">
        <f>YEAR(ProductLine[[#This Row],[Date]])</f>
        <v>2021</v>
      </c>
      <c r="E2661">
        <f>MONTH(ProductLine[[#This Row],[Date]])</f>
        <v>10</v>
      </c>
      <c r="F2661" t="s">
        <v>27</v>
      </c>
      <c r="G2661">
        <v>61</v>
      </c>
      <c r="H2661" s="3">
        <v>9.43</v>
      </c>
      <c r="I2661" s="3">
        <f>ProductLine[[#This Row],[Units]]*ProductLine[[#This Row],[Dollars]]</f>
        <v>575.23</v>
      </c>
    </row>
    <row r="2662" spans="1:9" x14ac:dyDescent="0.35">
      <c r="A2662">
        <v>2661</v>
      </c>
      <c r="B2662" t="s">
        <v>13</v>
      </c>
      <c r="C2662" s="2">
        <v>44492</v>
      </c>
      <c r="D2662">
        <f>YEAR(ProductLine[[#This Row],[Date]])</f>
        <v>2021</v>
      </c>
      <c r="E2662">
        <f>MONTH(ProductLine[[#This Row],[Date]])</f>
        <v>10</v>
      </c>
      <c r="F2662" t="s">
        <v>27</v>
      </c>
      <c r="G2662">
        <v>18</v>
      </c>
      <c r="H2662" s="3">
        <v>9.43</v>
      </c>
      <c r="I2662" s="3">
        <f>ProductLine[[#This Row],[Units]]*ProductLine[[#This Row],[Dollars]]</f>
        <v>169.74</v>
      </c>
    </row>
    <row r="2663" spans="1:9" x14ac:dyDescent="0.35">
      <c r="A2663">
        <v>2662</v>
      </c>
      <c r="B2663" t="s">
        <v>13</v>
      </c>
      <c r="C2663" s="2">
        <v>44473</v>
      </c>
      <c r="D2663">
        <f>YEAR(ProductLine[[#This Row],[Date]])</f>
        <v>2021</v>
      </c>
      <c r="E2663">
        <f>MONTH(ProductLine[[#This Row],[Date]])</f>
        <v>10</v>
      </c>
      <c r="F2663" t="s">
        <v>27</v>
      </c>
      <c r="G2663">
        <v>48</v>
      </c>
      <c r="H2663" s="3">
        <v>9.98</v>
      </c>
      <c r="I2663" s="3">
        <f>ProductLine[[#This Row],[Units]]*ProductLine[[#This Row],[Dollars]]</f>
        <v>479.04</v>
      </c>
    </row>
    <row r="2664" spans="1:9" x14ac:dyDescent="0.35">
      <c r="A2664">
        <v>2663</v>
      </c>
      <c r="B2664" t="s">
        <v>13</v>
      </c>
      <c r="C2664" s="2">
        <v>44506</v>
      </c>
      <c r="D2664">
        <f>YEAR(ProductLine[[#This Row],[Date]])</f>
        <v>2021</v>
      </c>
      <c r="E2664">
        <f>MONTH(ProductLine[[#This Row],[Date]])</f>
        <v>11</v>
      </c>
      <c r="F2664" t="s">
        <v>27</v>
      </c>
      <c r="G2664">
        <v>26</v>
      </c>
      <c r="H2664" s="3">
        <v>9.98</v>
      </c>
      <c r="I2664" s="3">
        <f>ProductLine[[#This Row],[Units]]*ProductLine[[#This Row],[Dollars]]</f>
        <v>259.48</v>
      </c>
    </row>
    <row r="2665" spans="1:9" x14ac:dyDescent="0.35">
      <c r="A2665">
        <v>2664</v>
      </c>
      <c r="B2665" t="s">
        <v>13</v>
      </c>
      <c r="C2665" s="2">
        <v>44549</v>
      </c>
      <c r="D2665">
        <f>YEAR(ProductLine[[#This Row],[Date]])</f>
        <v>2021</v>
      </c>
      <c r="E2665">
        <f>MONTH(ProductLine[[#This Row],[Date]])</f>
        <v>12</v>
      </c>
      <c r="F2665" t="s">
        <v>27</v>
      </c>
      <c r="G2665">
        <v>52</v>
      </c>
      <c r="H2665" s="3">
        <v>9.43</v>
      </c>
      <c r="I2665" s="3">
        <f>ProductLine[[#This Row],[Units]]*ProductLine[[#This Row],[Dollars]]</f>
        <v>490.36</v>
      </c>
    </row>
    <row r="2666" spans="1:9" x14ac:dyDescent="0.35">
      <c r="A2666">
        <v>2665</v>
      </c>
      <c r="B2666" t="s">
        <v>14</v>
      </c>
      <c r="C2666" s="2">
        <v>44471</v>
      </c>
      <c r="D2666">
        <f>YEAR(ProductLine[[#This Row],[Date]])</f>
        <v>2021</v>
      </c>
      <c r="E2666">
        <f>MONTH(ProductLine[[#This Row],[Date]])</f>
        <v>10</v>
      </c>
      <c r="F2666" t="s">
        <v>27</v>
      </c>
      <c r="G2666">
        <v>19</v>
      </c>
      <c r="H2666" s="3">
        <v>8.5500000000000007</v>
      </c>
      <c r="I2666" s="3">
        <f>ProductLine[[#This Row],[Units]]*ProductLine[[#This Row],[Dollars]]</f>
        <v>162.45000000000002</v>
      </c>
    </row>
    <row r="2667" spans="1:9" x14ac:dyDescent="0.35">
      <c r="A2667">
        <v>2666</v>
      </c>
      <c r="B2667" t="s">
        <v>14</v>
      </c>
      <c r="C2667" s="2">
        <v>44478</v>
      </c>
      <c r="D2667">
        <f>YEAR(ProductLine[[#This Row],[Date]])</f>
        <v>2021</v>
      </c>
      <c r="E2667">
        <f>MONTH(ProductLine[[#This Row],[Date]])</f>
        <v>10</v>
      </c>
      <c r="F2667" t="s">
        <v>27</v>
      </c>
      <c r="G2667">
        <v>6</v>
      </c>
      <c r="H2667" s="3">
        <v>8.5500000000000007</v>
      </c>
      <c r="I2667" s="3">
        <f>ProductLine[[#This Row],[Units]]*ProductLine[[#This Row],[Dollars]]</f>
        <v>51.300000000000004</v>
      </c>
    </row>
    <row r="2668" spans="1:9" x14ac:dyDescent="0.35">
      <c r="A2668">
        <v>2667</v>
      </c>
      <c r="B2668" t="s">
        <v>14</v>
      </c>
      <c r="C2668" s="2">
        <v>44550</v>
      </c>
      <c r="D2668">
        <f>YEAR(ProductLine[[#This Row],[Date]])</f>
        <v>2021</v>
      </c>
      <c r="E2668">
        <f>MONTH(ProductLine[[#This Row],[Date]])</f>
        <v>12</v>
      </c>
      <c r="F2668" t="s">
        <v>27</v>
      </c>
      <c r="G2668">
        <v>39</v>
      </c>
      <c r="H2668" s="3">
        <v>8.5500000000000007</v>
      </c>
      <c r="I2668" s="3">
        <f>ProductLine[[#This Row],[Units]]*ProductLine[[#This Row],[Dollars]]</f>
        <v>333.45000000000005</v>
      </c>
    </row>
    <row r="2669" spans="1:9" x14ac:dyDescent="0.35">
      <c r="A2669">
        <v>2668</v>
      </c>
      <c r="B2669" t="s">
        <v>14</v>
      </c>
      <c r="C2669" s="2">
        <v>44528</v>
      </c>
      <c r="D2669">
        <f>YEAR(ProductLine[[#This Row],[Date]])</f>
        <v>2021</v>
      </c>
      <c r="E2669">
        <f>MONTH(ProductLine[[#This Row],[Date]])</f>
        <v>11</v>
      </c>
      <c r="F2669" t="s">
        <v>27</v>
      </c>
      <c r="G2669">
        <v>52</v>
      </c>
      <c r="H2669" s="3">
        <v>9.98</v>
      </c>
      <c r="I2669" s="3">
        <f>ProductLine[[#This Row],[Units]]*ProductLine[[#This Row],[Dollars]]</f>
        <v>518.96</v>
      </c>
    </row>
    <row r="2670" spans="1:9" x14ac:dyDescent="0.35">
      <c r="A2670">
        <v>2669</v>
      </c>
      <c r="B2670" t="s">
        <v>14</v>
      </c>
      <c r="C2670" s="2">
        <v>44501</v>
      </c>
      <c r="D2670">
        <f>YEAR(ProductLine[[#This Row],[Date]])</f>
        <v>2021</v>
      </c>
      <c r="E2670">
        <f>MONTH(ProductLine[[#This Row],[Date]])</f>
        <v>11</v>
      </c>
      <c r="F2670" t="s">
        <v>27</v>
      </c>
      <c r="G2670">
        <v>40</v>
      </c>
      <c r="H2670" s="3">
        <v>9.98</v>
      </c>
      <c r="I2670" s="3">
        <f>ProductLine[[#This Row],[Units]]*ProductLine[[#This Row],[Dollars]]</f>
        <v>399.20000000000005</v>
      </c>
    </row>
    <row r="2671" spans="1:9" x14ac:dyDescent="0.35">
      <c r="A2671">
        <v>2670</v>
      </c>
      <c r="B2671" t="s">
        <v>19</v>
      </c>
      <c r="C2671" s="2">
        <v>44482</v>
      </c>
      <c r="D2671">
        <f>YEAR(ProductLine[[#This Row],[Date]])</f>
        <v>2021</v>
      </c>
      <c r="E2671">
        <f>MONTH(ProductLine[[#This Row],[Date]])</f>
        <v>10</v>
      </c>
      <c r="F2671" t="s">
        <v>27</v>
      </c>
      <c r="G2671">
        <v>51</v>
      </c>
      <c r="H2671" s="3">
        <v>9.98</v>
      </c>
      <c r="I2671" s="3">
        <f>ProductLine[[#This Row],[Units]]*ProductLine[[#This Row],[Dollars]]</f>
        <v>508.98</v>
      </c>
    </row>
    <row r="2672" spans="1:9" x14ac:dyDescent="0.35">
      <c r="A2672">
        <v>2671</v>
      </c>
      <c r="B2672" t="s">
        <v>19</v>
      </c>
      <c r="C2672" s="2">
        <v>44495</v>
      </c>
      <c r="D2672">
        <f>YEAR(ProductLine[[#This Row],[Date]])</f>
        <v>2021</v>
      </c>
      <c r="E2672">
        <f>MONTH(ProductLine[[#This Row],[Date]])</f>
        <v>10</v>
      </c>
      <c r="F2672" t="s">
        <v>27</v>
      </c>
      <c r="G2672">
        <v>38</v>
      </c>
      <c r="H2672" s="3">
        <v>9.43</v>
      </c>
      <c r="I2672" s="3">
        <f>ProductLine[[#This Row],[Units]]*ProductLine[[#This Row],[Dollars]]</f>
        <v>358.34</v>
      </c>
    </row>
    <row r="2673" spans="1:9" x14ac:dyDescent="0.35">
      <c r="A2673">
        <v>2672</v>
      </c>
      <c r="B2673" t="s">
        <v>19</v>
      </c>
      <c r="C2673" s="2">
        <v>44547</v>
      </c>
      <c r="D2673">
        <f>YEAR(ProductLine[[#This Row],[Date]])</f>
        <v>2021</v>
      </c>
      <c r="E2673">
        <f>MONTH(ProductLine[[#This Row],[Date]])</f>
        <v>12</v>
      </c>
      <c r="F2673" t="s">
        <v>27</v>
      </c>
      <c r="G2673">
        <v>28</v>
      </c>
      <c r="H2673" s="3">
        <v>9.43</v>
      </c>
      <c r="I2673" s="3">
        <f>ProductLine[[#This Row],[Units]]*ProductLine[[#This Row],[Dollars]]</f>
        <v>264.03999999999996</v>
      </c>
    </row>
    <row r="2674" spans="1:9" x14ac:dyDescent="0.35">
      <c r="A2674">
        <v>2673</v>
      </c>
      <c r="B2674" t="s">
        <v>18</v>
      </c>
      <c r="C2674" s="2">
        <v>44489</v>
      </c>
      <c r="D2674">
        <f>YEAR(ProductLine[[#This Row],[Date]])</f>
        <v>2021</v>
      </c>
      <c r="E2674">
        <f>MONTH(ProductLine[[#This Row],[Date]])</f>
        <v>10</v>
      </c>
      <c r="F2674" t="s">
        <v>27</v>
      </c>
      <c r="G2674">
        <v>40</v>
      </c>
      <c r="H2674" s="3">
        <v>9.43</v>
      </c>
      <c r="I2674" s="3">
        <f>ProductLine[[#This Row],[Units]]*ProductLine[[#This Row],[Dollars]]</f>
        <v>377.2</v>
      </c>
    </row>
    <row r="2675" spans="1:9" x14ac:dyDescent="0.35">
      <c r="A2675">
        <v>2674</v>
      </c>
      <c r="B2675" t="s">
        <v>18</v>
      </c>
      <c r="C2675" s="2">
        <v>44494</v>
      </c>
      <c r="D2675">
        <f>YEAR(ProductLine[[#This Row],[Date]])</f>
        <v>2021</v>
      </c>
      <c r="E2675">
        <f>MONTH(ProductLine[[#This Row],[Date]])</f>
        <v>10</v>
      </c>
      <c r="F2675" t="s">
        <v>27</v>
      </c>
      <c r="G2675">
        <v>10</v>
      </c>
      <c r="H2675" s="3">
        <v>8.5500000000000007</v>
      </c>
      <c r="I2675" s="3">
        <f>ProductLine[[#This Row],[Units]]*ProductLine[[#This Row],[Dollars]]</f>
        <v>85.5</v>
      </c>
    </row>
    <row r="2676" spans="1:9" x14ac:dyDescent="0.35">
      <c r="A2676">
        <v>2675</v>
      </c>
      <c r="B2676" t="s">
        <v>18</v>
      </c>
      <c r="C2676" s="2">
        <v>44497</v>
      </c>
      <c r="D2676">
        <f>YEAR(ProductLine[[#This Row],[Date]])</f>
        <v>2021</v>
      </c>
      <c r="E2676">
        <f>MONTH(ProductLine[[#This Row],[Date]])</f>
        <v>10</v>
      </c>
      <c r="F2676" t="s">
        <v>27</v>
      </c>
      <c r="G2676">
        <v>16</v>
      </c>
      <c r="H2676" s="3">
        <v>9.43</v>
      </c>
      <c r="I2676" s="3">
        <f>ProductLine[[#This Row],[Units]]*ProductLine[[#This Row],[Dollars]]</f>
        <v>150.88</v>
      </c>
    </row>
    <row r="2677" spans="1:9" x14ac:dyDescent="0.35">
      <c r="A2677">
        <v>2676</v>
      </c>
      <c r="B2677" t="s">
        <v>18</v>
      </c>
      <c r="C2677" s="2">
        <v>44509</v>
      </c>
      <c r="D2677">
        <f>YEAR(ProductLine[[#This Row],[Date]])</f>
        <v>2021</v>
      </c>
      <c r="E2677">
        <f>MONTH(ProductLine[[#This Row],[Date]])</f>
        <v>11</v>
      </c>
      <c r="F2677" t="s">
        <v>27</v>
      </c>
      <c r="G2677">
        <v>46</v>
      </c>
      <c r="H2677" s="3">
        <v>8.5500000000000007</v>
      </c>
      <c r="I2677" s="3">
        <f>ProductLine[[#This Row],[Units]]*ProductLine[[#This Row],[Dollars]]</f>
        <v>393.3</v>
      </c>
    </row>
    <row r="2678" spans="1:9" x14ac:dyDescent="0.35">
      <c r="A2678">
        <v>2677</v>
      </c>
      <c r="B2678" t="s">
        <v>18</v>
      </c>
      <c r="C2678" s="2">
        <v>44501</v>
      </c>
      <c r="D2678">
        <f>YEAR(ProductLine[[#This Row],[Date]])</f>
        <v>2021</v>
      </c>
      <c r="E2678">
        <f>MONTH(ProductLine[[#This Row],[Date]])</f>
        <v>11</v>
      </c>
      <c r="F2678" t="s">
        <v>27</v>
      </c>
      <c r="G2678">
        <v>62</v>
      </c>
      <c r="H2678" s="3">
        <v>9.98</v>
      </c>
      <c r="I2678" s="3">
        <f>ProductLine[[#This Row],[Units]]*ProductLine[[#This Row],[Dollars]]</f>
        <v>618.76</v>
      </c>
    </row>
    <row r="2679" spans="1:9" x14ac:dyDescent="0.35">
      <c r="A2679">
        <v>2678</v>
      </c>
      <c r="B2679" t="s">
        <v>18</v>
      </c>
      <c r="C2679" s="2">
        <v>44560</v>
      </c>
      <c r="D2679">
        <f>YEAR(ProductLine[[#This Row],[Date]])</f>
        <v>2021</v>
      </c>
      <c r="E2679">
        <f>MONTH(ProductLine[[#This Row],[Date]])</f>
        <v>12</v>
      </c>
      <c r="F2679" t="s">
        <v>27</v>
      </c>
      <c r="G2679">
        <v>29</v>
      </c>
      <c r="H2679" s="3">
        <v>9.98</v>
      </c>
      <c r="I2679" s="3">
        <f>ProductLine[[#This Row],[Units]]*ProductLine[[#This Row],[Dollars]]</f>
        <v>289.42</v>
      </c>
    </row>
    <row r="2680" spans="1:9" x14ac:dyDescent="0.35">
      <c r="A2680">
        <v>2679</v>
      </c>
      <c r="B2680" t="s">
        <v>20</v>
      </c>
      <c r="C2680" s="2">
        <v>44494</v>
      </c>
      <c r="D2680">
        <f>YEAR(ProductLine[[#This Row],[Date]])</f>
        <v>2021</v>
      </c>
      <c r="E2680">
        <f>MONTH(ProductLine[[#This Row],[Date]])</f>
        <v>10</v>
      </c>
      <c r="F2680" t="s">
        <v>27</v>
      </c>
      <c r="G2680">
        <v>39</v>
      </c>
      <c r="H2680" s="3">
        <v>9.43</v>
      </c>
      <c r="I2680" s="3">
        <f>ProductLine[[#This Row],[Units]]*ProductLine[[#This Row],[Dollars]]</f>
        <v>367.77</v>
      </c>
    </row>
    <row r="2681" spans="1:9" x14ac:dyDescent="0.35">
      <c r="A2681">
        <v>2680</v>
      </c>
      <c r="B2681" t="s">
        <v>20</v>
      </c>
      <c r="C2681" s="2">
        <v>44519</v>
      </c>
      <c r="D2681">
        <f>YEAR(ProductLine[[#This Row],[Date]])</f>
        <v>2021</v>
      </c>
      <c r="E2681">
        <f>MONTH(ProductLine[[#This Row],[Date]])</f>
        <v>11</v>
      </c>
      <c r="F2681" t="s">
        <v>27</v>
      </c>
      <c r="G2681">
        <v>51</v>
      </c>
      <c r="H2681" s="3">
        <v>8.5500000000000007</v>
      </c>
      <c r="I2681" s="3">
        <f>ProductLine[[#This Row],[Units]]*ProductLine[[#This Row],[Dollars]]</f>
        <v>436.05</v>
      </c>
    </row>
    <row r="2682" spans="1:9" x14ac:dyDescent="0.35">
      <c r="A2682">
        <v>2681</v>
      </c>
      <c r="B2682" t="s">
        <v>20</v>
      </c>
      <c r="C2682" s="2">
        <v>44557</v>
      </c>
      <c r="D2682">
        <f>YEAR(ProductLine[[#This Row],[Date]])</f>
        <v>2021</v>
      </c>
      <c r="E2682">
        <f>MONTH(ProductLine[[#This Row],[Date]])</f>
        <v>12</v>
      </c>
      <c r="F2682" t="s">
        <v>27</v>
      </c>
      <c r="G2682">
        <v>19</v>
      </c>
      <c r="H2682" s="3">
        <v>9.43</v>
      </c>
      <c r="I2682" s="3">
        <f>ProductLine[[#This Row],[Units]]*ProductLine[[#This Row],[Dollars]]</f>
        <v>179.17</v>
      </c>
    </row>
    <row r="2683" spans="1:9" x14ac:dyDescent="0.35">
      <c r="A2683">
        <v>2682</v>
      </c>
      <c r="B2683" t="s">
        <v>20</v>
      </c>
      <c r="C2683" s="2">
        <v>44535</v>
      </c>
      <c r="D2683">
        <f>YEAR(ProductLine[[#This Row],[Date]])</f>
        <v>2021</v>
      </c>
      <c r="E2683">
        <f>MONTH(ProductLine[[#This Row],[Date]])</f>
        <v>12</v>
      </c>
      <c r="F2683" t="s">
        <v>27</v>
      </c>
      <c r="G2683">
        <v>20</v>
      </c>
      <c r="H2683" s="3">
        <v>9.98</v>
      </c>
      <c r="I2683" s="3">
        <f>ProductLine[[#This Row],[Units]]*ProductLine[[#This Row],[Dollars]]</f>
        <v>199.60000000000002</v>
      </c>
    </row>
    <row r="2684" spans="1:9" x14ac:dyDescent="0.35">
      <c r="A2684">
        <v>2683</v>
      </c>
      <c r="B2684" t="s">
        <v>11</v>
      </c>
      <c r="C2684" s="2">
        <v>44573</v>
      </c>
      <c r="D2684">
        <f>YEAR(ProductLine[[#This Row],[Date]])</f>
        <v>2022</v>
      </c>
      <c r="E2684">
        <f>MONTH(ProductLine[[#This Row],[Date]])</f>
        <v>1</v>
      </c>
      <c r="F2684" t="s">
        <v>26</v>
      </c>
      <c r="G2684">
        <v>38</v>
      </c>
      <c r="H2684" s="3">
        <v>8.98</v>
      </c>
      <c r="I2684" s="3">
        <f>ProductLine[[#This Row],[Units]]*ProductLine[[#This Row],[Dollars]]</f>
        <v>341.24</v>
      </c>
    </row>
    <row r="2685" spans="1:9" x14ac:dyDescent="0.35">
      <c r="A2685">
        <v>2684</v>
      </c>
      <c r="B2685" t="s">
        <v>11</v>
      </c>
      <c r="C2685" s="2">
        <v>44606</v>
      </c>
      <c r="D2685">
        <f>YEAR(ProductLine[[#This Row],[Date]])</f>
        <v>2022</v>
      </c>
      <c r="E2685">
        <f>MONTH(ProductLine[[#This Row],[Date]])</f>
        <v>2</v>
      </c>
      <c r="F2685" t="s">
        <v>26</v>
      </c>
      <c r="G2685">
        <v>64</v>
      </c>
      <c r="H2685" s="3">
        <v>7.98</v>
      </c>
      <c r="I2685" s="3">
        <f>ProductLine[[#This Row],[Units]]*ProductLine[[#This Row],[Dollars]]</f>
        <v>510.72</v>
      </c>
    </row>
    <row r="2686" spans="1:9" x14ac:dyDescent="0.35">
      <c r="A2686">
        <v>2685</v>
      </c>
      <c r="B2686" t="s">
        <v>11</v>
      </c>
      <c r="C2686" s="2">
        <v>44637</v>
      </c>
      <c r="D2686">
        <f>YEAR(ProductLine[[#This Row],[Date]])</f>
        <v>2022</v>
      </c>
      <c r="E2686">
        <f>MONTH(ProductLine[[#This Row],[Date]])</f>
        <v>3</v>
      </c>
      <c r="F2686" t="s">
        <v>26</v>
      </c>
      <c r="G2686">
        <v>76</v>
      </c>
      <c r="H2686" s="3">
        <v>8.98</v>
      </c>
      <c r="I2686" s="3">
        <f>ProductLine[[#This Row],[Units]]*ProductLine[[#This Row],[Dollars]]</f>
        <v>682.48</v>
      </c>
    </row>
    <row r="2687" spans="1:9" x14ac:dyDescent="0.35">
      <c r="A2687">
        <v>2686</v>
      </c>
      <c r="B2687" t="s">
        <v>13</v>
      </c>
      <c r="C2687" s="2">
        <v>44601</v>
      </c>
      <c r="D2687">
        <f>YEAR(ProductLine[[#This Row],[Date]])</f>
        <v>2022</v>
      </c>
      <c r="E2687">
        <f>MONTH(ProductLine[[#This Row],[Date]])</f>
        <v>2</v>
      </c>
      <c r="F2687" t="s">
        <v>26</v>
      </c>
      <c r="G2687">
        <v>45</v>
      </c>
      <c r="H2687" s="3">
        <v>8.98</v>
      </c>
      <c r="I2687" s="3">
        <f>ProductLine[[#This Row],[Units]]*ProductLine[[#This Row],[Dollars]]</f>
        <v>404.1</v>
      </c>
    </row>
    <row r="2688" spans="1:9" x14ac:dyDescent="0.35">
      <c r="A2688">
        <v>2687</v>
      </c>
      <c r="B2688" t="s">
        <v>13</v>
      </c>
      <c r="C2688" s="2">
        <v>44639</v>
      </c>
      <c r="D2688">
        <f>YEAR(ProductLine[[#This Row],[Date]])</f>
        <v>2022</v>
      </c>
      <c r="E2688">
        <f>MONTH(ProductLine[[#This Row],[Date]])</f>
        <v>3</v>
      </c>
      <c r="F2688" t="s">
        <v>26</v>
      </c>
      <c r="G2688">
        <v>28</v>
      </c>
      <c r="H2688" s="3">
        <v>8.98</v>
      </c>
      <c r="I2688" s="3">
        <f>ProductLine[[#This Row],[Units]]*ProductLine[[#This Row],[Dollars]]</f>
        <v>251.44</v>
      </c>
    </row>
    <row r="2689" spans="1:9" x14ac:dyDescent="0.35">
      <c r="A2689">
        <v>2688</v>
      </c>
      <c r="B2689" t="s">
        <v>13</v>
      </c>
      <c r="C2689" s="2">
        <v>44563</v>
      </c>
      <c r="D2689">
        <f>YEAR(ProductLine[[#This Row],[Date]])</f>
        <v>2022</v>
      </c>
      <c r="E2689">
        <f>MONTH(ProductLine[[#This Row],[Date]])</f>
        <v>1</v>
      </c>
      <c r="F2689" t="s">
        <v>26</v>
      </c>
      <c r="G2689">
        <v>39</v>
      </c>
      <c r="H2689" s="3">
        <v>8.98</v>
      </c>
      <c r="I2689" s="3">
        <f>ProductLine[[#This Row],[Units]]*ProductLine[[#This Row],[Dollars]]</f>
        <v>350.22</v>
      </c>
    </row>
    <row r="2690" spans="1:9" x14ac:dyDescent="0.35">
      <c r="A2690">
        <v>2689</v>
      </c>
      <c r="B2690" t="s">
        <v>13</v>
      </c>
      <c r="C2690" s="2">
        <v>44588</v>
      </c>
      <c r="D2690">
        <f>YEAR(ProductLine[[#This Row],[Date]])</f>
        <v>2022</v>
      </c>
      <c r="E2690">
        <f>MONTH(ProductLine[[#This Row],[Date]])</f>
        <v>1</v>
      </c>
      <c r="F2690" t="s">
        <v>26</v>
      </c>
      <c r="G2690">
        <v>50</v>
      </c>
      <c r="H2690" s="3">
        <v>7.98</v>
      </c>
      <c r="I2690" s="3">
        <f>ProductLine[[#This Row],[Units]]*ProductLine[[#This Row],[Dollars]]</f>
        <v>399</v>
      </c>
    </row>
    <row r="2691" spans="1:9" x14ac:dyDescent="0.35">
      <c r="A2691">
        <v>2690</v>
      </c>
      <c r="B2691" t="s">
        <v>13</v>
      </c>
      <c r="C2691" s="2">
        <v>44649</v>
      </c>
      <c r="D2691">
        <f>YEAR(ProductLine[[#This Row],[Date]])</f>
        <v>2022</v>
      </c>
      <c r="E2691">
        <f>MONTH(ProductLine[[#This Row],[Date]])</f>
        <v>3</v>
      </c>
      <c r="F2691" t="s">
        <v>26</v>
      </c>
      <c r="G2691">
        <v>26</v>
      </c>
      <c r="H2691" s="3">
        <v>7.98</v>
      </c>
      <c r="I2691" s="3">
        <f>ProductLine[[#This Row],[Units]]*ProductLine[[#This Row],[Dollars]]</f>
        <v>207.48000000000002</v>
      </c>
    </row>
    <row r="2692" spans="1:9" x14ac:dyDescent="0.35">
      <c r="A2692">
        <v>2691</v>
      </c>
      <c r="B2692" t="s">
        <v>21</v>
      </c>
      <c r="C2692" s="2">
        <v>44587</v>
      </c>
      <c r="D2692">
        <f>YEAR(ProductLine[[#This Row],[Date]])</f>
        <v>2022</v>
      </c>
      <c r="E2692">
        <f>MONTH(ProductLine[[#This Row],[Date]])</f>
        <v>1</v>
      </c>
      <c r="F2692" t="s">
        <v>26</v>
      </c>
      <c r="G2692">
        <v>25</v>
      </c>
      <c r="H2692" s="3">
        <v>8.98</v>
      </c>
      <c r="I2692" s="3">
        <f>ProductLine[[#This Row],[Units]]*ProductLine[[#This Row],[Dollars]]</f>
        <v>224.5</v>
      </c>
    </row>
    <row r="2693" spans="1:9" x14ac:dyDescent="0.35">
      <c r="A2693">
        <v>2692</v>
      </c>
      <c r="B2693" t="s">
        <v>21</v>
      </c>
      <c r="C2693" s="2">
        <v>44617</v>
      </c>
      <c r="D2693">
        <f>YEAR(ProductLine[[#This Row],[Date]])</f>
        <v>2022</v>
      </c>
      <c r="E2693">
        <f>MONTH(ProductLine[[#This Row],[Date]])</f>
        <v>2</v>
      </c>
      <c r="F2693" t="s">
        <v>26</v>
      </c>
      <c r="G2693">
        <v>36</v>
      </c>
      <c r="H2693" s="3">
        <v>8.98</v>
      </c>
      <c r="I2693" s="3">
        <f>ProductLine[[#This Row],[Units]]*ProductLine[[#This Row],[Dollars]]</f>
        <v>323.28000000000003</v>
      </c>
    </row>
    <row r="2694" spans="1:9" x14ac:dyDescent="0.35">
      <c r="A2694">
        <v>2693</v>
      </c>
      <c r="B2694" t="s">
        <v>21</v>
      </c>
      <c r="C2694" s="2">
        <v>44636</v>
      </c>
      <c r="D2694">
        <f>YEAR(ProductLine[[#This Row],[Date]])</f>
        <v>2022</v>
      </c>
      <c r="E2694">
        <f>MONTH(ProductLine[[#This Row],[Date]])</f>
        <v>3</v>
      </c>
      <c r="F2694" t="s">
        <v>26</v>
      </c>
      <c r="G2694">
        <v>10</v>
      </c>
      <c r="H2694" s="3">
        <v>8.98</v>
      </c>
      <c r="I2694" s="3">
        <f>ProductLine[[#This Row],[Units]]*ProductLine[[#This Row],[Dollars]]</f>
        <v>89.800000000000011</v>
      </c>
    </row>
    <row r="2695" spans="1:9" x14ac:dyDescent="0.35">
      <c r="A2695">
        <v>2694</v>
      </c>
      <c r="B2695" t="s">
        <v>21</v>
      </c>
      <c r="C2695" s="2">
        <v>44648</v>
      </c>
      <c r="D2695">
        <f>YEAR(ProductLine[[#This Row],[Date]])</f>
        <v>2022</v>
      </c>
      <c r="E2695">
        <f>MONTH(ProductLine[[#This Row],[Date]])</f>
        <v>3</v>
      </c>
      <c r="F2695" t="s">
        <v>26</v>
      </c>
      <c r="G2695">
        <v>6</v>
      </c>
      <c r="H2695" s="3">
        <v>7.98</v>
      </c>
      <c r="I2695" s="3">
        <f>ProductLine[[#This Row],[Units]]*ProductLine[[#This Row],[Dollars]]</f>
        <v>47.88</v>
      </c>
    </row>
    <row r="2696" spans="1:9" x14ac:dyDescent="0.35">
      <c r="A2696">
        <v>2695</v>
      </c>
      <c r="B2696" t="s">
        <v>9</v>
      </c>
      <c r="C2696" s="2">
        <v>44586</v>
      </c>
      <c r="D2696">
        <f>YEAR(ProductLine[[#This Row],[Date]])</f>
        <v>2022</v>
      </c>
      <c r="E2696">
        <f>MONTH(ProductLine[[#This Row],[Date]])</f>
        <v>1</v>
      </c>
      <c r="F2696" t="s">
        <v>26</v>
      </c>
      <c r="G2696">
        <v>26</v>
      </c>
      <c r="H2696" s="3">
        <v>7.98</v>
      </c>
      <c r="I2696" s="3">
        <f>ProductLine[[#This Row],[Units]]*ProductLine[[#This Row],[Dollars]]</f>
        <v>207.48000000000002</v>
      </c>
    </row>
    <row r="2697" spans="1:9" x14ac:dyDescent="0.35">
      <c r="A2697">
        <v>2696</v>
      </c>
      <c r="B2697" t="s">
        <v>9</v>
      </c>
      <c r="C2697" s="2">
        <v>44616</v>
      </c>
      <c r="D2697">
        <f>YEAR(ProductLine[[#This Row],[Date]])</f>
        <v>2022</v>
      </c>
      <c r="E2697">
        <f>MONTH(ProductLine[[#This Row],[Date]])</f>
        <v>2</v>
      </c>
      <c r="F2697" t="s">
        <v>26</v>
      </c>
      <c r="G2697">
        <v>56</v>
      </c>
      <c r="H2697" s="3">
        <v>8.98</v>
      </c>
      <c r="I2697" s="3">
        <f>ProductLine[[#This Row],[Units]]*ProductLine[[#This Row],[Dollars]]</f>
        <v>502.88</v>
      </c>
    </row>
    <row r="2698" spans="1:9" x14ac:dyDescent="0.35">
      <c r="A2698">
        <v>2697</v>
      </c>
      <c r="B2698" t="s">
        <v>11</v>
      </c>
      <c r="C2698" s="2">
        <v>44584</v>
      </c>
      <c r="D2698">
        <f>YEAR(ProductLine[[#This Row],[Date]])</f>
        <v>2022</v>
      </c>
      <c r="E2698">
        <f>MONTH(ProductLine[[#This Row],[Date]])</f>
        <v>1</v>
      </c>
      <c r="F2698" t="s">
        <v>24</v>
      </c>
      <c r="G2698">
        <v>28</v>
      </c>
      <c r="H2698" s="3">
        <v>9.9700000000000006</v>
      </c>
      <c r="I2698" s="3">
        <f>ProductLine[[#This Row],[Units]]*ProductLine[[#This Row],[Dollars]]</f>
        <v>279.16000000000003</v>
      </c>
    </row>
    <row r="2699" spans="1:9" x14ac:dyDescent="0.35">
      <c r="A2699">
        <v>2698</v>
      </c>
      <c r="B2699" t="s">
        <v>11</v>
      </c>
      <c r="C2699" s="2">
        <v>44606</v>
      </c>
      <c r="D2699">
        <f>YEAR(ProductLine[[#This Row],[Date]])</f>
        <v>2022</v>
      </c>
      <c r="E2699">
        <f>MONTH(ProductLine[[#This Row],[Date]])</f>
        <v>2</v>
      </c>
      <c r="F2699" t="s">
        <v>24</v>
      </c>
      <c r="G2699">
        <v>48</v>
      </c>
      <c r="H2699" s="3">
        <v>9.9700000000000006</v>
      </c>
      <c r="I2699" s="3">
        <f>ProductLine[[#This Row],[Units]]*ProductLine[[#This Row],[Dollars]]</f>
        <v>478.56000000000006</v>
      </c>
    </row>
    <row r="2700" spans="1:9" x14ac:dyDescent="0.35">
      <c r="A2700">
        <v>2699</v>
      </c>
      <c r="B2700" t="s">
        <v>11</v>
      </c>
      <c r="C2700" s="2">
        <v>44636</v>
      </c>
      <c r="D2700">
        <f>YEAR(ProductLine[[#This Row],[Date]])</f>
        <v>2022</v>
      </c>
      <c r="E2700">
        <f>MONTH(ProductLine[[#This Row],[Date]])</f>
        <v>3</v>
      </c>
      <c r="F2700" t="s">
        <v>24</v>
      </c>
      <c r="G2700">
        <v>42</v>
      </c>
      <c r="H2700" s="3">
        <v>10.89</v>
      </c>
      <c r="I2700" s="3">
        <f>ProductLine[[#This Row],[Units]]*ProductLine[[#This Row],[Dollars]]</f>
        <v>457.38</v>
      </c>
    </row>
    <row r="2701" spans="1:9" x14ac:dyDescent="0.35">
      <c r="A2701">
        <v>2700</v>
      </c>
      <c r="B2701" t="s">
        <v>13</v>
      </c>
      <c r="C2701" s="2">
        <v>44578</v>
      </c>
      <c r="D2701">
        <f>YEAR(ProductLine[[#This Row],[Date]])</f>
        <v>2022</v>
      </c>
      <c r="E2701">
        <f>MONTH(ProductLine[[#This Row],[Date]])</f>
        <v>1</v>
      </c>
      <c r="F2701" t="s">
        <v>24</v>
      </c>
      <c r="G2701">
        <v>31</v>
      </c>
      <c r="H2701" s="3">
        <v>10.89</v>
      </c>
      <c r="I2701" s="3">
        <f>ProductLine[[#This Row],[Units]]*ProductLine[[#This Row],[Dollars]]</f>
        <v>337.59000000000003</v>
      </c>
    </row>
    <row r="2702" spans="1:9" x14ac:dyDescent="0.35">
      <c r="A2702">
        <v>2701</v>
      </c>
      <c r="B2702" t="s">
        <v>13</v>
      </c>
      <c r="C2702" s="2">
        <v>44610</v>
      </c>
      <c r="D2702">
        <f>YEAR(ProductLine[[#This Row],[Date]])</f>
        <v>2022</v>
      </c>
      <c r="E2702">
        <f>MONTH(ProductLine[[#This Row],[Date]])</f>
        <v>2</v>
      </c>
      <c r="F2702" t="s">
        <v>24</v>
      </c>
      <c r="G2702">
        <v>17</v>
      </c>
      <c r="H2702" s="3">
        <v>13.98</v>
      </c>
      <c r="I2702" s="3">
        <f>ProductLine[[#This Row],[Units]]*ProductLine[[#This Row],[Dollars]]</f>
        <v>237.66</v>
      </c>
    </row>
    <row r="2703" spans="1:9" x14ac:dyDescent="0.35">
      <c r="A2703">
        <v>2702</v>
      </c>
      <c r="B2703" t="s">
        <v>13</v>
      </c>
      <c r="C2703" s="2">
        <v>44639</v>
      </c>
      <c r="D2703">
        <f>YEAR(ProductLine[[#This Row],[Date]])</f>
        <v>2022</v>
      </c>
      <c r="E2703">
        <f>MONTH(ProductLine[[#This Row],[Date]])</f>
        <v>3</v>
      </c>
      <c r="F2703" t="s">
        <v>24</v>
      </c>
      <c r="G2703">
        <v>19</v>
      </c>
      <c r="H2703" s="3">
        <v>9.9700000000000006</v>
      </c>
      <c r="I2703" s="3">
        <f>ProductLine[[#This Row],[Units]]*ProductLine[[#This Row],[Dollars]]</f>
        <v>189.43</v>
      </c>
    </row>
    <row r="2704" spans="1:9" x14ac:dyDescent="0.35">
      <c r="A2704">
        <v>2703</v>
      </c>
      <c r="B2704" t="s">
        <v>13</v>
      </c>
      <c r="C2704" s="2">
        <v>44640</v>
      </c>
      <c r="D2704">
        <f>YEAR(ProductLine[[#This Row],[Date]])</f>
        <v>2022</v>
      </c>
      <c r="E2704">
        <f>MONTH(ProductLine[[#This Row],[Date]])</f>
        <v>3</v>
      </c>
      <c r="F2704" t="s">
        <v>24</v>
      </c>
      <c r="G2704">
        <v>28</v>
      </c>
      <c r="H2704" s="3">
        <v>9.9700000000000006</v>
      </c>
      <c r="I2704" s="3">
        <f>ProductLine[[#This Row],[Units]]*ProductLine[[#This Row],[Dollars]]</f>
        <v>279.16000000000003</v>
      </c>
    </row>
    <row r="2705" spans="1:9" x14ac:dyDescent="0.35">
      <c r="A2705">
        <v>2704</v>
      </c>
      <c r="B2705" t="s">
        <v>9</v>
      </c>
      <c r="C2705" s="2">
        <v>44586</v>
      </c>
      <c r="D2705">
        <f>YEAR(ProductLine[[#This Row],[Date]])</f>
        <v>2022</v>
      </c>
      <c r="E2705">
        <f>MONTH(ProductLine[[#This Row],[Date]])</f>
        <v>1</v>
      </c>
      <c r="F2705" t="s">
        <v>23</v>
      </c>
      <c r="G2705">
        <v>25</v>
      </c>
      <c r="H2705" s="3">
        <v>8.4600000000000009</v>
      </c>
      <c r="I2705" s="3">
        <f>ProductLine[[#This Row],[Units]]*ProductLine[[#This Row],[Dollars]]</f>
        <v>211.50000000000003</v>
      </c>
    </row>
    <row r="2706" spans="1:9" x14ac:dyDescent="0.35">
      <c r="A2706">
        <v>2705</v>
      </c>
      <c r="B2706" t="s">
        <v>9</v>
      </c>
      <c r="C2706" s="2">
        <v>44619</v>
      </c>
      <c r="D2706">
        <f>YEAR(ProductLine[[#This Row],[Date]])</f>
        <v>2022</v>
      </c>
      <c r="E2706">
        <f>MONTH(ProductLine[[#This Row],[Date]])</f>
        <v>2</v>
      </c>
      <c r="F2706" t="s">
        <v>23</v>
      </c>
      <c r="G2706">
        <v>38</v>
      </c>
      <c r="H2706" s="3">
        <v>5.47</v>
      </c>
      <c r="I2706" s="3">
        <f>ProductLine[[#This Row],[Units]]*ProductLine[[#This Row],[Dollars]]</f>
        <v>207.85999999999999</v>
      </c>
    </row>
    <row r="2707" spans="1:9" x14ac:dyDescent="0.35">
      <c r="A2707">
        <v>2706</v>
      </c>
      <c r="B2707" t="s">
        <v>9</v>
      </c>
      <c r="C2707" s="2">
        <v>44629</v>
      </c>
      <c r="D2707">
        <f>YEAR(ProductLine[[#This Row],[Date]])</f>
        <v>2022</v>
      </c>
      <c r="E2707">
        <f>MONTH(ProductLine[[#This Row],[Date]])</f>
        <v>3</v>
      </c>
      <c r="F2707" t="s">
        <v>23</v>
      </c>
      <c r="G2707">
        <v>40</v>
      </c>
      <c r="H2707" s="3">
        <v>5.47</v>
      </c>
      <c r="I2707" s="3">
        <f>ProductLine[[#This Row],[Units]]*ProductLine[[#This Row],[Dollars]]</f>
        <v>218.79999999999998</v>
      </c>
    </row>
    <row r="2708" spans="1:9" x14ac:dyDescent="0.35">
      <c r="A2708">
        <v>2707</v>
      </c>
      <c r="B2708" t="s">
        <v>9</v>
      </c>
      <c r="C2708" s="2">
        <v>44646</v>
      </c>
      <c r="D2708">
        <f>YEAR(ProductLine[[#This Row],[Date]])</f>
        <v>2022</v>
      </c>
      <c r="E2708">
        <f>MONTH(ProductLine[[#This Row],[Date]])</f>
        <v>3</v>
      </c>
      <c r="F2708" t="s">
        <v>23</v>
      </c>
      <c r="G2708">
        <v>22</v>
      </c>
      <c r="H2708" s="3">
        <v>8.4600000000000009</v>
      </c>
      <c r="I2708" s="3">
        <f>ProductLine[[#This Row],[Units]]*ProductLine[[#This Row],[Dollars]]</f>
        <v>186.12</v>
      </c>
    </row>
    <row r="2709" spans="1:9" x14ac:dyDescent="0.35">
      <c r="A2709">
        <v>2708</v>
      </c>
      <c r="B2709" t="s">
        <v>13</v>
      </c>
      <c r="C2709" s="2">
        <v>44571</v>
      </c>
      <c r="D2709">
        <f>YEAR(ProductLine[[#This Row],[Date]])</f>
        <v>2022</v>
      </c>
      <c r="E2709">
        <f>MONTH(ProductLine[[#This Row],[Date]])</f>
        <v>1</v>
      </c>
      <c r="F2709" t="s">
        <v>25</v>
      </c>
      <c r="G2709">
        <v>24</v>
      </c>
      <c r="H2709" s="3">
        <v>10.97</v>
      </c>
      <c r="I2709" s="3">
        <f>ProductLine[[#This Row],[Units]]*ProductLine[[#This Row],[Dollars]]</f>
        <v>263.28000000000003</v>
      </c>
    </row>
    <row r="2710" spans="1:9" x14ac:dyDescent="0.35">
      <c r="A2710">
        <v>2709</v>
      </c>
      <c r="B2710" t="s">
        <v>13</v>
      </c>
      <c r="C2710" s="2">
        <v>44610</v>
      </c>
      <c r="D2710">
        <f>YEAR(ProductLine[[#This Row],[Date]])</f>
        <v>2022</v>
      </c>
      <c r="E2710">
        <f>MONTH(ProductLine[[#This Row],[Date]])</f>
        <v>2</v>
      </c>
      <c r="F2710" t="s">
        <v>25</v>
      </c>
      <c r="G2710">
        <v>37</v>
      </c>
      <c r="H2710" s="3">
        <v>6.99</v>
      </c>
      <c r="I2710" s="3">
        <f>ProductLine[[#This Row],[Units]]*ProductLine[[#This Row],[Dollars]]</f>
        <v>258.63</v>
      </c>
    </row>
    <row r="2711" spans="1:9" x14ac:dyDescent="0.35">
      <c r="A2711">
        <v>2710</v>
      </c>
      <c r="B2711" t="s">
        <v>13</v>
      </c>
      <c r="C2711" s="2">
        <v>44637</v>
      </c>
      <c r="D2711">
        <f>YEAR(ProductLine[[#This Row],[Date]])</f>
        <v>2022</v>
      </c>
      <c r="E2711">
        <f>MONTH(ProductLine[[#This Row],[Date]])</f>
        <v>3</v>
      </c>
      <c r="F2711" t="s">
        <v>25</v>
      </c>
      <c r="G2711">
        <v>8</v>
      </c>
      <c r="H2711" s="3">
        <v>8.89</v>
      </c>
      <c r="I2711" s="3">
        <f>ProductLine[[#This Row],[Units]]*ProductLine[[#This Row],[Dollars]]</f>
        <v>71.12</v>
      </c>
    </row>
    <row r="2712" spans="1:9" x14ac:dyDescent="0.35">
      <c r="A2712">
        <v>2711</v>
      </c>
      <c r="B2712" t="s">
        <v>18</v>
      </c>
      <c r="C2712" s="2">
        <v>44571</v>
      </c>
      <c r="D2712">
        <f>YEAR(ProductLine[[#This Row],[Date]])</f>
        <v>2022</v>
      </c>
      <c r="E2712">
        <f>MONTH(ProductLine[[#This Row],[Date]])</f>
        <v>1</v>
      </c>
      <c r="F2712" t="s">
        <v>25</v>
      </c>
      <c r="G2712">
        <v>16</v>
      </c>
      <c r="H2712" s="3">
        <v>8.89</v>
      </c>
      <c r="I2712" s="3">
        <f>ProductLine[[#This Row],[Units]]*ProductLine[[#This Row],[Dollars]]</f>
        <v>142.24</v>
      </c>
    </row>
    <row r="2713" spans="1:9" x14ac:dyDescent="0.35">
      <c r="A2713">
        <v>2712</v>
      </c>
      <c r="B2713" t="s">
        <v>18</v>
      </c>
      <c r="C2713" s="2">
        <v>44610</v>
      </c>
      <c r="D2713">
        <f>YEAR(ProductLine[[#This Row],[Date]])</f>
        <v>2022</v>
      </c>
      <c r="E2713">
        <f>MONTH(ProductLine[[#This Row],[Date]])</f>
        <v>2</v>
      </c>
      <c r="F2713" t="s">
        <v>25</v>
      </c>
      <c r="G2713">
        <v>26</v>
      </c>
      <c r="H2713" s="3">
        <v>8.89</v>
      </c>
      <c r="I2713" s="3">
        <f>ProductLine[[#This Row],[Units]]*ProductLine[[#This Row],[Dollars]]</f>
        <v>231.14000000000001</v>
      </c>
    </row>
    <row r="2714" spans="1:9" x14ac:dyDescent="0.35">
      <c r="A2714">
        <v>2713</v>
      </c>
      <c r="B2714" t="s">
        <v>18</v>
      </c>
      <c r="C2714" s="2">
        <v>44618</v>
      </c>
      <c r="D2714">
        <f>YEAR(ProductLine[[#This Row],[Date]])</f>
        <v>2022</v>
      </c>
      <c r="E2714">
        <f>MONTH(ProductLine[[#This Row],[Date]])</f>
        <v>2</v>
      </c>
      <c r="F2714" t="s">
        <v>25</v>
      </c>
      <c r="G2714">
        <v>34</v>
      </c>
      <c r="H2714" s="3">
        <v>6.99</v>
      </c>
      <c r="I2714" s="3">
        <f>ProductLine[[#This Row],[Units]]*ProductLine[[#This Row],[Dollars]]</f>
        <v>237.66</v>
      </c>
    </row>
    <row r="2715" spans="1:9" x14ac:dyDescent="0.35">
      <c r="A2715">
        <v>2714</v>
      </c>
      <c r="B2715" t="s">
        <v>18</v>
      </c>
      <c r="C2715" s="2">
        <v>44649</v>
      </c>
      <c r="D2715">
        <f>YEAR(ProductLine[[#This Row],[Date]])</f>
        <v>2022</v>
      </c>
      <c r="E2715">
        <f>MONTH(ProductLine[[#This Row],[Date]])</f>
        <v>3</v>
      </c>
      <c r="F2715" t="s">
        <v>25</v>
      </c>
      <c r="G2715">
        <v>3</v>
      </c>
      <c r="H2715" s="3">
        <v>10.97</v>
      </c>
      <c r="I2715" s="3">
        <f>ProductLine[[#This Row],[Units]]*ProductLine[[#This Row],[Dollars]]</f>
        <v>32.910000000000004</v>
      </c>
    </row>
    <row r="2716" spans="1:9" x14ac:dyDescent="0.35">
      <c r="A2716">
        <v>2715</v>
      </c>
      <c r="B2716" t="s">
        <v>11</v>
      </c>
      <c r="C2716" s="2">
        <v>44590</v>
      </c>
      <c r="D2716">
        <f>YEAR(ProductLine[[#This Row],[Date]])</f>
        <v>2022</v>
      </c>
      <c r="E2716">
        <f>MONTH(ProductLine[[#This Row],[Date]])</f>
        <v>1</v>
      </c>
      <c r="F2716" t="s">
        <v>27</v>
      </c>
      <c r="G2716">
        <v>21</v>
      </c>
      <c r="H2716" s="3">
        <v>9.98</v>
      </c>
      <c r="I2716" s="3">
        <f>ProductLine[[#This Row],[Units]]*ProductLine[[#This Row],[Dollars]]</f>
        <v>209.58</v>
      </c>
    </row>
    <row r="2717" spans="1:9" x14ac:dyDescent="0.35">
      <c r="A2717">
        <v>2716</v>
      </c>
      <c r="B2717" t="s">
        <v>11</v>
      </c>
      <c r="C2717" s="2">
        <v>44563</v>
      </c>
      <c r="D2717">
        <f>YEAR(ProductLine[[#This Row],[Date]])</f>
        <v>2022</v>
      </c>
      <c r="E2717">
        <f>MONTH(ProductLine[[#This Row],[Date]])</f>
        <v>1</v>
      </c>
      <c r="F2717" t="s">
        <v>27</v>
      </c>
      <c r="G2717">
        <v>27</v>
      </c>
      <c r="H2717" s="3">
        <v>9.43</v>
      </c>
      <c r="I2717" s="3">
        <f>ProductLine[[#This Row],[Units]]*ProductLine[[#This Row],[Dollars]]</f>
        <v>254.60999999999999</v>
      </c>
    </row>
    <row r="2718" spans="1:9" x14ac:dyDescent="0.35">
      <c r="A2718">
        <v>2717</v>
      </c>
      <c r="B2718" t="s">
        <v>9</v>
      </c>
      <c r="C2718" s="2">
        <v>44563</v>
      </c>
      <c r="D2718">
        <f>YEAR(ProductLine[[#This Row],[Date]])</f>
        <v>2022</v>
      </c>
      <c r="E2718">
        <f>MONTH(ProductLine[[#This Row],[Date]])</f>
        <v>1</v>
      </c>
      <c r="F2718" t="s">
        <v>27</v>
      </c>
      <c r="G2718">
        <v>42</v>
      </c>
      <c r="H2718" s="3">
        <v>9.98</v>
      </c>
      <c r="I2718" s="3">
        <f>ProductLine[[#This Row],[Units]]*ProductLine[[#This Row],[Dollars]]</f>
        <v>419.16</v>
      </c>
    </row>
    <row r="2719" spans="1:9" x14ac:dyDescent="0.35">
      <c r="A2719">
        <v>2718</v>
      </c>
      <c r="B2719" t="s">
        <v>9</v>
      </c>
      <c r="C2719" s="2">
        <v>44596</v>
      </c>
      <c r="D2719">
        <f>YEAR(ProductLine[[#This Row],[Date]])</f>
        <v>2022</v>
      </c>
      <c r="E2719">
        <f>MONTH(ProductLine[[#This Row],[Date]])</f>
        <v>2</v>
      </c>
      <c r="F2719" t="s">
        <v>27</v>
      </c>
      <c r="G2719">
        <v>17</v>
      </c>
      <c r="H2719" s="3">
        <v>9.43</v>
      </c>
      <c r="I2719" s="3">
        <f>ProductLine[[#This Row],[Units]]*ProductLine[[#This Row],[Dollars]]</f>
        <v>160.31</v>
      </c>
    </row>
    <row r="2720" spans="1:9" x14ac:dyDescent="0.35">
      <c r="A2720">
        <v>2719</v>
      </c>
      <c r="B2720" t="s">
        <v>9</v>
      </c>
      <c r="C2720" s="2">
        <v>44638</v>
      </c>
      <c r="D2720">
        <f>YEAR(ProductLine[[#This Row],[Date]])</f>
        <v>2022</v>
      </c>
      <c r="E2720">
        <f>MONTH(ProductLine[[#This Row],[Date]])</f>
        <v>3</v>
      </c>
      <c r="F2720" t="s">
        <v>27</v>
      </c>
      <c r="G2720">
        <v>29</v>
      </c>
      <c r="H2720" s="3">
        <v>8.5500000000000007</v>
      </c>
      <c r="I2720" s="3">
        <f>ProductLine[[#This Row],[Units]]*ProductLine[[#This Row],[Dollars]]</f>
        <v>247.95000000000002</v>
      </c>
    </row>
    <row r="2721" spans="1:9" x14ac:dyDescent="0.35">
      <c r="A2721">
        <v>2720</v>
      </c>
      <c r="B2721" t="s">
        <v>18</v>
      </c>
      <c r="C2721" s="2">
        <v>44585</v>
      </c>
      <c r="D2721">
        <f>YEAR(ProductLine[[#This Row],[Date]])</f>
        <v>2022</v>
      </c>
      <c r="E2721">
        <f>MONTH(ProductLine[[#This Row],[Date]])</f>
        <v>1</v>
      </c>
      <c r="F2721" t="s">
        <v>27</v>
      </c>
      <c r="G2721">
        <v>31</v>
      </c>
      <c r="H2721" s="3">
        <v>8.5500000000000007</v>
      </c>
      <c r="I2721" s="3">
        <f>ProductLine[[#This Row],[Units]]*ProductLine[[#This Row],[Dollars]]</f>
        <v>265.05</v>
      </c>
    </row>
    <row r="2722" spans="1:9" x14ac:dyDescent="0.35">
      <c r="A2722">
        <v>2721</v>
      </c>
      <c r="B2722" t="s">
        <v>18</v>
      </c>
      <c r="C2722" s="2">
        <v>44612</v>
      </c>
      <c r="D2722">
        <f>YEAR(ProductLine[[#This Row],[Date]])</f>
        <v>2022</v>
      </c>
      <c r="E2722">
        <f>MONTH(ProductLine[[#This Row],[Date]])</f>
        <v>2</v>
      </c>
      <c r="F2722" t="s">
        <v>27</v>
      </c>
      <c r="G2722">
        <v>32</v>
      </c>
      <c r="H2722" s="3">
        <v>8.5500000000000007</v>
      </c>
      <c r="I2722" s="3">
        <f>ProductLine[[#This Row],[Units]]*ProductLine[[#This Row],[Dollars]]</f>
        <v>273.60000000000002</v>
      </c>
    </row>
    <row r="2723" spans="1:9" x14ac:dyDescent="0.35">
      <c r="A2723">
        <v>2722</v>
      </c>
      <c r="B2723" t="s">
        <v>11</v>
      </c>
      <c r="C2723" s="2">
        <v>44653</v>
      </c>
      <c r="D2723">
        <f>YEAR(ProductLine[[#This Row],[Date]])</f>
        <v>2022</v>
      </c>
      <c r="E2723">
        <f>MONTH(ProductLine[[#This Row],[Date]])</f>
        <v>4</v>
      </c>
      <c r="F2723" t="s">
        <v>26</v>
      </c>
      <c r="G2723">
        <v>26</v>
      </c>
      <c r="H2723" s="3">
        <v>8.98</v>
      </c>
      <c r="I2723" s="3">
        <f>ProductLine[[#This Row],[Units]]*ProductLine[[#This Row],[Dollars]]</f>
        <v>233.48000000000002</v>
      </c>
    </row>
    <row r="2724" spans="1:9" x14ac:dyDescent="0.35">
      <c r="A2724">
        <v>2723</v>
      </c>
      <c r="B2724" t="s">
        <v>11</v>
      </c>
      <c r="C2724" s="2">
        <v>44669</v>
      </c>
      <c r="D2724">
        <f>YEAR(ProductLine[[#This Row],[Date]])</f>
        <v>2022</v>
      </c>
      <c r="E2724">
        <f>MONTH(ProductLine[[#This Row],[Date]])</f>
        <v>4</v>
      </c>
      <c r="F2724" t="s">
        <v>26</v>
      </c>
      <c r="G2724">
        <v>28</v>
      </c>
      <c r="H2724" s="3">
        <v>8.98</v>
      </c>
      <c r="I2724" s="3">
        <f>ProductLine[[#This Row],[Units]]*ProductLine[[#This Row],[Dollars]]</f>
        <v>251.44</v>
      </c>
    </row>
    <row r="2725" spans="1:9" x14ac:dyDescent="0.35">
      <c r="A2725">
        <v>2724</v>
      </c>
      <c r="B2725" t="s">
        <v>11</v>
      </c>
      <c r="C2725" s="2">
        <v>44700</v>
      </c>
      <c r="D2725">
        <f>YEAR(ProductLine[[#This Row],[Date]])</f>
        <v>2022</v>
      </c>
      <c r="E2725">
        <f>MONTH(ProductLine[[#This Row],[Date]])</f>
        <v>5</v>
      </c>
      <c r="F2725" t="s">
        <v>26</v>
      </c>
      <c r="G2725">
        <v>40</v>
      </c>
      <c r="H2725" s="3">
        <v>8.98</v>
      </c>
      <c r="I2725" s="3">
        <f>ProductLine[[#This Row],[Units]]*ProductLine[[#This Row],[Dollars]]</f>
        <v>359.20000000000005</v>
      </c>
    </row>
    <row r="2726" spans="1:9" x14ac:dyDescent="0.35">
      <c r="A2726">
        <v>2725</v>
      </c>
      <c r="B2726" t="s">
        <v>9</v>
      </c>
      <c r="C2726" s="2">
        <v>44652</v>
      </c>
      <c r="D2726">
        <f>YEAR(ProductLine[[#This Row],[Date]])</f>
        <v>2022</v>
      </c>
      <c r="E2726">
        <f>MONTH(ProductLine[[#This Row],[Date]])</f>
        <v>4</v>
      </c>
      <c r="F2726" t="s">
        <v>26</v>
      </c>
      <c r="G2726">
        <v>8</v>
      </c>
      <c r="H2726" s="3">
        <v>8.98</v>
      </c>
      <c r="I2726" s="3">
        <f>ProductLine[[#This Row],[Units]]*ProductLine[[#This Row],[Dollars]]</f>
        <v>71.84</v>
      </c>
    </row>
    <row r="2727" spans="1:9" x14ac:dyDescent="0.35">
      <c r="A2727">
        <v>2726</v>
      </c>
      <c r="B2727" t="s">
        <v>9</v>
      </c>
      <c r="C2727" s="2">
        <v>44679</v>
      </c>
      <c r="D2727">
        <f>YEAR(ProductLine[[#This Row],[Date]])</f>
        <v>2022</v>
      </c>
      <c r="E2727">
        <f>MONTH(ProductLine[[#This Row],[Date]])</f>
        <v>4</v>
      </c>
      <c r="F2727" t="s">
        <v>26</v>
      </c>
      <c r="G2727">
        <v>15</v>
      </c>
      <c r="H2727" s="3">
        <v>8.98</v>
      </c>
      <c r="I2727" s="3">
        <f>ProductLine[[#This Row],[Units]]*ProductLine[[#This Row],[Dollars]]</f>
        <v>134.70000000000002</v>
      </c>
    </row>
    <row r="2728" spans="1:9" x14ac:dyDescent="0.35">
      <c r="A2728">
        <v>2727</v>
      </c>
      <c r="B2728" t="s">
        <v>9</v>
      </c>
      <c r="C2728" s="2">
        <v>44698</v>
      </c>
      <c r="D2728">
        <f>YEAR(ProductLine[[#This Row],[Date]])</f>
        <v>2022</v>
      </c>
      <c r="E2728">
        <f>MONTH(ProductLine[[#This Row],[Date]])</f>
        <v>5</v>
      </c>
      <c r="F2728" t="s">
        <v>26</v>
      </c>
      <c r="G2728">
        <v>36</v>
      </c>
      <c r="H2728" s="3">
        <v>8.98</v>
      </c>
      <c r="I2728" s="3">
        <f>ProductLine[[#This Row],[Units]]*ProductLine[[#This Row],[Dollars]]</f>
        <v>323.28000000000003</v>
      </c>
    </row>
    <row r="2729" spans="1:9" x14ac:dyDescent="0.35">
      <c r="A2729">
        <v>2728</v>
      </c>
      <c r="B2729" t="s">
        <v>17</v>
      </c>
      <c r="C2729" s="2">
        <v>44654</v>
      </c>
      <c r="D2729">
        <f>YEAR(ProductLine[[#This Row],[Date]])</f>
        <v>2022</v>
      </c>
      <c r="E2729">
        <f>MONTH(ProductLine[[#This Row],[Date]])</f>
        <v>4</v>
      </c>
      <c r="F2729" t="s">
        <v>26</v>
      </c>
      <c r="G2729">
        <v>52</v>
      </c>
      <c r="H2729" s="3">
        <v>8.98</v>
      </c>
      <c r="I2729" s="3">
        <f>ProductLine[[#This Row],[Units]]*ProductLine[[#This Row],[Dollars]]</f>
        <v>466.96000000000004</v>
      </c>
    </row>
    <row r="2730" spans="1:9" x14ac:dyDescent="0.35">
      <c r="A2730">
        <v>2729</v>
      </c>
      <c r="B2730" t="s">
        <v>17</v>
      </c>
      <c r="C2730" s="2">
        <v>44673</v>
      </c>
      <c r="D2730">
        <f>YEAR(ProductLine[[#This Row],[Date]])</f>
        <v>2022</v>
      </c>
      <c r="E2730">
        <f>MONTH(ProductLine[[#This Row],[Date]])</f>
        <v>4</v>
      </c>
      <c r="F2730" t="s">
        <v>26</v>
      </c>
      <c r="G2730">
        <v>27</v>
      </c>
      <c r="H2730" s="3">
        <v>8.98</v>
      </c>
      <c r="I2730" s="3">
        <f>ProductLine[[#This Row],[Units]]*ProductLine[[#This Row],[Dollars]]</f>
        <v>242.46</v>
      </c>
    </row>
    <row r="2731" spans="1:9" x14ac:dyDescent="0.35">
      <c r="A2731">
        <v>2730</v>
      </c>
      <c r="B2731" t="s">
        <v>17</v>
      </c>
      <c r="C2731" s="2">
        <v>44656</v>
      </c>
      <c r="D2731">
        <f>YEAR(ProductLine[[#This Row],[Date]])</f>
        <v>2022</v>
      </c>
      <c r="E2731">
        <f>MONTH(ProductLine[[#This Row],[Date]])</f>
        <v>4</v>
      </c>
      <c r="F2731" t="s">
        <v>26</v>
      </c>
      <c r="G2731">
        <v>38</v>
      </c>
      <c r="H2731" s="3">
        <v>8.98</v>
      </c>
      <c r="I2731" s="3">
        <f>ProductLine[[#This Row],[Units]]*ProductLine[[#This Row],[Dollars]]</f>
        <v>341.24</v>
      </c>
    </row>
    <row r="2732" spans="1:9" x14ac:dyDescent="0.35">
      <c r="A2732">
        <v>2731</v>
      </c>
      <c r="B2732" t="s">
        <v>17</v>
      </c>
      <c r="C2732" s="2">
        <v>44657</v>
      </c>
      <c r="D2732">
        <f>YEAR(ProductLine[[#This Row],[Date]])</f>
        <v>2022</v>
      </c>
      <c r="E2732">
        <f>MONTH(ProductLine[[#This Row],[Date]])</f>
        <v>4</v>
      </c>
      <c r="F2732" t="s">
        <v>26</v>
      </c>
      <c r="G2732">
        <v>41</v>
      </c>
      <c r="H2732" s="3">
        <v>8.98</v>
      </c>
      <c r="I2732" s="3">
        <f>ProductLine[[#This Row],[Units]]*ProductLine[[#This Row],[Dollars]]</f>
        <v>368.18</v>
      </c>
    </row>
    <row r="2733" spans="1:9" x14ac:dyDescent="0.35">
      <c r="A2733">
        <v>2732</v>
      </c>
      <c r="B2733" t="s">
        <v>13</v>
      </c>
      <c r="C2733" s="2">
        <v>44656</v>
      </c>
      <c r="D2733">
        <f>YEAR(ProductLine[[#This Row],[Date]])</f>
        <v>2022</v>
      </c>
      <c r="E2733">
        <f>MONTH(ProductLine[[#This Row],[Date]])</f>
        <v>4</v>
      </c>
      <c r="F2733" t="s">
        <v>26</v>
      </c>
      <c r="G2733">
        <v>36</v>
      </c>
      <c r="H2733" s="3">
        <v>7.98</v>
      </c>
      <c r="I2733" s="3">
        <f>ProductLine[[#This Row],[Units]]*ProductLine[[#This Row],[Dollars]]</f>
        <v>287.28000000000003</v>
      </c>
    </row>
    <row r="2734" spans="1:9" x14ac:dyDescent="0.35">
      <c r="A2734">
        <v>2733</v>
      </c>
      <c r="B2734" t="s">
        <v>13</v>
      </c>
      <c r="C2734" s="2">
        <v>44669</v>
      </c>
      <c r="D2734">
        <f>YEAR(ProductLine[[#This Row],[Date]])</f>
        <v>2022</v>
      </c>
      <c r="E2734">
        <f>MONTH(ProductLine[[#This Row],[Date]])</f>
        <v>4</v>
      </c>
      <c r="F2734" t="s">
        <v>26</v>
      </c>
      <c r="G2734">
        <v>42</v>
      </c>
      <c r="H2734" s="3">
        <v>7.98</v>
      </c>
      <c r="I2734" s="3">
        <f>ProductLine[[#This Row],[Units]]*ProductLine[[#This Row],[Dollars]]</f>
        <v>335.16</v>
      </c>
    </row>
    <row r="2735" spans="1:9" x14ac:dyDescent="0.35">
      <c r="A2735">
        <v>2734</v>
      </c>
      <c r="B2735" t="s">
        <v>18</v>
      </c>
      <c r="C2735" s="2">
        <v>44662</v>
      </c>
      <c r="D2735">
        <f>YEAR(ProductLine[[#This Row],[Date]])</f>
        <v>2022</v>
      </c>
      <c r="E2735">
        <f>MONTH(ProductLine[[#This Row],[Date]])</f>
        <v>4</v>
      </c>
      <c r="F2735" t="s">
        <v>26</v>
      </c>
      <c r="G2735">
        <v>28</v>
      </c>
      <c r="H2735" s="3">
        <v>7.98</v>
      </c>
      <c r="I2735" s="3">
        <f>ProductLine[[#This Row],[Units]]*ProductLine[[#This Row],[Dollars]]</f>
        <v>223.44</v>
      </c>
    </row>
    <row r="2736" spans="1:9" x14ac:dyDescent="0.35">
      <c r="A2736">
        <v>2735</v>
      </c>
      <c r="B2736" t="s">
        <v>18</v>
      </c>
      <c r="C2736" s="2">
        <v>44698</v>
      </c>
      <c r="D2736">
        <f>YEAR(ProductLine[[#This Row],[Date]])</f>
        <v>2022</v>
      </c>
      <c r="E2736">
        <f>MONTH(ProductLine[[#This Row],[Date]])</f>
        <v>5</v>
      </c>
      <c r="F2736" t="s">
        <v>26</v>
      </c>
      <c r="G2736">
        <v>39</v>
      </c>
      <c r="H2736" s="3">
        <v>7.98</v>
      </c>
      <c r="I2736" s="3">
        <f>ProductLine[[#This Row],[Units]]*ProductLine[[#This Row],[Dollars]]</f>
        <v>311.22000000000003</v>
      </c>
    </row>
    <row r="2737" spans="1:9" x14ac:dyDescent="0.35">
      <c r="A2737">
        <v>2736</v>
      </c>
      <c r="B2737" t="s">
        <v>18</v>
      </c>
      <c r="C2737" s="2">
        <v>44710</v>
      </c>
      <c r="D2737">
        <f>YEAR(ProductLine[[#This Row],[Date]])</f>
        <v>2022</v>
      </c>
      <c r="E2737">
        <f>MONTH(ProductLine[[#This Row],[Date]])</f>
        <v>5</v>
      </c>
      <c r="F2737" t="s">
        <v>26</v>
      </c>
      <c r="G2737">
        <v>40</v>
      </c>
      <c r="H2737" s="3">
        <v>7.98</v>
      </c>
      <c r="I2737" s="3">
        <f>ProductLine[[#This Row],[Units]]*ProductLine[[#This Row],[Dollars]]</f>
        <v>319.20000000000005</v>
      </c>
    </row>
    <row r="2738" spans="1:9" x14ac:dyDescent="0.35">
      <c r="A2738">
        <v>2737</v>
      </c>
      <c r="B2738" t="s">
        <v>21</v>
      </c>
      <c r="C2738" s="2">
        <v>44669</v>
      </c>
      <c r="D2738">
        <f>YEAR(ProductLine[[#This Row],[Date]])</f>
        <v>2022</v>
      </c>
      <c r="E2738">
        <f>MONTH(ProductLine[[#This Row],[Date]])</f>
        <v>4</v>
      </c>
      <c r="F2738" t="s">
        <v>26</v>
      </c>
      <c r="G2738">
        <v>20</v>
      </c>
      <c r="H2738" s="3">
        <v>7.98</v>
      </c>
      <c r="I2738" s="3">
        <f>ProductLine[[#This Row],[Units]]*ProductLine[[#This Row],[Dollars]]</f>
        <v>159.60000000000002</v>
      </c>
    </row>
    <row r="2739" spans="1:9" x14ac:dyDescent="0.35">
      <c r="A2739">
        <v>2738</v>
      </c>
      <c r="B2739" t="s">
        <v>21</v>
      </c>
      <c r="C2739" s="2">
        <v>44700</v>
      </c>
      <c r="D2739">
        <f>YEAR(ProductLine[[#This Row],[Date]])</f>
        <v>2022</v>
      </c>
      <c r="E2739">
        <f>MONTH(ProductLine[[#This Row],[Date]])</f>
        <v>5</v>
      </c>
      <c r="F2739" t="s">
        <v>26</v>
      </c>
      <c r="G2739">
        <v>10</v>
      </c>
      <c r="H2739" s="3">
        <v>7.98</v>
      </c>
      <c r="I2739" s="3">
        <f>ProductLine[[#This Row],[Units]]*ProductLine[[#This Row],[Dollars]]</f>
        <v>79.800000000000011</v>
      </c>
    </row>
    <row r="2740" spans="1:9" x14ac:dyDescent="0.35">
      <c r="A2740">
        <v>2739</v>
      </c>
      <c r="B2740" t="s">
        <v>21</v>
      </c>
      <c r="C2740" s="2">
        <v>44742</v>
      </c>
      <c r="D2740">
        <f>YEAR(ProductLine[[#This Row],[Date]])</f>
        <v>2022</v>
      </c>
      <c r="E2740">
        <f>MONTH(ProductLine[[#This Row],[Date]])</f>
        <v>6</v>
      </c>
      <c r="F2740" t="s">
        <v>26</v>
      </c>
      <c r="G2740">
        <v>28</v>
      </c>
      <c r="H2740" s="3">
        <v>7.98</v>
      </c>
      <c r="I2740" s="3">
        <f>ProductLine[[#This Row],[Units]]*ProductLine[[#This Row],[Dollars]]</f>
        <v>223.44</v>
      </c>
    </row>
    <row r="2741" spans="1:9" x14ac:dyDescent="0.35">
      <c r="A2741">
        <v>2740</v>
      </c>
      <c r="B2741" t="s">
        <v>9</v>
      </c>
      <c r="C2741" s="2">
        <v>44654</v>
      </c>
      <c r="D2741">
        <f>YEAR(ProductLine[[#This Row],[Date]])</f>
        <v>2022</v>
      </c>
      <c r="E2741">
        <f>MONTH(ProductLine[[#This Row],[Date]])</f>
        <v>4</v>
      </c>
      <c r="F2741" t="s">
        <v>24</v>
      </c>
      <c r="G2741">
        <v>22</v>
      </c>
      <c r="H2741" s="3">
        <v>9.9700000000000006</v>
      </c>
      <c r="I2741" s="3">
        <f>ProductLine[[#This Row],[Units]]*ProductLine[[#This Row],[Dollars]]</f>
        <v>219.34</v>
      </c>
    </row>
    <row r="2742" spans="1:9" x14ac:dyDescent="0.35">
      <c r="A2742">
        <v>2741</v>
      </c>
      <c r="B2742" t="s">
        <v>9</v>
      </c>
      <c r="C2742" s="2">
        <v>44687</v>
      </c>
      <c r="D2742">
        <f>YEAR(ProductLine[[#This Row],[Date]])</f>
        <v>2022</v>
      </c>
      <c r="E2742">
        <f>MONTH(ProductLine[[#This Row],[Date]])</f>
        <v>5</v>
      </c>
      <c r="F2742" t="s">
        <v>24</v>
      </c>
      <c r="G2742">
        <v>26</v>
      </c>
      <c r="H2742" s="3">
        <v>13.98</v>
      </c>
      <c r="I2742" s="3">
        <f>ProductLine[[#This Row],[Units]]*ProductLine[[#This Row],[Dollars]]</f>
        <v>363.48</v>
      </c>
    </row>
    <row r="2743" spans="1:9" x14ac:dyDescent="0.35">
      <c r="A2743">
        <v>2742</v>
      </c>
      <c r="B2743" t="s">
        <v>9</v>
      </c>
      <c r="C2743" s="2">
        <v>44719</v>
      </c>
      <c r="D2743">
        <f>YEAR(ProductLine[[#This Row],[Date]])</f>
        <v>2022</v>
      </c>
      <c r="E2743">
        <f>MONTH(ProductLine[[#This Row],[Date]])</f>
        <v>6</v>
      </c>
      <c r="F2743" t="s">
        <v>24</v>
      </c>
      <c r="G2743">
        <v>36</v>
      </c>
      <c r="H2743" s="3">
        <v>9.9700000000000006</v>
      </c>
      <c r="I2743" s="3">
        <f>ProductLine[[#This Row],[Units]]*ProductLine[[#This Row],[Dollars]]</f>
        <v>358.92</v>
      </c>
    </row>
    <row r="2744" spans="1:9" x14ac:dyDescent="0.35">
      <c r="A2744">
        <v>2743</v>
      </c>
      <c r="B2744" t="s">
        <v>9</v>
      </c>
      <c r="C2744" s="2">
        <v>44742</v>
      </c>
      <c r="D2744">
        <f>YEAR(ProductLine[[#This Row],[Date]])</f>
        <v>2022</v>
      </c>
      <c r="E2744">
        <f>MONTH(ProductLine[[#This Row],[Date]])</f>
        <v>6</v>
      </c>
      <c r="F2744" t="s">
        <v>24</v>
      </c>
      <c r="G2744">
        <v>40</v>
      </c>
      <c r="H2744" s="3">
        <v>9.9700000000000006</v>
      </c>
      <c r="I2744" s="3">
        <f>ProductLine[[#This Row],[Units]]*ProductLine[[#This Row],[Dollars]]</f>
        <v>398.8</v>
      </c>
    </row>
    <row r="2745" spans="1:9" x14ac:dyDescent="0.35">
      <c r="A2745">
        <v>2744</v>
      </c>
      <c r="B2745" t="s">
        <v>13</v>
      </c>
      <c r="C2745" s="2">
        <v>44660</v>
      </c>
      <c r="D2745">
        <f>YEAR(ProductLine[[#This Row],[Date]])</f>
        <v>2022</v>
      </c>
      <c r="E2745">
        <f>MONTH(ProductLine[[#This Row],[Date]])</f>
        <v>4</v>
      </c>
      <c r="F2745" t="s">
        <v>24</v>
      </c>
      <c r="G2745">
        <v>46</v>
      </c>
      <c r="H2745" s="3">
        <v>9.9700000000000006</v>
      </c>
      <c r="I2745" s="3">
        <f>ProductLine[[#This Row],[Units]]*ProductLine[[#This Row],[Dollars]]</f>
        <v>458.62</v>
      </c>
    </row>
    <row r="2746" spans="1:9" x14ac:dyDescent="0.35">
      <c r="A2746">
        <v>2745</v>
      </c>
      <c r="B2746" t="s">
        <v>13</v>
      </c>
      <c r="C2746" s="2">
        <v>44668</v>
      </c>
      <c r="D2746">
        <f>YEAR(ProductLine[[#This Row],[Date]])</f>
        <v>2022</v>
      </c>
      <c r="E2746">
        <f>MONTH(ProductLine[[#This Row],[Date]])</f>
        <v>4</v>
      </c>
      <c r="F2746" t="s">
        <v>24</v>
      </c>
      <c r="G2746">
        <v>37</v>
      </c>
      <c r="H2746" s="3">
        <v>13.98</v>
      </c>
      <c r="I2746" s="3">
        <f>ProductLine[[#This Row],[Units]]*ProductLine[[#This Row],[Dollars]]</f>
        <v>517.26</v>
      </c>
    </row>
    <row r="2747" spans="1:9" x14ac:dyDescent="0.35">
      <c r="A2747">
        <v>2746</v>
      </c>
      <c r="B2747" t="s">
        <v>13</v>
      </c>
      <c r="C2747" s="2">
        <v>44700</v>
      </c>
      <c r="D2747">
        <f>YEAR(ProductLine[[#This Row],[Date]])</f>
        <v>2022</v>
      </c>
      <c r="E2747">
        <f>MONTH(ProductLine[[#This Row],[Date]])</f>
        <v>5</v>
      </c>
      <c r="F2747" t="s">
        <v>24</v>
      </c>
      <c r="G2747">
        <v>26</v>
      </c>
      <c r="H2747" s="3">
        <v>9.9700000000000006</v>
      </c>
      <c r="I2747" s="3">
        <f>ProductLine[[#This Row],[Units]]*ProductLine[[#This Row],[Dollars]]</f>
        <v>259.22000000000003</v>
      </c>
    </row>
    <row r="2748" spans="1:9" x14ac:dyDescent="0.35">
      <c r="A2748">
        <v>2747</v>
      </c>
      <c r="B2748" t="s">
        <v>13</v>
      </c>
      <c r="C2748" s="2">
        <v>44731</v>
      </c>
      <c r="D2748">
        <f>YEAR(ProductLine[[#This Row],[Date]])</f>
        <v>2022</v>
      </c>
      <c r="E2748">
        <f>MONTH(ProductLine[[#This Row],[Date]])</f>
        <v>6</v>
      </c>
      <c r="F2748" t="s">
        <v>24</v>
      </c>
      <c r="G2748">
        <v>49</v>
      </c>
      <c r="H2748" s="3">
        <v>9.9700000000000006</v>
      </c>
      <c r="I2748" s="3">
        <f>ProductLine[[#This Row],[Units]]*ProductLine[[#This Row],[Dollars]]</f>
        <v>488.53000000000003</v>
      </c>
    </row>
    <row r="2749" spans="1:9" x14ac:dyDescent="0.35">
      <c r="A2749">
        <v>2748</v>
      </c>
      <c r="B2749" t="s">
        <v>18</v>
      </c>
      <c r="C2749" s="2">
        <v>44660</v>
      </c>
      <c r="D2749">
        <f>YEAR(ProductLine[[#This Row],[Date]])</f>
        <v>2022</v>
      </c>
      <c r="E2749">
        <f>MONTH(ProductLine[[#This Row],[Date]])</f>
        <v>4</v>
      </c>
      <c r="F2749" t="s">
        <v>24</v>
      </c>
      <c r="G2749">
        <v>49</v>
      </c>
      <c r="H2749" s="3">
        <v>9.9700000000000006</v>
      </c>
      <c r="I2749" s="3">
        <f>ProductLine[[#This Row],[Units]]*ProductLine[[#This Row],[Dollars]]</f>
        <v>488.53000000000003</v>
      </c>
    </row>
    <row r="2750" spans="1:9" x14ac:dyDescent="0.35">
      <c r="A2750">
        <v>2749</v>
      </c>
      <c r="B2750" t="s">
        <v>18</v>
      </c>
      <c r="C2750" s="2">
        <v>44683</v>
      </c>
      <c r="D2750">
        <f>YEAR(ProductLine[[#This Row],[Date]])</f>
        <v>2022</v>
      </c>
      <c r="E2750">
        <f>MONTH(ProductLine[[#This Row],[Date]])</f>
        <v>5</v>
      </c>
      <c r="F2750" t="s">
        <v>24</v>
      </c>
      <c r="G2750">
        <v>54</v>
      </c>
      <c r="H2750" s="3">
        <v>9.9700000000000006</v>
      </c>
      <c r="I2750" s="3">
        <f>ProductLine[[#This Row],[Units]]*ProductLine[[#This Row],[Dollars]]</f>
        <v>538.38</v>
      </c>
    </row>
    <row r="2751" spans="1:9" x14ac:dyDescent="0.35">
      <c r="A2751">
        <v>2750</v>
      </c>
      <c r="B2751" t="s">
        <v>18</v>
      </c>
      <c r="C2751" s="2">
        <v>44721</v>
      </c>
      <c r="D2751">
        <f>YEAR(ProductLine[[#This Row],[Date]])</f>
        <v>2022</v>
      </c>
      <c r="E2751">
        <f>MONTH(ProductLine[[#This Row],[Date]])</f>
        <v>6</v>
      </c>
      <c r="F2751" t="s">
        <v>24</v>
      </c>
      <c r="G2751">
        <v>62</v>
      </c>
      <c r="H2751" s="3">
        <v>9.9700000000000006</v>
      </c>
      <c r="I2751" s="3">
        <f>ProductLine[[#This Row],[Units]]*ProductLine[[#This Row],[Dollars]]</f>
        <v>618.14</v>
      </c>
    </row>
    <row r="2752" spans="1:9" x14ac:dyDescent="0.35">
      <c r="A2752">
        <v>2751</v>
      </c>
      <c r="B2752" t="s">
        <v>21</v>
      </c>
      <c r="C2752" s="2">
        <v>44655</v>
      </c>
      <c r="D2752">
        <f>YEAR(ProductLine[[#This Row],[Date]])</f>
        <v>2022</v>
      </c>
      <c r="E2752">
        <f>MONTH(ProductLine[[#This Row],[Date]])</f>
        <v>4</v>
      </c>
      <c r="F2752" t="s">
        <v>24</v>
      </c>
      <c r="G2752">
        <v>45</v>
      </c>
      <c r="H2752" s="3">
        <v>10.89</v>
      </c>
      <c r="I2752" s="3">
        <f>ProductLine[[#This Row],[Units]]*ProductLine[[#This Row],[Dollars]]</f>
        <v>490.05</v>
      </c>
    </row>
    <row r="2753" spans="1:9" x14ac:dyDescent="0.35">
      <c r="A2753">
        <v>2752</v>
      </c>
      <c r="B2753" t="s">
        <v>21</v>
      </c>
      <c r="C2753" s="2">
        <v>44682</v>
      </c>
      <c r="D2753">
        <f>YEAR(ProductLine[[#This Row],[Date]])</f>
        <v>2022</v>
      </c>
      <c r="E2753">
        <f>MONTH(ProductLine[[#This Row],[Date]])</f>
        <v>5</v>
      </c>
      <c r="F2753" t="s">
        <v>24</v>
      </c>
      <c r="G2753">
        <v>56</v>
      </c>
      <c r="H2753" s="3">
        <v>10.89</v>
      </c>
      <c r="I2753" s="3">
        <f>ProductLine[[#This Row],[Units]]*ProductLine[[#This Row],[Dollars]]</f>
        <v>609.84</v>
      </c>
    </row>
    <row r="2754" spans="1:9" x14ac:dyDescent="0.35">
      <c r="A2754">
        <v>2753</v>
      </c>
      <c r="B2754" t="s">
        <v>21</v>
      </c>
      <c r="C2754" s="2">
        <v>44714</v>
      </c>
      <c r="D2754">
        <f>YEAR(ProductLine[[#This Row],[Date]])</f>
        <v>2022</v>
      </c>
      <c r="E2754">
        <f>MONTH(ProductLine[[#This Row],[Date]])</f>
        <v>6</v>
      </c>
      <c r="F2754" t="s">
        <v>24</v>
      </c>
      <c r="G2754">
        <v>68</v>
      </c>
      <c r="H2754" s="3">
        <v>9.9700000000000006</v>
      </c>
      <c r="I2754" s="3">
        <f>ProductLine[[#This Row],[Units]]*ProductLine[[#This Row],[Dollars]]</f>
        <v>677.96</v>
      </c>
    </row>
    <row r="2755" spans="1:9" x14ac:dyDescent="0.35">
      <c r="A2755">
        <v>2754</v>
      </c>
      <c r="B2755" t="s">
        <v>21</v>
      </c>
      <c r="C2755" s="2">
        <v>44740</v>
      </c>
      <c r="D2755">
        <f>YEAR(ProductLine[[#This Row],[Date]])</f>
        <v>2022</v>
      </c>
      <c r="E2755">
        <f>MONTH(ProductLine[[#This Row],[Date]])</f>
        <v>6</v>
      </c>
      <c r="F2755" t="s">
        <v>24</v>
      </c>
      <c r="G2755">
        <v>36</v>
      </c>
      <c r="H2755" s="3">
        <v>9.9700000000000006</v>
      </c>
      <c r="I2755" s="3">
        <f>ProductLine[[#This Row],[Units]]*ProductLine[[#This Row],[Dollars]]</f>
        <v>358.92</v>
      </c>
    </row>
    <row r="2756" spans="1:9" x14ac:dyDescent="0.35">
      <c r="A2756">
        <v>2755</v>
      </c>
      <c r="B2756" t="s">
        <v>11</v>
      </c>
      <c r="C2756" s="2">
        <v>44666</v>
      </c>
      <c r="D2756">
        <f>YEAR(ProductLine[[#This Row],[Date]])</f>
        <v>2022</v>
      </c>
      <c r="E2756">
        <f>MONTH(ProductLine[[#This Row],[Date]])</f>
        <v>4</v>
      </c>
      <c r="F2756" t="s">
        <v>23</v>
      </c>
      <c r="G2756">
        <v>46</v>
      </c>
      <c r="H2756" s="3">
        <v>5.47</v>
      </c>
      <c r="I2756" s="3">
        <f>ProductLine[[#This Row],[Units]]*ProductLine[[#This Row],[Dollars]]</f>
        <v>251.61999999999998</v>
      </c>
    </row>
    <row r="2757" spans="1:9" x14ac:dyDescent="0.35">
      <c r="A2757">
        <v>2756</v>
      </c>
      <c r="B2757" t="s">
        <v>11</v>
      </c>
      <c r="C2757" s="2">
        <v>44700</v>
      </c>
      <c r="D2757">
        <f>YEAR(ProductLine[[#This Row],[Date]])</f>
        <v>2022</v>
      </c>
      <c r="E2757">
        <f>MONTH(ProductLine[[#This Row],[Date]])</f>
        <v>5</v>
      </c>
      <c r="F2757" t="s">
        <v>23</v>
      </c>
      <c r="G2757">
        <v>56</v>
      </c>
      <c r="H2757" s="3">
        <v>5.47</v>
      </c>
      <c r="I2757" s="3">
        <f>ProductLine[[#This Row],[Units]]*ProductLine[[#This Row],[Dollars]]</f>
        <v>306.32</v>
      </c>
    </row>
    <row r="2758" spans="1:9" x14ac:dyDescent="0.35">
      <c r="A2758">
        <v>2757</v>
      </c>
      <c r="B2758" t="s">
        <v>11</v>
      </c>
      <c r="C2758" s="2">
        <v>44739</v>
      </c>
      <c r="D2758">
        <f>YEAR(ProductLine[[#This Row],[Date]])</f>
        <v>2022</v>
      </c>
      <c r="E2758">
        <f>MONTH(ProductLine[[#This Row],[Date]])</f>
        <v>6</v>
      </c>
      <c r="F2758" t="s">
        <v>23</v>
      </c>
      <c r="G2758">
        <v>66</v>
      </c>
      <c r="H2758" s="3">
        <v>5.47</v>
      </c>
      <c r="I2758" s="3">
        <f>ProductLine[[#This Row],[Units]]*ProductLine[[#This Row],[Dollars]]</f>
        <v>361.02</v>
      </c>
    </row>
    <row r="2759" spans="1:9" x14ac:dyDescent="0.35">
      <c r="A2759">
        <v>2758</v>
      </c>
      <c r="B2759" t="s">
        <v>9</v>
      </c>
      <c r="C2759" s="2">
        <v>44687</v>
      </c>
      <c r="D2759">
        <f>YEAR(ProductLine[[#This Row],[Date]])</f>
        <v>2022</v>
      </c>
      <c r="E2759">
        <f>MONTH(ProductLine[[#This Row],[Date]])</f>
        <v>5</v>
      </c>
      <c r="F2759" t="s">
        <v>23</v>
      </c>
      <c r="G2759">
        <v>32</v>
      </c>
      <c r="H2759" s="3">
        <v>5.47</v>
      </c>
      <c r="I2759" s="3">
        <f>ProductLine[[#This Row],[Units]]*ProductLine[[#This Row],[Dollars]]</f>
        <v>175.04</v>
      </c>
    </row>
    <row r="2760" spans="1:9" x14ac:dyDescent="0.35">
      <c r="A2760">
        <v>2759</v>
      </c>
      <c r="B2760" t="s">
        <v>9</v>
      </c>
      <c r="C2760" s="2">
        <v>44708</v>
      </c>
      <c r="D2760">
        <f>YEAR(ProductLine[[#This Row],[Date]])</f>
        <v>2022</v>
      </c>
      <c r="E2760">
        <f>MONTH(ProductLine[[#This Row],[Date]])</f>
        <v>5</v>
      </c>
      <c r="F2760" t="s">
        <v>23</v>
      </c>
      <c r="G2760">
        <v>52</v>
      </c>
      <c r="H2760" s="3">
        <v>8.4600000000000009</v>
      </c>
      <c r="I2760" s="3">
        <f>ProductLine[[#This Row],[Units]]*ProductLine[[#This Row],[Dollars]]</f>
        <v>439.92000000000007</v>
      </c>
    </row>
    <row r="2761" spans="1:9" x14ac:dyDescent="0.35">
      <c r="A2761">
        <v>2760</v>
      </c>
      <c r="B2761" t="s">
        <v>9</v>
      </c>
      <c r="C2761" s="2">
        <v>44740</v>
      </c>
      <c r="D2761">
        <f>YEAR(ProductLine[[#This Row],[Date]])</f>
        <v>2022</v>
      </c>
      <c r="E2761">
        <f>MONTH(ProductLine[[#This Row],[Date]])</f>
        <v>6</v>
      </c>
      <c r="F2761" t="s">
        <v>23</v>
      </c>
      <c r="G2761">
        <v>27</v>
      </c>
      <c r="H2761" s="3">
        <v>8.4600000000000009</v>
      </c>
      <c r="I2761" s="3">
        <f>ProductLine[[#This Row],[Units]]*ProductLine[[#This Row],[Dollars]]</f>
        <v>228.42000000000002</v>
      </c>
    </row>
    <row r="2762" spans="1:9" x14ac:dyDescent="0.35">
      <c r="A2762">
        <v>2761</v>
      </c>
      <c r="B2762" t="s">
        <v>21</v>
      </c>
      <c r="C2762" s="2">
        <v>44663</v>
      </c>
      <c r="D2762">
        <f>YEAR(ProductLine[[#This Row],[Date]])</f>
        <v>2022</v>
      </c>
      <c r="E2762">
        <f>MONTH(ProductLine[[#This Row],[Date]])</f>
        <v>4</v>
      </c>
      <c r="F2762" t="s">
        <v>23</v>
      </c>
      <c r="G2762">
        <v>14</v>
      </c>
      <c r="H2762" s="3">
        <v>8.4600000000000009</v>
      </c>
      <c r="I2762" s="3">
        <f>ProductLine[[#This Row],[Units]]*ProductLine[[#This Row],[Dollars]]</f>
        <v>118.44000000000001</v>
      </c>
    </row>
    <row r="2763" spans="1:9" x14ac:dyDescent="0.35">
      <c r="A2763">
        <v>2762</v>
      </c>
      <c r="B2763" t="s">
        <v>21</v>
      </c>
      <c r="C2763" s="2">
        <v>44682</v>
      </c>
      <c r="D2763">
        <f>YEAR(ProductLine[[#This Row],[Date]])</f>
        <v>2022</v>
      </c>
      <c r="E2763">
        <f>MONTH(ProductLine[[#This Row],[Date]])</f>
        <v>5</v>
      </c>
      <c r="F2763" t="s">
        <v>23</v>
      </c>
      <c r="G2763">
        <v>26</v>
      </c>
      <c r="H2763" s="3">
        <v>8.4600000000000009</v>
      </c>
      <c r="I2763" s="3">
        <f>ProductLine[[#This Row],[Units]]*ProductLine[[#This Row],[Dollars]]</f>
        <v>219.96000000000004</v>
      </c>
    </row>
    <row r="2764" spans="1:9" x14ac:dyDescent="0.35">
      <c r="A2764">
        <v>2763</v>
      </c>
      <c r="B2764" t="s">
        <v>21</v>
      </c>
      <c r="C2764" s="2">
        <v>44719</v>
      </c>
      <c r="D2764">
        <f>YEAR(ProductLine[[#This Row],[Date]])</f>
        <v>2022</v>
      </c>
      <c r="E2764">
        <f>MONTH(ProductLine[[#This Row],[Date]])</f>
        <v>6</v>
      </c>
      <c r="F2764" t="s">
        <v>23</v>
      </c>
      <c r="G2764">
        <v>12</v>
      </c>
      <c r="H2764" s="3">
        <v>5.47</v>
      </c>
      <c r="I2764" s="3">
        <f>ProductLine[[#This Row],[Units]]*ProductLine[[#This Row],[Dollars]]</f>
        <v>65.64</v>
      </c>
    </row>
    <row r="2765" spans="1:9" x14ac:dyDescent="0.35">
      <c r="A2765">
        <v>2764</v>
      </c>
      <c r="B2765" t="s">
        <v>11</v>
      </c>
      <c r="C2765" s="2">
        <v>44667</v>
      </c>
      <c r="D2765">
        <f>YEAR(ProductLine[[#This Row],[Date]])</f>
        <v>2022</v>
      </c>
      <c r="E2765">
        <f>MONTH(ProductLine[[#This Row],[Date]])</f>
        <v>4</v>
      </c>
      <c r="F2765" t="s">
        <v>25</v>
      </c>
      <c r="G2765">
        <v>14</v>
      </c>
      <c r="H2765" s="3">
        <v>6.99</v>
      </c>
      <c r="I2765" s="3">
        <f>ProductLine[[#This Row],[Units]]*ProductLine[[#This Row],[Dollars]]</f>
        <v>97.86</v>
      </c>
    </row>
    <row r="2766" spans="1:9" x14ac:dyDescent="0.35">
      <c r="A2766">
        <v>2765</v>
      </c>
      <c r="B2766" t="s">
        <v>11</v>
      </c>
      <c r="C2766" s="2">
        <v>44669</v>
      </c>
      <c r="D2766">
        <f>YEAR(ProductLine[[#This Row],[Date]])</f>
        <v>2022</v>
      </c>
      <c r="E2766">
        <f>MONTH(ProductLine[[#This Row],[Date]])</f>
        <v>4</v>
      </c>
      <c r="F2766" t="s">
        <v>25</v>
      </c>
      <c r="G2766">
        <v>25</v>
      </c>
      <c r="H2766" s="3">
        <v>10.97</v>
      </c>
      <c r="I2766" s="3">
        <f>ProductLine[[#This Row],[Units]]*ProductLine[[#This Row],[Dollars]]</f>
        <v>274.25</v>
      </c>
    </row>
    <row r="2767" spans="1:9" x14ac:dyDescent="0.35">
      <c r="A2767">
        <v>2766</v>
      </c>
      <c r="B2767" t="s">
        <v>11</v>
      </c>
      <c r="C2767" s="2">
        <v>44699</v>
      </c>
      <c r="D2767">
        <f>YEAR(ProductLine[[#This Row],[Date]])</f>
        <v>2022</v>
      </c>
      <c r="E2767">
        <f>MONTH(ProductLine[[#This Row],[Date]])</f>
        <v>5</v>
      </c>
      <c r="F2767" t="s">
        <v>25</v>
      </c>
      <c r="G2767">
        <v>36</v>
      </c>
      <c r="H2767" s="3">
        <v>10.97</v>
      </c>
      <c r="I2767" s="3">
        <f>ProductLine[[#This Row],[Units]]*ProductLine[[#This Row],[Dollars]]</f>
        <v>394.92</v>
      </c>
    </row>
    <row r="2768" spans="1:9" x14ac:dyDescent="0.35">
      <c r="A2768">
        <v>2767</v>
      </c>
      <c r="B2768" t="s">
        <v>9</v>
      </c>
      <c r="C2768" s="2">
        <v>44667</v>
      </c>
      <c r="D2768">
        <f>YEAR(ProductLine[[#This Row],[Date]])</f>
        <v>2022</v>
      </c>
      <c r="E2768">
        <f>MONTH(ProductLine[[#This Row],[Date]])</f>
        <v>4</v>
      </c>
      <c r="F2768" t="s">
        <v>25</v>
      </c>
      <c r="G2768">
        <v>17</v>
      </c>
      <c r="H2768" s="3">
        <v>8.89</v>
      </c>
      <c r="I2768" s="3">
        <f>ProductLine[[#This Row],[Units]]*ProductLine[[#This Row],[Dollars]]</f>
        <v>151.13</v>
      </c>
    </row>
    <row r="2769" spans="1:9" x14ac:dyDescent="0.35">
      <c r="A2769">
        <v>2768</v>
      </c>
      <c r="B2769" t="s">
        <v>9</v>
      </c>
      <c r="C2769" s="2">
        <v>44682</v>
      </c>
      <c r="D2769">
        <f>YEAR(ProductLine[[#This Row],[Date]])</f>
        <v>2022</v>
      </c>
      <c r="E2769">
        <f>MONTH(ProductLine[[#This Row],[Date]])</f>
        <v>5</v>
      </c>
      <c r="F2769" t="s">
        <v>25</v>
      </c>
      <c r="G2769">
        <v>15</v>
      </c>
      <c r="H2769" s="3">
        <v>8.89</v>
      </c>
      <c r="I2769" s="3">
        <f>ProductLine[[#This Row],[Units]]*ProductLine[[#This Row],[Dollars]]</f>
        <v>133.35000000000002</v>
      </c>
    </row>
    <row r="2770" spans="1:9" x14ac:dyDescent="0.35">
      <c r="A2770">
        <v>2769</v>
      </c>
      <c r="B2770" t="s">
        <v>9</v>
      </c>
      <c r="C2770" s="2">
        <v>44721</v>
      </c>
      <c r="D2770">
        <f>YEAR(ProductLine[[#This Row],[Date]])</f>
        <v>2022</v>
      </c>
      <c r="E2770">
        <f>MONTH(ProductLine[[#This Row],[Date]])</f>
        <v>6</v>
      </c>
      <c r="F2770" t="s">
        <v>25</v>
      </c>
      <c r="G2770">
        <v>36</v>
      </c>
      <c r="H2770" s="3">
        <v>10.97</v>
      </c>
      <c r="I2770" s="3">
        <f>ProductLine[[#This Row],[Units]]*ProductLine[[#This Row],[Dollars]]</f>
        <v>394.92</v>
      </c>
    </row>
    <row r="2771" spans="1:9" x14ac:dyDescent="0.35">
      <c r="A2771">
        <v>2770</v>
      </c>
      <c r="B2771" t="s">
        <v>21</v>
      </c>
      <c r="C2771" s="2">
        <v>44666</v>
      </c>
      <c r="D2771">
        <f>YEAR(ProductLine[[#This Row],[Date]])</f>
        <v>2022</v>
      </c>
      <c r="E2771">
        <f>MONTH(ProductLine[[#This Row],[Date]])</f>
        <v>4</v>
      </c>
      <c r="F2771" t="s">
        <v>25</v>
      </c>
      <c r="G2771">
        <v>30</v>
      </c>
      <c r="H2771" s="3">
        <v>10.97</v>
      </c>
      <c r="I2771" s="3">
        <f>ProductLine[[#This Row],[Units]]*ProductLine[[#This Row],[Dollars]]</f>
        <v>329.1</v>
      </c>
    </row>
    <row r="2772" spans="1:9" x14ac:dyDescent="0.35">
      <c r="A2772">
        <v>2771</v>
      </c>
      <c r="B2772" t="s">
        <v>21</v>
      </c>
      <c r="C2772" s="2">
        <v>44700</v>
      </c>
      <c r="D2772">
        <f>YEAR(ProductLine[[#This Row],[Date]])</f>
        <v>2022</v>
      </c>
      <c r="E2772">
        <f>MONTH(ProductLine[[#This Row],[Date]])</f>
        <v>5</v>
      </c>
      <c r="F2772" t="s">
        <v>25</v>
      </c>
      <c r="G2772">
        <v>46</v>
      </c>
      <c r="H2772" s="3">
        <v>6.99</v>
      </c>
      <c r="I2772" s="3">
        <f>ProductLine[[#This Row],[Units]]*ProductLine[[#This Row],[Dollars]]</f>
        <v>321.54000000000002</v>
      </c>
    </row>
    <row r="2773" spans="1:9" x14ac:dyDescent="0.35">
      <c r="A2773">
        <v>2772</v>
      </c>
      <c r="B2773" t="s">
        <v>21</v>
      </c>
      <c r="C2773" s="2">
        <v>44742</v>
      </c>
      <c r="D2773">
        <f>YEAR(ProductLine[[#This Row],[Date]])</f>
        <v>2022</v>
      </c>
      <c r="E2773">
        <f>MONTH(ProductLine[[#This Row],[Date]])</f>
        <v>6</v>
      </c>
      <c r="F2773" t="s">
        <v>25</v>
      </c>
      <c r="G2773">
        <v>38</v>
      </c>
      <c r="H2773" s="3">
        <v>6.99</v>
      </c>
      <c r="I2773" s="3">
        <f>ProductLine[[#This Row],[Units]]*ProductLine[[#This Row],[Dollars]]</f>
        <v>265.62</v>
      </c>
    </row>
    <row r="2774" spans="1:9" x14ac:dyDescent="0.35">
      <c r="A2774">
        <v>2773</v>
      </c>
      <c r="B2774" t="s">
        <v>11</v>
      </c>
      <c r="C2774" s="2">
        <v>44752</v>
      </c>
      <c r="D2774">
        <f>YEAR(ProductLine[[#This Row],[Date]])</f>
        <v>2022</v>
      </c>
      <c r="E2774">
        <f>MONTH(ProductLine[[#This Row],[Date]])</f>
        <v>7</v>
      </c>
      <c r="F2774" t="s">
        <v>23</v>
      </c>
      <c r="G2774">
        <v>44</v>
      </c>
      <c r="H2774" s="3">
        <v>5.47</v>
      </c>
      <c r="I2774" s="3">
        <f>ProductLine[[#This Row],[Units]]*ProductLine[[#This Row],[Dollars]]</f>
        <v>240.67999999999998</v>
      </c>
    </row>
    <row r="2775" spans="1:9" x14ac:dyDescent="0.35">
      <c r="A2775">
        <v>2774</v>
      </c>
      <c r="B2775" t="s">
        <v>11</v>
      </c>
      <c r="C2775" s="2">
        <v>44784</v>
      </c>
      <c r="D2775">
        <f>YEAR(ProductLine[[#This Row],[Date]])</f>
        <v>2022</v>
      </c>
      <c r="E2775">
        <f>MONTH(ProductLine[[#This Row],[Date]])</f>
        <v>8</v>
      </c>
      <c r="F2775" t="s">
        <v>23</v>
      </c>
      <c r="G2775">
        <v>41</v>
      </c>
      <c r="H2775" s="3">
        <v>8.4600000000000009</v>
      </c>
      <c r="I2775" s="3">
        <f>ProductLine[[#This Row],[Units]]*ProductLine[[#This Row],[Dollars]]</f>
        <v>346.86</v>
      </c>
    </row>
    <row r="2776" spans="1:9" x14ac:dyDescent="0.35">
      <c r="A2776">
        <v>2775</v>
      </c>
      <c r="B2776" t="s">
        <v>11</v>
      </c>
      <c r="C2776" s="2">
        <v>44805</v>
      </c>
      <c r="D2776">
        <f>YEAR(ProductLine[[#This Row],[Date]])</f>
        <v>2022</v>
      </c>
      <c r="E2776">
        <f>MONTH(ProductLine[[#This Row],[Date]])</f>
        <v>9</v>
      </c>
      <c r="F2776" t="s">
        <v>23</v>
      </c>
      <c r="G2776">
        <v>38</v>
      </c>
      <c r="H2776" s="3">
        <v>5.47</v>
      </c>
      <c r="I2776" s="3">
        <f>ProductLine[[#This Row],[Units]]*ProductLine[[#This Row],[Dollars]]</f>
        <v>207.85999999999999</v>
      </c>
    </row>
    <row r="2777" spans="1:9" x14ac:dyDescent="0.35">
      <c r="A2777">
        <v>2776</v>
      </c>
      <c r="B2777" t="s">
        <v>9</v>
      </c>
      <c r="C2777" s="2">
        <v>44806</v>
      </c>
      <c r="D2777">
        <f>YEAR(ProductLine[[#This Row],[Date]])</f>
        <v>2022</v>
      </c>
      <c r="E2777">
        <f>MONTH(ProductLine[[#This Row],[Date]])</f>
        <v>9</v>
      </c>
      <c r="F2777" t="s">
        <v>23</v>
      </c>
      <c r="G2777">
        <v>12</v>
      </c>
      <c r="H2777" s="3">
        <v>5.47</v>
      </c>
      <c r="I2777" s="3">
        <f>ProductLine[[#This Row],[Units]]*ProductLine[[#This Row],[Dollars]]</f>
        <v>65.64</v>
      </c>
    </row>
    <row r="2778" spans="1:9" x14ac:dyDescent="0.35">
      <c r="A2778">
        <v>2777</v>
      </c>
      <c r="B2778" t="s">
        <v>17</v>
      </c>
      <c r="C2778" s="2">
        <v>44744</v>
      </c>
      <c r="D2778">
        <f>YEAR(ProductLine[[#This Row],[Date]])</f>
        <v>2022</v>
      </c>
      <c r="E2778">
        <f>MONTH(ProductLine[[#This Row],[Date]])</f>
        <v>7</v>
      </c>
      <c r="F2778" t="s">
        <v>23</v>
      </c>
      <c r="G2778">
        <v>24</v>
      </c>
      <c r="H2778" s="3">
        <v>8.4600000000000009</v>
      </c>
      <c r="I2778" s="3">
        <f>ProductLine[[#This Row],[Units]]*ProductLine[[#This Row],[Dollars]]</f>
        <v>203.04000000000002</v>
      </c>
    </row>
    <row r="2779" spans="1:9" x14ac:dyDescent="0.35">
      <c r="A2779">
        <v>2778</v>
      </c>
      <c r="B2779" t="s">
        <v>17</v>
      </c>
      <c r="C2779" s="2">
        <v>44758</v>
      </c>
      <c r="D2779">
        <f>YEAR(ProductLine[[#This Row],[Date]])</f>
        <v>2022</v>
      </c>
      <c r="E2779">
        <f>MONTH(ProductLine[[#This Row],[Date]])</f>
        <v>7</v>
      </c>
      <c r="F2779" t="s">
        <v>23</v>
      </c>
      <c r="G2779">
        <v>12</v>
      </c>
      <c r="H2779" s="3">
        <v>5.47</v>
      </c>
      <c r="I2779" s="3">
        <f>ProductLine[[#This Row],[Units]]*ProductLine[[#This Row],[Dollars]]</f>
        <v>65.64</v>
      </c>
    </row>
    <row r="2780" spans="1:9" x14ac:dyDescent="0.35">
      <c r="A2780">
        <v>2779</v>
      </c>
      <c r="B2780" t="s">
        <v>17</v>
      </c>
      <c r="C2780" s="2">
        <v>44763</v>
      </c>
      <c r="D2780">
        <f>YEAR(ProductLine[[#This Row],[Date]])</f>
        <v>2022</v>
      </c>
      <c r="E2780">
        <f>MONTH(ProductLine[[#This Row],[Date]])</f>
        <v>7</v>
      </c>
      <c r="F2780" t="s">
        <v>23</v>
      </c>
      <c r="G2780">
        <v>45</v>
      </c>
      <c r="H2780" s="3">
        <v>8.4600000000000009</v>
      </c>
      <c r="I2780" s="3">
        <f>ProductLine[[#This Row],[Units]]*ProductLine[[#This Row],[Dollars]]</f>
        <v>380.70000000000005</v>
      </c>
    </row>
    <row r="2781" spans="1:9" x14ac:dyDescent="0.35">
      <c r="A2781">
        <v>2780</v>
      </c>
      <c r="B2781" t="s">
        <v>17</v>
      </c>
      <c r="C2781" s="2">
        <v>44792</v>
      </c>
      <c r="D2781">
        <f>YEAR(ProductLine[[#This Row],[Date]])</f>
        <v>2022</v>
      </c>
      <c r="E2781">
        <f>MONTH(ProductLine[[#This Row],[Date]])</f>
        <v>8</v>
      </c>
      <c r="F2781" t="s">
        <v>23</v>
      </c>
      <c r="G2781">
        <v>37</v>
      </c>
      <c r="H2781" s="3">
        <v>5.47</v>
      </c>
      <c r="I2781" s="3">
        <f>ProductLine[[#This Row],[Units]]*ProductLine[[#This Row],[Dollars]]</f>
        <v>202.39</v>
      </c>
    </row>
    <row r="2782" spans="1:9" x14ac:dyDescent="0.35">
      <c r="A2782">
        <v>2781</v>
      </c>
      <c r="B2782" t="s">
        <v>13</v>
      </c>
      <c r="C2782" s="2">
        <v>44761</v>
      </c>
      <c r="D2782">
        <f>YEAR(ProductLine[[#This Row],[Date]])</f>
        <v>2022</v>
      </c>
      <c r="E2782">
        <f>MONTH(ProductLine[[#This Row],[Date]])</f>
        <v>7</v>
      </c>
      <c r="F2782" t="s">
        <v>23</v>
      </c>
      <c r="G2782">
        <v>28</v>
      </c>
      <c r="H2782" s="3">
        <v>8.4600000000000009</v>
      </c>
      <c r="I2782" s="3">
        <f>ProductLine[[#This Row],[Units]]*ProductLine[[#This Row],[Dollars]]</f>
        <v>236.88000000000002</v>
      </c>
    </row>
    <row r="2783" spans="1:9" x14ac:dyDescent="0.35">
      <c r="A2783">
        <v>2782</v>
      </c>
      <c r="B2783" t="s">
        <v>13</v>
      </c>
      <c r="C2783" s="2">
        <v>44792</v>
      </c>
      <c r="D2783">
        <f>YEAR(ProductLine[[#This Row],[Date]])</f>
        <v>2022</v>
      </c>
      <c r="E2783">
        <f>MONTH(ProductLine[[#This Row],[Date]])</f>
        <v>8</v>
      </c>
      <c r="F2783" t="s">
        <v>23</v>
      </c>
      <c r="G2783">
        <v>41</v>
      </c>
      <c r="H2783" s="3">
        <v>5.47</v>
      </c>
      <c r="I2783" s="3">
        <f>ProductLine[[#This Row],[Units]]*ProductLine[[#This Row],[Dollars]]</f>
        <v>224.26999999999998</v>
      </c>
    </row>
    <row r="2784" spans="1:9" x14ac:dyDescent="0.35">
      <c r="A2784">
        <v>2783</v>
      </c>
      <c r="B2784" t="s">
        <v>13</v>
      </c>
      <c r="C2784" s="2">
        <v>44823</v>
      </c>
      <c r="D2784">
        <f>YEAR(ProductLine[[#This Row],[Date]])</f>
        <v>2022</v>
      </c>
      <c r="E2784">
        <f>MONTH(ProductLine[[#This Row],[Date]])</f>
        <v>9</v>
      </c>
      <c r="F2784" t="s">
        <v>23</v>
      </c>
      <c r="G2784">
        <v>16</v>
      </c>
      <c r="H2784" s="3">
        <v>5.47</v>
      </c>
      <c r="I2784" s="3">
        <f>ProductLine[[#This Row],[Units]]*ProductLine[[#This Row],[Dollars]]</f>
        <v>87.52</v>
      </c>
    </row>
    <row r="2785" spans="1:9" x14ac:dyDescent="0.35">
      <c r="A2785">
        <v>2784</v>
      </c>
      <c r="B2785" t="s">
        <v>13</v>
      </c>
      <c r="C2785" s="2">
        <v>44771</v>
      </c>
      <c r="D2785">
        <f>YEAR(ProductLine[[#This Row],[Date]])</f>
        <v>2022</v>
      </c>
      <c r="E2785">
        <f>MONTH(ProductLine[[#This Row],[Date]])</f>
        <v>7</v>
      </c>
      <c r="F2785" t="s">
        <v>23</v>
      </c>
      <c r="G2785">
        <v>4</v>
      </c>
      <c r="H2785" s="3">
        <v>5.47</v>
      </c>
      <c r="I2785" s="3">
        <f>ProductLine[[#This Row],[Units]]*ProductLine[[#This Row],[Dollars]]</f>
        <v>21.88</v>
      </c>
    </row>
    <row r="2786" spans="1:9" x14ac:dyDescent="0.35">
      <c r="A2786">
        <v>2785</v>
      </c>
      <c r="B2786" t="s">
        <v>13</v>
      </c>
      <c r="C2786" s="2">
        <v>44802</v>
      </c>
      <c r="D2786">
        <f>YEAR(ProductLine[[#This Row],[Date]])</f>
        <v>2022</v>
      </c>
      <c r="E2786">
        <f>MONTH(ProductLine[[#This Row],[Date]])</f>
        <v>8</v>
      </c>
      <c r="F2786" t="s">
        <v>23</v>
      </c>
      <c r="G2786">
        <v>29</v>
      </c>
      <c r="H2786" s="3">
        <v>5.47</v>
      </c>
      <c r="I2786" s="3">
        <f>ProductLine[[#This Row],[Units]]*ProductLine[[#This Row],[Dollars]]</f>
        <v>158.63</v>
      </c>
    </row>
    <row r="2787" spans="1:9" x14ac:dyDescent="0.35">
      <c r="A2787">
        <v>2786</v>
      </c>
      <c r="B2787" t="s">
        <v>18</v>
      </c>
      <c r="C2787" s="2">
        <v>44763</v>
      </c>
      <c r="D2787">
        <f>YEAR(ProductLine[[#This Row],[Date]])</f>
        <v>2022</v>
      </c>
      <c r="E2787">
        <f>MONTH(ProductLine[[#This Row],[Date]])</f>
        <v>7</v>
      </c>
      <c r="F2787" t="s">
        <v>23</v>
      </c>
      <c r="G2787">
        <v>32</v>
      </c>
      <c r="H2787" s="3">
        <v>5.47</v>
      </c>
      <c r="I2787" s="3">
        <f>ProductLine[[#This Row],[Units]]*ProductLine[[#This Row],[Dollars]]</f>
        <v>175.04</v>
      </c>
    </row>
    <row r="2788" spans="1:9" x14ac:dyDescent="0.35">
      <c r="A2788">
        <v>2787</v>
      </c>
      <c r="B2788" t="s">
        <v>18</v>
      </c>
      <c r="C2788" s="2">
        <v>44802</v>
      </c>
      <c r="D2788">
        <f>YEAR(ProductLine[[#This Row],[Date]])</f>
        <v>2022</v>
      </c>
      <c r="E2788">
        <f>MONTH(ProductLine[[#This Row],[Date]])</f>
        <v>8</v>
      </c>
      <c r="F2788" t="s">
        <v>23</v>
      </c>
      <c r="G2788">
        <v>42</v>
      </c>
      <c r="H2788" s="3">
        <v>5.47</v>
      </c>
      <c r="I2788" s="3">
        <f>ProductLine[[#This Row],[Units]]*ProductLine[[#This Row],[Dollars]]</f>
        <v>229.73999999999998</v>
      </c>
    </row>
    <row r="2789" spans="1:9" x14ac:dyDescent="0.35">
      <c r="A2789">
        <v>2788</v>
      </c>
      <c r="B2789" t="s">
        <v>21</v>
      </c>
      <c r="C2789" s="2">
        <v>44833</v>
      </c>
      <c r="D2789">
        <f>YEAR(ProductLine[[#This Row],[Date]])</f>
        <v>2022</v>
      </c>
      <c r="E2789">
        <f>MONTH(ProductLine[[#This Row],[Date]])</f>
        <v>9</v>
      </c>
      <c r="F2789" t="s">
        <v>23</v>
      </c>
      <c r="G2789">
        <v>46</v>
      </c>
      <c r="H2789" s="3">
        <v>5.47</v>
      </c>
      <c r="I2789" s="3">
        <f>ProductLine[[#This Row],[Units]]*ProductLine[[#This Row],[Dollars]]</f>
        <v>251.61999999999998</v>
      </c>
    </row>
    <row r="2790" spans="1:9" x14ac:dyDescent="0.35">
      <c r="A2790">
        <v>2789</v>
      </c>
      <c r="B2790" t="s">
        <v>21</v>
      </c>
      <c r="C2790" s="2">
        <v>44763</v>
      </c>
      <c r="D2790">
        <f>YEAR(ProductLine[[#This Row],[Date]])</f>
        <v>2022</v>
      </c>
      <c r="E2790">
        <f>MONTH(ProductLine[[#This Row],[Date]])</f>
        <v>7</v>
      </c>
      <c r="F2790" t="s">
        <v>23</v>
      </c>
      <c r="G2790">
        <v>18</v>
      </c>
      <c r="H2790" s="3">
        <v>5.47</v>
      </c>
      <c r="I2790" s="3">
        <f>ProductLine[[#This Row],[Units]]*ProductLine[[#This Row],[Dollars]]</f>
        <v>98.46</v>
      </c>
    </row>
    <row r="2791" spans="1:9" x14ac:dyDescent="0.35">
      <c r="A2791">
        <v>2790</v>
      </c>
      <c r="B2791" t="s">
        <v>21</v>
      </c>
      <c r="C2791" s="2">
        <v>44785</v>
      </c>
      <c r="D2791">
        <f>YEAR(ProductLine[[#This Row],[Date]])</f>
        <v>2022</v>
      </c>
      <c r="E2791">
        <f>MONTH(ProductLine[[#This Row],[Date]])</f>
        <v>8</v>
      </c>
      <c r="F2791" t="s">
        <v>23</v>
      </c>
      <c r="G2791">
        <v>9</v>
      </c>
      <c r="H2791" s="3">
        <v>5.47</v>
      </c>
      <c r="I2791" s="3">
        <f>ProductLine[[#This Row],[Units]]*ProductLine[[#This Row],[Dollars]]</f>
        <v>49.23</v>
      </c>
    </row>
    <row r="2792" spans="1:9" x14ac:dyDescent="0.35">
      <c r="A2792">
        <v>2791</v>
      </c>
      <c r="B2792" t="s">
        <v>21</v>
      </c>
      <c r="C2792" s="2">
        <v>44792</v>
      </c>
      <c r="D2792">
        <f>YEAR(ProductLine[[#This Row],[Date]])</f>
        <v>2022</v>
      </c>
      <c r="E2792">
        <f>MONTH(ProductLine[[#This Row],[Date]])</f>
        <v>8</v>
      </c>
      <c r="F2792" t="s">
        <v>23</v>
      </c>
      <c r="G2792">
        <v>15</v>
      </c>
      <c r="H2792" s="3">
        <v>5.47</v>
      </c>
      <c r="I2792" s="3">
        <f>ProductLine[[#This Row],[Units]]*ProductLine[[#This Row],[Dollars]]</f>
        <v>82.05</v>
      </c>
    </row>
    <row r="2793" spans="1:9" x14ac:dyDescent="0.35">
      <c r="A2793">
        <v>2792</v>
      </c>
      <c r="B2793" t="s">
        <v>13</v>
      </c>
      <c r="C2793" s="2">
        <v>44782</v>
      </c>
      <c r="D2793">
        <f>YEAR(ProductLine[[#This Row],[Date]])</f>
        <v>2022</v>
      </c>
      <c r="E2793">
        <f>MONTH(ProductLine[[#This Row],[Date]])</f>
        <v>8</v>
      </c>
      <c r="F2793" t="s">
        <v>26</v>
      </c>
      <c r="G2793">
        <v>14</v>
      </c>
      <c r="H2793" s="3">
        <v>8.98</v>
      </c>
      <c r="I2793" s="3">
        <f>ProductLine[[#This Row],[Units]]*ProductLine[[#This Row],[Dollars]]</f>
        <v>125.72</v>
      </c>
    </row>
    <row r="2794" spans="1:9" x14ac:dyDescent="0.35">
      <c r="A2794">
        <v>2793</v>
      </c>
      <c r="B2794" t="s">
        <v>13</v>
      </c>
      <c r="C2794" s="2">
        <v>44796</v>
      </c>
      <c r="D2794">
        <f>YEAR(ProductLine[[#This Row],[Date]])</f>
        <v>2022</v>
      </c>
      <c r="E2794">
        <f>MONTH(ProductLine[[#This Row],[Date]])</f>
        <v>8</v>
      </c>
      <c r="F2794" t="s">
        <v>26</v>
      </c>
      <c r="G2794">
        <v>20</v>
      </c>
      <c r="H2794" s="3">
        <v>7.98</v>
      </c>
      <c r="I2794" s="3">
        <f>ProductLine[[#This Row],[Units]]*ProductLine[[#This Row],[Dollars]]</f>
        <v>159.60000000000002</v>
      </c>
    </row>
    <row r="2795" spans="1:9" x14ac:dyDescent="0.35">
      <c r="A2795">
        <v>2794</v>
      </c>
      <c r="B2795" t="s">
        <v>21</v>
      </c>
      <c r="C2795" s="2">
        <v>44744</v>
      </c>
      <c r="D2795">
        <f>YEAR(ProductLine[[#This Row],[Date]])</f>
        <v>2022</v>
      </c>
      <c r="E2795">
        <f>MONTH(ProductLine[[#This Row],[Date]])</f>
        <v>7</v>
      </c>
      <c r="F2795" t="s">
        <v>26</v>
      </c>
      <c r="G2795">
        <v>35</v>
      </c>
      <c r="H2795" s="3">
        <v>8.98</v>
      </c>
      <c r="I2795" s="3">
        <f>ProductLine[[#This Row],[Units]]*ProductLine[[#This Row],[Dollars]]</f>
        <v>314.3</v>
      </c>
    </row>
    <row r="2796" spans="1:9" x14ac:dyDescent="0.35">
      <c r="A2796">
        <v>2795</v>
      </c>
      <c r="B2796" t="s">
        <v>21</v>
      </c>
      <c r="C2796" s="2">
        <v>44807</v>
      </c>
      <c r="D2796">
        <f>YEAR(ProductLine[[#This Row],[Date]])</f>
        <v>2022</v>
      </c>
      <c r="E2796">
        <f>MONTH(ProductLine[[#This Row],[Date]])</f>
        <v>9</v>
      </c>
      <c r="F2796" t="s">
        <v>26</v>
      </c>
      <c r="G2796">
        <v>50</v>
      </c>
      <c r="H2796" s="3">
        <v>7.98</v>
      </c>
      <c r="I2796" s="3">
        <f>ProductLine[[#This Row],[Units]]*ProductLine[[#This Row],[Dollars]]</f>
        <v>399</v>
      </c>
    </row>
    <row r="2797" spans="1:9" x14ac:dyDescent="0.35">
      <c r="A2797">
        <v>2796</v>
      </c>
      <c r="B2797" t="s">
        <v>9</v>
      </c>
      <c r="C2797" s="2">
        <v>44771</v>
      </c>
      <c r="D2797">
        <f>YEAR(ProductLine[[#This Row],[Date]])</f>
        <v>2022</v>
      </c>
      <c r="E2797">
        <f>MONTH(ProductLine[[#This Row],[Date]])</f>
        <v>7</v>
      </c>
      <c r="F2797" t="s">
        <v>24</v>
      </c>
      <c r="G2797">
        <v>30</v>
      </c>
      <c r="H2797" s="3">
        <v>13.98</v>
      </c>
      <c r="I2797" s="3">
        <f>ProductLine[[#This Row],[Units]]*ProductLine[[#This Row],[Dollars]]</f>
        <v>419.40000000000003</v>
      </c>
    </row>
    <row r="2798" spans="1:9" x14ac:dyDescent="0.35">
      <c r="A2798">
        <v>2797</v>
      </c>
      <c r="B2798" t="s">
        <v>17</v>
      </c>
      <c r="C2798" s="2">
        <v>44743</v>
      </c>
      <c r="D2798">
        <f>YEAR(ProductLine[[#This Row],[Date]])</f>
        <v>2022</v>
      </c>
      <c r="E2798">
        <f>MONTH(ProductLine[[#This Row],[Date]])</f>
        <v>7</v>
      </c>
      <c r="F2798" t="s">
        <v>24</v>
      </c>
      <c r="G2798">
        <v>32</v>
      </c>
      <c r="H2798" s="3">
        <v>13.98</v>
      </c>
      <c r="I2798" s="3">
        <f>ProductLine[[#This Row],[Units]]*ProductLine[[#This Row],[Dollars]]</f>
        <v>447.36</v>
      </c>
    </row>
    <row r="2799" spans="1:9" x14ac:dyDescent="0.35">
      <c r="A2799">
        <v>2798</v>
      </c>
      <c r="B2799" t="s">
        <v>17</v>
      </c>
      <c r="C2799" s="2">
        <v>44782</v>
      </c>
      <c r="D2799">
        <f>YEAR(ProductLine[[#This Row],[Date]])</f>
        <v>2022</v>
      </c>
      <c r="E2799">
        <f>MONTH(ProductLine[[#This Row],[Date]])</f>
        <v>8</v>
      </c>
      <c r="F2799" t="s">
        <v>24</v>
      </c>
      <c r="G2799">
        <v>21</v>
      </c>
      <c r="H2799" s="3">
        <v>9.9700000000000006</v>
      </c>
      <c r="I2799" s="3">
        <f>ProductLine[[#This Row],[Units]]*ProductLine[[#This Row],[Dollars]]</f>
        <v>209.37</v>
      </c>
    </row>
    <row r="2800" spans="1:9" x14ac:dyDescent="0.35">
      <c r="A2800">
        <v>2799</v>
      </c>
      <c r="B2800" t="s">
        <v>17</v>
      </c>
      <c r="C2800" s="2">
        <v>44816</v>
      </c>
      <c r="D2800">
        <f>YEAR(ProductLine[[#This Row],[Date]])</f>
        <v>2022</v>
      </c>
      <c r="E2800">
        <f>MONTH(ProductLine[[#This Row],[Date]])</f>
        <v>9</v>
      </c>
      <c r="F2800" t="s">
        <v>24</v>
      </c>
      <c r="G2800">
        <v>7</v>
      </c>
      <c r="H2800" s="3">
        <v>9.9700000000000006</v>
      </c>
      <c r="I2800" s="3">
        <f>ProductLine[[#This Row],[Units]]*ProductLine[[#This Row],[Dollars]]</f>
        <v>69.790000000000006</v>
      </c>
    </row>
    <row r="2801" spans="1:9" x14ac:dyDescent="0.35">
      <c r="A2801">
        <v>2800</v>
      </c>
      <c r="B2801" t="s">
        <v>18</v>
      </c>
      <c r="C2801" s="2">
        <v>44792</v>
      </c>
      <c r="D2801">
        <f>YEAR(ProductLine[[#This Row],[Date]])</f>
        <v>2022</v>
      </c>
      <c r="E2801">
        <f>MONTH(ProductLine[[#This Row],[Date]])</f>
        <v>8</v>
      </c>
      <c r="F2801" t="s">
        <v>24</v>
      </c>
      <c r="G2801">
        <v>8</v>
      </c>
      <c r="H2801" s="3">
        <v>9.9700000000000006</v>
      </c>
      <c r="I2801" s="3">
        <f>ProductLine[[#This Row],[Units]]*ProductLine[[#This Row],[Dollars]]</f>
        <v>79.760000000000005</v>
      </c>
    </row>
    <row r="2802" spans="1:9" x14ac:dyDescent="0.35">
      <c r="A2802">
        <v>2801</v>
      </c>
      <c r="B2802" t="s">
        <v>21</v>
      </c>
      <c r="C2802" s="2">
        <v>44824</v>
      </c>
      <c r="D2802">
        <f>YEAR(ProductLine[[#This Row],[Date]])</f>
        <v>2022</v>
      </c>
      <c r="E2802">
        <f>MONTH(ProductLine[[#This Row],[Date]])</f>
        <v>9</v>
      </c>
      <c r="F2802" t="s">
        <v>24</v>
      </c>
      <c r="G2802">
        <v>19</v>
      </c>
      <c r="H2802" s="3">
        <v>10.97</v>
      </c>
      <c r="I2802" s="3">
        <f>ProductLine[[#This Row],[Units]]*ProductLine[[#This Row],[Dollars]]</f>
        <v>208.43</v>
      </c>
    </row>
    <row r="2803" spans="1:9" x14ac:dyDescent="0.35">
      <c r="A2803">
        <v>2802</v>
      </c>
      <c r="B2803" t="s">
        <v>21</v>
      </c>
      <c r="C2803" s="2">
        <v>44825</v>
      </c>
      <c r="D2803">
        <f>YEAR(ProductLine[[#This Row],[Date]])</f>
        <v>2022</v>
      </c>
      <c r="E2803">
        <f>MONTH(ProductLine[[#This Row],[Date]])</f>
        <v>9</v>
      </c>
      <c r="F2803" t="s">
        <v>24</v>
      </c>
      <c r="G2803">
        <v>5</v>
      </c>
      <c r="H2803" s="3">
        <v>9.9700000000000006</v>
      </c>
      <c r="I2803" s="3">
        <f>ProductLine[[#This Row],[Units]]*ProductLine[[#This Row],[Dollars]]</f>
        <v>49.85</v>
      </c>
    </row>
    <row r="2804" spans="1:9" x14ac:dyDescent="0.35">
      <c r="A2804">
        <v>2803</v>
      </c>
      <c r="B2804" t="s">
        <v>9</v>
      </c>
      <c r="C2804" s="2">
        <v>44814</v>
      </c>
      <c r="D2804">
        <f>YEAR(ProductLine[[#This Row],[Date]])</f>
        <v>2022</v>
      </c>
      <c r="E2804">
        <f>MONTH(ProductLine[[#This Row],[Date]])</f>
        <v>9</v>
      </c>
      <c r="F2804" t="s">
        <v>25</v>
      </c>
      <c r="G2804">
        <v>65</v>
      </c>
      <c r="H2804" s="3">
        <v>8.89</v>
      </c>
      <c r="I2804" s="3">
        <f>ProductLine[[#This Row],[Units]]*ProductLine[[#This Row],[Dollars]]</f>
        <v>577.85</v>
      </c>
    </row>
    <row r="2805" spans="1:9" x14ac:dyDescent="0.35">
      <c r="A2805">
        <v>2804</v>
      </c>
      <c r="B2805" t="s">
        <v>17</v>
      </c>
      <c r="C2805" s="2">
        <v>44833</v>
      </c>
      <c r="D2805">
        <f>YEAR(ProductLine[[#This Row],[Date]])</f>
        <v>2022</v>
      </c>
      <c r="E2805">
        <f>MONTH(ProductLine[[#This Row],[Date]])</f>
        <v>9</v>
      </c>
      <c r="F2805" t="s">
        <v>25</v>
      </c>
      <c r="G2805">
        <v>66</v>
      </c>
      <c r="H2805" s="3">
        <v>8.89</v>
      </c>
      <c r="I2805" s="3">
        <f>ProductLine[[#This Row],[Units]]*ProductLine[[#This Row],[Dollars]]</f>
        <v>586.74</v>
      </c>
    </row>
    <row r="2806" spans="1:9" x14ac:dyDescent="0.35">
      <c r="A2806">
        <v>2805</v>
      </c>
      <c r="B2806" t="s">
        <v>18</v>
      </c>
      <c r="C2806" s="2">
        <v>44832</v>
      </c>
      <c r="D2806">
        <f>YEAR(ProductLine[[#This Row],[Date]])</f>
        <v>2022</v>
      </c>
      <c r="E2806">
        <f>MONTH(ProductLine[[#This Row],[Date]])</f>
        <v>9</v>
      </c>
      <c r="F2806" t="s">
        <v>25</v>
      </c>
      <c r="G2806">
        <v>58</v>
      </c>
      <c r="H2806" s="3">
        <v>6.99</v>
      </c>
      <c r="I2806" s="3">
        <f>ProductLine[[#This Row],[Units]]*ProductLine[[#This Row],[Dollars]]</f>
        <v>405.42</v>
      </c>
    </row>
    <row r="2807" spans="1:9" x14ac:dyDescent="0.35">
      <c r="A2807">
        <v>2806</v>
      </c>
      <c r="B2807" t="s">
        <v>18</v>
      </c>
      <c r="C2807" s="2">
        <v>44761</v>
      </c>
      <c r="D2807">
        <f>YEAR(ProductLine[[#This Row],[Date]])</f>
        <v>2022</v>
      </c>
      <c r="E2807">
        <f>MONTH(ProductLine[[#This Row],[Date]])</f>
        <v>7</v>
      </c>
      <c r="F2807" t="s">
        <v>25</v>
      </c>
      <c r="G2807">
        <v>48</v>
      </c>
      <c r="H2807" s="3">
        <v>6.99</v>
      </c>
      <c r="I2807" s="3">
        <f>ProductLine[[#This Row],[Units]]*ProductLine[[#This Row],[Dollars]]</f>
        <v>335.52</v>
      </c>
    </row>
    <row r="2808" spans="1:9" x14ac:dyDescent="0.35">
      <c r="A2808">
        <v>2807</v>
      </c>
      <c r="B2808" t="s">
        <v>18</v>
      </c>
      <c r="C2808" s="2">
        <v>44800</v>
      </c>
      <c r="D2808">
        <f>YEAR(ProductLine[[#This Row],[Date]])</f>
        <v>2022</v>
      </c>
      <c r="E2808">
        <f>MONTH(ProductLine[[#This Row],[Date]])</f>
        <v>8</v>
      </c>
      <c r="F2808" t="s">
        <v>25</v>
      </c>
      <c r="G2808">
        <v>88</v>
      </c>
      <c r="H2808" s="3">
        <v>6.99</v>
      </c>
      <c r="I2808" s="3">
        <f>ProductLine[[#This Row],[Units]]*ProductLine[[#This Row],[Dollars]]</f>
        <v>615.12</v>
      </c>
    </row>
    <row r="2809" spans="1:9" x14ac:dyDescent="0.35">
      <c r="A2809">
        <v>2808</v>
      </c>
      <c r="B2809" t="s">
        <v>21</v>
      </c>
      <c r="C2809" s="2">
        <v>44783</v>
      </c>
      <c r="D2809">
        <f>YEAR(ProductLine[[#This Row],[Date]])</f>
        <v>2022</v>
      </c>
      <c r="E2809">
        <f>MONTH(ProductLine[[#This Row],[Date]])</f>
        <v>8</v>
      </c>
      <c r="F2809" t="s">
        <v>25</v>
      </c>
      <c r="G2809">
        <v>54</v>
      </c>
      <c r="H2809" s="3">
        <v>10.97</v>
      </c>
      <c r="I2809" s="3">
        <f>ProductLine[[#This Row],[Units]]*ProductLine[[#This Row],[Dollars]]</f>
        <v>592.38</v>
      </c>
    </row>
    <row r="2810" spans="1:9" x14ac:dyDescent="0.35">
      <c r="A2810">
        <v>2809</v>
      </c>
      <c r="B2810" t="s">
        <v>21</v>
      </c>
      <c r="C2810" s="2">
        <v>44788</v>
      </c>
      <c r="D2810">
        <f>YEAR(ProductLine[[#This Row],[Date]])</f>
        <v>2022</v>
      </c>
      <c r="E2810">
        <f>MONTH(ProductLine[[#This Row],[Date]])</f>
        <v>8</v>
      </c>
      <c r="F2810" t="s">
        <v>25</v>
      </c>
      <c r="G2810">
        <v>48</v>
      </c>
      <c r="H2810" s="3">
        <v>6.99</v>
      </c>
      <c r="I2810" s="3">
        <f>ProductLine[[#This Row],[Units]]*ProductLine[[#This Row],[Dollars]]</f>
        <v>335.52</v>
      </c>
    </row>
    <row r="2811" spans="1:9" x14ac:dyDescent="0.35">
      <c r="A2811">
        <v>2810</v>
      </c>
      <c r="B2811" t="s">
        <v>21</v>
      </c>
      <c r="C2811" s="2">
        <v>44833</v>
      </c>
      <c r="D2811">
        <f>YEAR(ProductLine[[#This Row],[Date]])</f>
        <v>2022</v>
      </c>
      <c r="E2811">
        <f>MONTH(ProductLine[[#This Row],[Date]])</f>
        <v>9</v>
      </c>
      <c r="F2811" t="s">
        <v>25</v>
      </c>
      <c r="G2811">
        <v>39</v>
      </c>
      <c r="H2811" s="3">
        <v>10.97</v>
      </c>
      <c r="I2811" s="3">
        <f>ProductLine[[#This Row],[Units]]*ProductLine[[#This Row],[Dollars]]</f>
        <v>427.83000000000004</v>
      </c>
    </row>
    <row r="2812" spans="1:9" x14ac:dyDescent="0.35">
      <c r="A2812">
        <v>2811</v>
      </c>
      <c r="B2812" t="s">
        <v>11</v>
      </c>
      <c r="C2812" s="2">
        <v>44763</v>
      </c>
      <c r="D2812">
        <f>YEAR(ProductLine[[#This Row],[Date]])</f>
        <v>2022</v>
      </c>
      <c r="E2812">
        <f>MONTH(ProductLine[[#This Row],[Date]])</f>
        <v>7</v>
      </c>
      <c r="F2812" t="s">
        <v>27</v>
      </c>
      <c r="G2812">
        <v>46</v>
      </c>
      <c r="H2812" s="3">
        <v>8.43</v>
      </c>
      <c r="I2812" s="3">
        <f>ProductLine[[#This Row],[Units]]*ProductLine[[#This Row],[Dollars]]</f>
        <v>387.78</v>
      </c>
    </row>
    <row r="2813" spans="1:9" x14ac:dyDescent="0.35">
      <c r="A2813">
        <v>2812</v>
      </c>
      <c r="B2813" t="s">
        <v>11</v>
      </c>
      <c r="C2813" s="2">
        <v>44793</v>
      </c>
      <c r="D2813">
        <f>YEAR(ProductLine[[#This Row],[Date]])</f>
        <v>2022</v>
      </c>
      <c r="E2813">
        <f>MONTH(ProductLine[[#This Row],[Date]])</f>
        <v>8</v>
      </c>
      <c r="F2813" t="s">
        <v>27</v>
      </c>
      <c r="G2813">
        <v>48</v>
      </c>
      <c r="H2813" s="3">
        <v>8.5500000000000007</v>
      </c>
      <c r="I2813" s="3">
        <f>ProductLine[[#This Row],[Units]]*ProductLine[[#This Row],[Dollars]]</f>
        <v>410.40000000000003</v>
      </c>
    </row>
    <row r="2814" spans="1:9" x14ac:dyDescent="0.35">
      <c r="A2814">
        <v>2813</v>
      </c>
      <c r="B2814" t="s">
        <v>9</v>
      </c>
      <c r="C2814" s="2">
        <v>44833</v>
      </c>
      <c r="D2814">
        <f>YEAR(ProductLine[[#This Row],[Date]])</f>
        <v>2022</v>
      </c>
      <c r="E2814">
        <f>MONTH(ProductLine[[#This Row],[Date]])</f>
        <v>9</v>
      </c>
      <c r="F2814" t="s">
        <v>27</v>
      </c>
      <c r="G2814">
        <v>29</v>
      </c>
      <c r="H2814" s="3">
        <v>8.5500000000000007</v>
      </c>
      <c r="I2814" s="3">
        <f>ProductLine[[#This Row],[Units]]*ProductLine[[#This Row],[Dollars]]</f>
        <v>247.95000000000002</v>
      </c>
    </row>
    <row r="2815" spans="1:9" x14ac:dyDescent="0.35">
      <c r="A2815">
        <v>2814</v>
      </c>
      <c r="B2815" t="s">
        <v>9</v>
      </c>
      <c r="C2815" s="2">
        <v>44750</v>
      </c>
      <c r="D2815">
        <f>YEAR(ProductLine[[#This Row],[Date]])</f>
        <v>2022</v>
      </c>
      <c r="E2815">
        <f>MONTH(ProductLine[[#This Row],[Date]])</f>
        <v>7</v>
      </c>
      <c r="F2815" t="s">
        <v>27</v>
      </c>
      <c r="G2815">
        <v>14</v>
      </c>
      <c r="H2815" s="3">
        <v>8.5500000000000007</v>
      </c>
      <c r="I2815" s="3">
        <f>ProductLine[[#This Row],[Units]]*ProductLine[[#This Row],[Dollars]]</f>
        <v>119.70000000000002</v>
      </c>
    </row>
    <row r="2816" spans="1:9" x14ac:dyDescent="0.35">
      <c r="A2816">
        <v>2815</v>
      </c>
      <c r="B2816" t="s">
        <v>9</v>
      </c>
      <c r="C2816" s="2">
        <v>44773</v>
      </c>
      <c r="D2816">
        <f>YEAR(ProductLine[[#This Row],[Date]])</f>
        <v>2022</v>
      </c>
      <c r="E2816">
        <f>MONTH(ProductLine[[#This Row],[Date]])</f>
        <v>7</v>
      </c>
      <c r="F2816" t="s">
        <v>27</v>
      </c>
      <c r="G2816">
        <v>16</v>
      </c>
      <c r="H2816" s="3">
        <v>8.5500000000000007</v>
      </c>
      <c r="I2816" s="3">
        <f>ProductLine[[#This Row],[Units]]*ProductLine[[#This Row],[Dollars]]</f>
        <v>136.80000000000001</v>
      </c>
    </row>
    <row r="2817" spans="1:9" x14ac:dyDescent="0.35">
      <c r="A2817">
        <v>2816</v>
      </c>
      <c r="B2817" t="s">
        <v>17</v>
      </c>
      <c r="C2817" s="2">
        <v>44804</v>
      </c>
      <c r="D2817">
        <f>YEAR(ProductLine[[#This Row],[Date]])</f>
        <v>2022</v>
      </c>
      <c r="E2817">
        <f>MONTH(ProductLine[[#This Row],[Date]])</f>
        <v>8</v>
      </c>
      <c r="F2817" t="s">
        <v>27</v>
      </c>
      <c r="G2817">
        <v>13</v>
      </c>
      <c r="H2817" s="3">
        <v>8.5500000000000007</v>
      </c>
      <c r="I2817" s="3">
        <f>ProductLine[[#This Row],[Units]]*ProductLine[[#This Row],[Dollars]]</f>
        <v>111.15</v>
      </c>
    </row>
    <row r="2818" spans="1:9" x14ac:dyDescent="0.35">
      <c r="A2818">
        <v>2817</v>
      </c>
      <c r="B2818" t="s">
        <v>17</v>
      </c>
      <c r="C2818" s="2">
        <v>44779</v>
      </c>
      <c r="D2818">
        <f>YEAR(ProductLine[[#This Row],[Date]])</f>
        <v>2022</v>
      </c>
      <c r="E2818">
        <f>MONTH(ProductLine[[#This Row],[Date]])</f>
        <v>8</v>
      </c>
      <c r="F2818" t="s">
        <v>27</v>
      </c>
      <c r="G2818">
        <v>14</v>
      </c>
      <c r="H2818" s="3">
        <v>8.5500000000000007</v>
      </c>
      <c r="I2818" s="3">
        <f>ProductLine[[#This Row],[Units]]*ProductLine[[#This Row],[Dollars]]</f>
        <v>119.70000000000002</v>
      </c>
    </row>
    <row r="2819" spans="1:9" x14ac:dyDescent="0.35">
      <c r="A2819">
        <v>2818</v>
      </c>
      <c r="B2819" t="s">
        <v>13</v>
      </c>
      <c r="C2819" s="2">
        <v>44834</v>
      </c>
      <c r="D2819">
        <f>YEAR(ProductLine[[#This Row],[Date]])</f>
        <v>2022</v>
      </c>
      <c r="E2819">
        <f>MONTH(ProductLine[[#This Row],[Date]])</f>
        <v>9</v>
      </c>
      <c r="F2819" t="s">
        <v>27</v>
      </c>
      <c r="G2819">
        <v>20</v>
      </c>
      <c r="H2819" s="3">
        <v>8.43</v>
      </c>
      <c r="I2819" s="3">
        <f>ProductLine[[#This Row],[Units]]*ProductLine[[#This Row],[Dollars]]</f>
        <v>168.6</v>
      </c>
    </row>
    <row r="2820" spans="1:9" x14ac:dyDescent="0.35">
      <c r="A2820">
        <v>2819</v>
      </c>
      <c r="B2820" t="s">
        <v>13</v>
      </c>
      <c r="C2820" s="2">
        <v>44790</v>
      </c>
      <c r="D2820">
        <f>YEAR(ProductLine[[#This Row],[Date]])</f>
        <v>2022</v>
      </c>
      <c r="E2820">
        <f>MONTH(ProductLine[[#This Row],[Date]])</f>
        <v>8</v>
      </c>
      <c r="F2820" t="s">
        <v>27</v>
      </c>
      <c r="G2820">
        <v>24</v>
      </c>
      <c r="H2820" s="3">
        <v>8.43</v>
      </c>
      <c r="I2820" s="3">
        <f>ProductLine[[#This Row],[Units]]*ProductLine[[#This Row],[Dollars]]</f>
        <v>202.32</v>
      </c>
    </row>
    <row r="2821" spans="1:9" x14ac:dyDescent="0.35">
      <c r="A2821">
        <v>2820</v>
      </c>
      <c r="B2821" t="s">
        <v>21</v>
      </c>
      <c r="C2821" s="2">
        <v>44824</v>
      </c>
      <c r="D2821">
        <f>YEAR(ProductLine[[#This Row],[Date]])</f>
        <v>2022</v>
      </c>
      <c r="E2821">
        <f>MONTH(ProductLine[[#This Row],[Date]])</f>
        <v>9</v>
      </c>
      <c r="F2821" t="s">
        <v>27</v>
      </c>
      <c r="G2821">
        <v>27</v>
      </c>
      <c r="H2821" s="3">
        <v>8.43</v>
      </c>
      <c r="I2821" s="3">
        <f>ProductLine[[#This Row],[Units]]*ProductLine[[#This Row],[Dollars]]</f>
        <v>227.60999999999999</v>
      </c>
    </row>
    <row r="2822" spans="1:9" x14ac:dyDescent="0.35">
      <c r="A2822">
        <v>2821</v>
      </c>
      <c r="B2822" t="s">
        <v>21</v>
      </c>
      <c r="C2822" s="2">
        <v>44780</v>
      </c>
      <c r="D2822">
        <f>YEAR(ProductLine[[#This Row],[Date]])</f>
        <v>2022</v>
      </c>
      <c r="E2822">
        <f>MONTH(ProductLine[[#This Row],[Date]])</f>
        <v>8</v>
      </c>
      <c r="F2822" t="s">
        <v>27</v>
      </c>
      <c r="G2822">
        <v>39</v>
      </c>
      <c r="H2822" s="3">
        <v>8.43</v>
      </c>
      <c r="I2822" s="3">
        <f>ProductLine[[#This Row],[Units]]*ProductLine[[#This Row],[Dollars]]</f>
        <v>328.77</v>
      </c>
    </row>
    <row r="2823" spans="1:9" x14ac:dyDescent="0.35">
      <c r="A2823">
        <v>2822</v>
      </c>
      <c r="B2823" t="s">
        <v>17</v>
      </c>
      <c r="C2823" s="2">
        <v>44751</v>
      </c>
      <c r="D2823">
        <f>YEAR(ProductLine[[#This Row],[Date]])</f>
        <v>2022</v>
      </c>
      <c r="E2823">
        <f>MONTH(ProductLine[[#This Row],[Date]])</f>
        <v>7</v>
      </c>
      <c r="F2823" t="s">
        <v>26</v>
      </c>
      <c r="G2823">
        <v>35</v>
      </c>
      <c r="H2823" s="3">
        <v>7.98</v>
      </c>
      <c r="I2823" s="3">
        <f>ProductLine[[#This Row],[Units]]*ProductLine[[#This Row],[Dollars]]</f>
        <v>279.3</v>
      </c>
    </row>
    <row r="2824" spans="1:9" x14ac:dyDescent="0.35">
      <c r="A2824">
        <v>2823</v>
      </c>
      <c r="B2824" t="s">
        <v>17</v>
      </c>
      <c r="C2824" s="2">
        <v>44760</v>
      </c>
      <c r="D2824">
        <f>YEAR(ProductLine[[#This Row],[Date]])</f>
        <v>2022</v>
      </c>
      <c r="E2824">
        <f>MONTH(ProductLine[[#This Row],[Date]])</f>
        <v>7</v>
      </c>
      <c r="F2824" t="s">
        <v>26</v>
      </c>
      <c r="G2824">
        <v>45</v>
      </c>
      <c r="H2824" s="3">
        <v>8.98</v>
      </c>
      <c r="I2824" s="3">
        <f>ProductLine[[#This Row],[Units]]*ProductLine[[#This Row],[Dollars]]</f>
        <v>404.1</v>
      </c>
    </row>
    <row r="2825" spans="1:9" x14ac:dyDescent="0.35">
      <c r="A2825">
        <v>2824</v>
      </c>
      <c r="B2825" t="s">
        <v>18</v>
      </c>
      <c r="C2825" s="2">
        <v>44814</v>
      </c>
      <c r="D2825">
        <f>YEAR(ProductLine[[#This Row],[Date]])</f>
        <v>2022</v>
      </c>
      <c r="E2825">
        <f>MONTH(ProductLine[[#This Row],[Date]])</f>
        <v>9</v>
      </c>
      <c r="F2825" t="s">
        <v>26</v>
      </c>
      <c r="G2825">
        <v>23</v>
      </c>
      <c r="H2825" s="3">
        <v>7.98</v>
      </c>
      <c r="I2825" s="3">
        <f>ProductLine[[#This Row],[Units]]*ProductLine[[#This Row],[Dollars]]</f>
        <v>183.54000000000002</v>
      </c>
    </row>
    <row r="2826" spans="1:9" x14ac:dyDescent="0.35">
      <c r="A2826">
        <v>2825</v>
      </c>
      <c r="B2826" t="s">
        <v>18</v>
      </c>
      <c r="C2826" s="2">
        <v>44816</v>
      </c>
      <c r="D2826">
        <f>YEAR(ProductLine[[#This Row],[Date]])</f>
        <v>2022</v>
      </c>
      <c r="E2826">
        <f>MONTH(ProductLine[[#This Row],[Date]])</f>
        <v>9</v>
      </c>
      <c r="F2826" t="s">
        <v>26</v>
      </c>
      <c r="G2826">
        <v>10</v>
      </c>
      <c r="H2826" s="3">
        <v>8.98</v>
      </c>
      <c r="I2826" s="3">
        <f>ProductLine[[#This Row],[Units]]*ProductLine[[#This Row],[Dollars]]</f>
        <v>89.800000000000011</v>
      </c>
    </row>
    <row r="2827" spans="1:9" x14ac:dyDescent="0.35">
      <c r="A2827">
        <v>2826</v>
      </c>
      <c r="B2827" t="s">
        <v>18</v>
      </c>
      <c r="C2827" s="2">
        <v>44836</v>
      </c>
      <c r="D2827">
        <f>YEAR(ProductLine[[#This Row],[Date]])</f>
        <v>2022</v>
      </c>
      <c r="E2827">
        <f>MONTH(ProductLine[[#This Row],[Date]])</f>
        <v>10</v>
      </c>
      <c r="F2827" t="s">
        <v>26</v>
      </c>
      <c r="G2827">
        <v>12</v>
      </c>
      <c r="H2827" s="3">
        <v>8.98</v>
      </c>
      <c r="I2827" s="3">
        <f>ProductLine[[#This Row],[Units]]*ProductLine[[#This Row],[Dollars]]</f>
        <v>107.76</v>
      </c>
    </row>
    <row r="2828" spans="1:9" x14ac:dyDescent="0.35">
      <c r="A2828">
        <v>2827</v>
      </c>
      <c r="B2828" t="s">
        <v>18</v>
      </c>
      <c r="C2828" s="2">
        <v>44874</v>
      </c>
      <c r="D2828">
        <f>YEAR(ProductLine[[#This Row],[Date]])</f>
        <v>2022</v>
      </c>
      <c r="E2828">
        <f>MONTH(ProductLine[[#This Row],[Date]])</f>
        <v>11</v>
      </c>
      <c r="F2828" t="s">
        <v>26</v>
      </c>
      <c r="G2828">
        <v>24</v>
      </c>
      <c r="H2828" s="3">
        <v>7.98</v>
      </c>
      <c r="I2828" s="3">
        <f>ProductLine[[#This Row],[Units]]*ProductLine[[#This Row],[Dollars]]</f>
        <v>191.52</v>
      </c>
    </row>
    <row r="2829" spans="1:9" x14ac:dyDescent="0.35">
      <c r="A2829">
        <v>2828</v>
      </c>
      <c r="B2829" t="s">
        <v>17</v>
      </c>
      <c r="C2829" s="2">
        <v>44839</v>
      </c>
      <c r="D2829">
        <f>YEAR(ProductLine[[#This Row],[Date]])</f>
        <v>2022</v>
      </c>
      <c r="E2829">
        <f>MONTH(ProductLine[[#This Row],[Date]])</f>
        <v>10</v>
      </c>
      <c r="F2829" t="s">
        <v>26</v>
      </c>
      <c r="G2829">
        <v>57</v>
      </c>
      <c r="H2829" s="3">
        <v>8.98</v>
      </c>
      <c r="I2829" s="3">
        <f>ProductLine[[#This Row],[Units]]*ProductLine[[#This Row],[Dollars]]</f>
        <v>511.86</v>
      </c>
    </row>
    <row r="2830" spans="1:9" x14ac:dyDescent="0.35">
      <c r="A2830">
        <v>2829</v>
      </c>
      <c r="B2830" t="s">
        <v>17</v>
      </c>
      <c r="C2830" s="2">
        <v>44877</v>
      </c>
      <c r="D2830">
        <f>YEAR(ProductLine[[#This Row],[Date]])</f>
        <v>2022</v>
      </c>
      <c r="E2830">
        <f>MONTH(ProductLine[[#This Row],[Date]])</f>
        <v>11</v>
      </c>
      <c r="F2830" t="s">
        <v>26</v>
      </c>
      <c r="G2830">
        <v>48</v>
      </c>
      <c r="H2830" s="3">
        <v>7.98</v>
      </c>
      <c r="I2830" s="3">
        <f>ProductLine[[#This Row],[Units]]*ProductLine[[#This Row],[Dollars]]</f>
        <v>383.04</v>
      </c>
    </row>
    <row r="2831" spans="1:9" x14ac:dyDescent="0.35">
      <c r="A2831">
        <v>2830</v>
      </c>
      <c r="B2831" t="s">
        <v>13</v>
      </c>
      <c r="C2831" s="2">
        <v>44853</v>
      </c>
      <c r="D2831">
        <f>YEAR(ProductLine[[#This Row],[Date]])</f>
        <v>2022</v>
      </c>
      <c r="E2831">
        <f>MONTH(ProductLine[[#This Row],[Date]])</f>
        <v>10</v>
      </c>
      <c r="F2831" t="s">
        <v>24</v>
      </c>
      <c r="G2831">
        <v>65</v>
      </c>
      <c r="H2831" s="3">
        <v>10.89</v>
      </c>
      <c r="I2831" s="3">
        <f>ProductLine[[#This Row],[Units]]*ProductLine[[#This Row],[Dollars]]</f>
        <v>707.85</v>
      </c>
    </row>
    <row r="2832" spans="1:9" x14ac:dyDescent="0.35">
      <c r="A2832">
        <v>2831</v>
      </c>
      <c r="B2832" t="s">
        <v>21</v>
      </c>
      <c r="C2832" s="2">
        <v>44877</v>
      </c>
      <c r="D2832">
        <f>YEAR(ProductLine[[#This Row],[Date]])</f>
        <v>2022</v>
      </c>
      <c r="E2832">
        <f>MONTH(ProductLine[[#This Row],[Date]])</f>
        <v>11</v>
      </c>
      <c r="F2832" t="s">
        <v>24</v>
      </c>
      <c r="G2832">
        <v>28</v>
      </c>
      <c r="H2832" s="3">
        <v>9.9700000000000006</v>
      </c>
      <c r="I2832" s="3">
        <f>ProductLine[[#This Row],[Units]]*ProductLine[[#This Row],[Dollars]]</f>
        <v>279.16000000000003</v>
      </c>
    </row>
    <row r="2833" spans="1:9" x14ac:dyDescent="0.35">
      <c r="A2833">
        <v>2832</v>
      </c>
      <c r="B2833" t="s">
        <v>9</v>
      </c>
      <c r="C2833" s="2">
        <v>44897</v>
      </c>
      <c r="D2833">
        <f>YEAR(ProductLine[[#This Row],[Date]])</f>
        <v>2022</v>
      </c>
      <c r="E2833">
        <f>MONTH(ProductLine[[#This Row],[Date]])</f>
        <v>12</v>
      </c>
      <c r="F2833" t="s">
        <v>24</v>
      </c>
      <c r="G2833">
        <v>48</v>
      </c>
      <c r="H2833" s="3">
        <v>10.89</v>
      </c>
      <c r="I2833" s="3">
        <f>ProductLine[[#This Row],[Units]]*ProductLine[[#This Row],[Dollars]]</f>
        <v>522.72</v>
      </c>
    </row>
    <row r="2834" spans="1:9" x14ac:dyDescent="0.35">
      <c r="A2834">
        <v>2833</v>
      </c>
      <c r="B2834" t="s">
        <v>9</v>
      </c>
      <c r="C2834" s="2">
        <v>44903</v>
      </c>
      <c r="D2834">
        <f>YEAR(ProductLine[[#This Row],[Date]])</f>
        <v>2022</v>
      </c>
      <c r="E2834">
        <f>MONTH(ProductLine[[#This Row],[Date]])</f>
        <v>12</v>
      </c>
      <c r="F2834" t="s">
        <v>24</v>
      </c>
      <c r="G2834">
        <v>26</v>
      </c>
      <c r="H2834" s="3">
        <v>10.89</v>
      </c>
      <c r="I2834" s="3">
        <f>ProductLine[[#This Row],[Units]]*ProductLine[[#This Row],[Dollars]]</f>
        <v>283.14</v>
      </c>
    </row>
    <row r="2835" spans="1:9" x14ac:dyDescent="0.35">
      <c r="A2835">
        <v>2834</v>
      </c>
      <c r="B2835" t="s">
        <v>11</v>
      </c>
      <c r="C2835" s="2">
        <v>44913</v>
      </c>
      <c r="D2835">
        <f>YEAR(ProductLine[[#This Row],[Date]])</f>
        <v>2022</v>
      </c>
      <c r="E2835">
        <f>MONTH(ProductLine[[#This Row],[Date]])</f>
        <v>12</v>
      </c>
      <c r="F2835" t="s">
        <v>24</v>
      </c>
      <c r="G2835">
        <v>40</v>
      </c>
      <c r="H2835" s="3">
        <v>13.98</v>
      </c>
      <c r="I2835" s="3">
        <f>ProductLine[[#This Row],[Units]]*ProductLine[[#This Row],[Dollars]]</f>
        <v>559.20000000000005</v>
      </c>
    </row>
    <row r="2836" spans="1:9" x14ac:dyDescent="0.35">
      <c r="A2836">
        <v>2835</v>
      </c>
      <c r="B2836" t="s">
        <v>11</v>
      </c>
      <c r="C2836" s="2">
        <v>44925</v>
      </c>
      <c r="D2836">
        <f>YEAR(ProductLine[[#This Row],[Date]])</f>
        <v>2022</v>
      </c>
      <c r="E2836">
        <f>MONTH(ProductLine[[#This Row],[Date]])</f>
        <v>12</v>
      </c>
      <c r="F2836" t="s">
        <v>24</v>
      </c>
      <c r="G2836">
        <v>29</v>
      </c>
      <c r="H2836" s="3">
        <v>9.9700000000000006</v>
      </c>
      <c r="I2836" s="3">
        <f>ProductLine[[#This Row],[Units]]*ProductLine[[#This Row],[Dollars]]</f>
        <v>289.13</v>
      </c>
    </row>
    <row r="2837" spans="1:9" x14ac:dyDescent="0.35">
      <c r="A2837">
        <v>2836</v>
      </c>
      <c r="B2837" t="s">
        <v>17</v>
      </c>
      <c r="C2837" s="2">
        <v>44835</v>
      </c>
      <c r="D2837">
        <f>YEAR(ProductLine[[#This Row],[Date]])</f>
        <v>2022</v>
      </c>
      <c r="E2837">
        <f>MONTH(ProductLine[[#This Row],[Date]])</f>
        <v>10</v>
      </c>
      <c r="F2837" t="s">
        <v>24</v>
      </c>
      <c r="G2837">
        <v>30</v>
      </c>
      <c r="H2837" s="3">
        <v>10.89</v>
      </c>
      <c r="I2837" s="3">
        <f>ProductLine[[#This Row],[Units]]*ProductLine[[#This Row],[Dollars]]</f>
        <v>326.70000000000005</v>
      </c>
    </row>
    <row r="2838" spans="1:9" x14ac:dyDescent="0.35">
      <c r="A2838">
        <v>2837</v>
      </c>
      <c r="B2838" t="s">
        <v>17</v>
      </c>
      <c r="C2838" s="2">
        <v>44920</v>
      </c>
      <c r="D2838">
        <f>YEAR(ProductLine[[#This Row],[Date]])</f>
        <v>2022</v>
      </c>
      <c r="E2838">
        <f>MONTH(ProductLine[[#This Row],[Date]])</f>
        <v>12</v>
      </c>
      <c r="F2838" t="s">
        <v>24</v>
      </c>
      <c r="G2838">
        <v>9</v>
      </c>
      <c r="H2838" s="3">
        <v>9.9700000000000006</v>
      </c>
      <c r="I2838" s="3">
        <f>ProductLine[[#This Row],[Units]]*ProductLine[[#This Row],[Dollars]]</f>
        <v>89.73</v>
      </c>
    </row>
    <row r="2839" spans="1:9" x14ac:dyDescent="0.35">
      <c r="A2839">
        <v>2838</v>
      </c>
      <c r="B2839" t="s">
        <v>17</v>
      </c>
      <c r="C2839" s="2">
        <v>44840</v>
      </c>
      <c r="D2839">
        <f>YEAR(ProductLine[[#This Row],[Date]])</f>
        <v>2022</v>
      </c>
      <c r="E2839">
        <f>MONTH(ProductLine[[#This Row],[Date]])</f>
        <v>10</v>
      </c>
      <c r="F2839" t="s">
        <v>24</v>
      </c>
      <c r="G2839">
        <v>43</v>
      </c>
      <c r="H2839" s="3">
        <v>13.98</v>
      </c>
      <c r="I2839" s="3">
        <f>ProductLine[[#This Row],[Units]]*ProductLine[[#This Row],[Dollars]]</f>
        <v>601.14</v>
      </c>
    </row>
    <row r="2840" spans="1:9" x14ac:dyDescent="0.35">
      <c r="A2840">
        <v>2839</v>
      </c>
      <c r="B2840" t="s">
        <v>18</v>
      </c>
      <c r="C2840" s="2">
        <v>44884</v>
      </c>
      <c r="D2840">
        <f>YEAR(ProductLine[[#This Row],[Date]])</f>
        <v>2022</v>
      </c>
      <c r="E2840">
        <f>MONTH(ProductLine[[#This Row],[Date]])</f>
        <v>11</v>
      </c>
      <c r="F2840" t="s">
        <v>24</v>
      </c>
      <c r="G2840">
        <v>9</v>
      </c>
      <c r="H2840" s="3">
        <v>10.89</v>
      </c>
      <c r="I2840" s="3">
        <f>ProductLine[[#This Row],[Units]]*ProductLine[[#This Row],[Dollars]]</f>
        <v>98.01</v>
      </c>
    </row>
    <row r="2841" spans="1:9" x14ac:dyDescent="0.35">
      <c r="A2841">
        <v>2840</v>
      </c>
      <c r="B2841" t="s">
        <v>18</v>
      </c>
      <c r="C2841" s="2">
        <v>44878</v>
      </c>
      <c r="D2841">
        <f>YEAR(ProductLine[[#This Row],[Date]])</f>
        <v>2022</v>
      </c>
      <c r="E2841">
        <f>MONTH(ProductLine[[#This Row],[Date]])</f>
        <v>11</v>
      </c>
      <c r="F2841" t="s">
        <v>24</v>
      </c>
      <c r="G2841">
        <v>26</v>
      </c>
      <c r="H2841" s="3">
        <v>13.98</v>
      </c>
      <c r="I2841" s="3">
        <f>ProductLine[[#This Row],[Units]]*ProductLine[[#This Row],[Dollars]]</f>
        <v>363.48</v>
      </c>
    </row>
    <row r="2842" spans="1:9" x14ac:dyDescent="0.35">
      <c r="A2842">
        <v>2841</v>
      </c>
      <c r="B2842" t="s">
        <v>18</v>
      </c>
      <c r="C2842" s="2">
        <v>44841</v>
      </c>
      <c r="D2842">
        <f>YEAR(ProductLine[[#This Row],[Date]])</f>
        <v>2022</v>
      </c>
      <c r="E2842">
        <f>MONTH(ProductLine[[#This Row],[Date]])</f>
        <v>10</v>
      </c>
      <c r="F2842" t="s">
        <v>24</v>
      </c>
      <c r="G2842">
        <v>36</v>
      </c>
      <c r="H2842" s="3">
        <v>9.9700000000000006</v>
      </c>
      <c r="I2842" s="3">
        <f>ProductLine[[#This Row],[Units]]*ProductLine[[#This Row],[Dollars]]</f>
        <v>358.92</v>
      </c>
    </row>
    <row r="2843" spans="1:9" x14ac:dyDescent="0.35">
      <c r="A2843">
        <v>2842</v>
      </c>
      <c r="B2843" t="s">
        <v>11</v>
      </c>
      <c r="C2843" s="2">
        <v>44865</v>
      </c>
      <c r="D2843">
        <f>YEAR(ProductLine[[#This Row],[Date]])</f>
        <v>2022</v>
      </c>
      <c r="E2843">
        <f>MONTH(ProductLine[[#This Row],[Date]])</f>
        <v>10</v>
      </c>
      <c r="F2843" t="s">
        <v>23</v>
      </c>
      <c r="G2843">
        <v>60</v>
      </c>
      <c r="H2843" s="3">
        <v>5.47</v>
      </c>
      <c r="I2843" s="3">
        <f>ProductLine[[#This Row],[Units]]*ProductLine[[#This Row],[Dollars]]</f>
        <v>328.2</v>
      </c>
    </row>
    <row r="2844" spans="1:9" x14ac:dyDescent="0.35">
      <c r="A2844">
        <v>2843</v>
      </c>
      <c r="B2844" t="s">
        <v>17</v>
      </c>
      <c r="C2844" s="2">
        <v>44888</v>
      </c>
      <c r="D2844">
        <f>YEAR(ProductLine[[#This Row],[Date]])</f>
        <v>2022</v>
      </c>
      <c r="E2844">
        <f>MONTH(ProductLine[[#This Row],[Date]])</f>
        <v>11</v>
      </c>
      <c r="F2844" t="s">
        <v>23</v>
      </c>
      <c r="G2844">
        <v>49</v>
      </c>
      <c r="H2844" s="3">
        <v>8.4600000000000009</v>
      </c>
      <c r="I2844" s="3">
        <f>ProductLine[[#This Row],[Units]]*ProductLine[[#This Row],[Dollars]]</f>
        <v>414.54</v>
      </c>
    </row>
    <row r="2845" spans="1:9" x14ac:dyDescent="0.35">
      <c r="A2845">
        <v>2844</v>
      </c>
      <c r="B2845" t="s">
        <v>17</v>
      </c>
      <c r="C2845" s="2">
        <v>44846</v>
      </c>
      <c r="D2845">
        <f>YEAR(ProductLine[[#This Row],[Date]])</f>
        <v>2022</v>
      </c>
      <c r="E2845">
        <f>MONTH(ProductLine[[#This Row],[Date]])</f>
        <v>10</v>
      </c>
      <c r="F2845" t="s">
        <v>23</v>
      </c>
      <c r="G2845">
        <v>31</v>
      </c>
      <c r="H2845" s="3">
        <v>5.47</v>
      </c>
      <c r="I2845" s="3">
        <f>ProductLine[[#This Row],[Units]]*ProductLine[[#This Row],[Dollars]]</f>
        <v>169.57</v>
      </c>
    </row>
    <row r="2846" spans="1:9" x14ac:dyDescent="0.35">
      <c r="A2846">
        <v>2845</v>
      </c>
      <c r="B2846" t="s">
        <v>13</v>
      </c>
      <c r="C2846" s="2">
        <v>44856</v>
      </c>
      <c r="D2846">
        <f>YEAR(ProductLine[[#This Row],[Date]])</f>
        <v>2022</v>
      </c>
      <c r="E2846">
        <f>MONTH(ProductLine[[#This Row],[Date]])</f>
        <v>10</v>
      </c>
      <c r="F2846" t="s">
        <v>23</v>
      </c>
      <c r="G2846">
        <v>12</v>
      </c>
      <c r="H2846" s="3">
        <v>5.47</v>
      </c>
      <c r="I2846" s="3">
        <f>ProductLine[[#This Row],[Units]]*ProductLine[[#This Row],[Dollars]]</f>
        <v>65.64</v>
      </c>
    </row>
    <row r="2847" spans="1:9" x14ac:dyDescent="0.35">
      <c r="A2847">
        <v>2846</v>
      </c>
      <c r="B2847" t="s">
        <v>13</v>
      </c>
      <c r="C2847" s="2">
        <v>44906</v>
      </c>
      <c r="D2847">
        <f>YEAR(ProductLine[[#This Row],[Date]])</f>
        <v>2022</v>
      </c>
      <c r="E2847">
        <f>MONTH(ProductLine[[#This Row],[Date]])</f>
        <v>12</v>
      </c>
      <c r="F2847" t="s">
        <v>23</v>
      </c>
      <c r="G2847">
        <v>12</v>
      </c>
      <c r="H2847" s="3">
        <v>5.47</v>
      </c>
      <c r="I2847" s="3">
        <f>ProductLine[[#This Row],[Units]]*ProductLine[[#This Row],[Dollars]]</f>
        <v>65.64</v>
      </c>
    </row>
    <row r="2848" spans="1:9" x14ac:dyDescent="0.35">
      <c r="A2848">
        <v>2847</v>
      </c>
      <c r="B2848" t="s">
        <v>13</v>
      </c>
      <c r="C2848" s="2">
        <v>44886</v>
      </c>
      <c r="D2848">
        <f>YEAR(ProductLine[[#This Row],[Date]])</f>
        <v>2022</v>
      </c>
      <c r="E2848">
        <f>MONTH(ProductLine[[#This Row],[Date]])</f>
        <v>11</v>
      </c>
      <c r="F2848" t="s">
        <v>23</v>
      </c>
      <c r="G2848">
        <v>11</v>
      </c>
      <c r="H2848" s="3">
        <v>5.47</v>
      </c>
      <c r="I2848" s="3">
        <f>ProductLine[[#This Row],[Units]]*ProductLine[[#This Row],[Dollars]]</f>
        <v>60.169999999999995</v>
      </c>
    </row>
    <row r="2849" spans="1:9" x14ac:dyDescent="0.35">
      <c r="A2849">
        <v>2848</v>
      </c>
      <c r="B2849" t="s">
        <v>18</v>
      </c>
      <c r="C2849" s="2">
        <v>44876</v>
      </c>
      <c r="D2849">
        <f>YEAR(ProductLine[[#This Row],[Date]])</f>
        <v>2022</v>
      </c>
      <c r="E2849">
        <f>MONTH(ProductLine[[#This Row],[Date]])</f>
        <v>11</v>
      </c>
      <c r="F2849" t="s">
        <v>23</v>
      </c>
      <c r="G2849">
        <v>7</v>
      </c>
      <c r="H2849" s="3">
        <v>5.47</v>
      </c>
      <c r="I2849" s="3">
        <f>ProductLine[[#This Row],[Units]]*ProductLine[[#This Row],[Dollars]]</f>
        <v>38.29</v>
      </c>
    </row>
    <row r="2850" spans="1:9" x14ac:dyDescent="0.35">
      <c r="A2850">
        <v>2849</v>
      </c>
      <c r="B2850" t="s">
        <v>18</v>
      </c>
      <c r="C2850" s="2">
        <v>44895</v>
      </c>
      <c r="D2850">
        <f>YEAR(ProductLine[[#This Row],[Date]])</f>
        <v>2022</v>
      </c>
      <c r="E2850">
        <f>MONTH(ProductLine[[#This Row],[Date]])</f>
        <v>11</v>
      </c>
      <c r="F2850" t="s">
        <v>23</v>
      </c>
      <c r="G2850">
        <v>14</v>
      </c>
      <c r="H2850" s="3">
        <v>5.47</v>
      </c>
      <c r="I2850" s="3">
        <f>ProductLine[[#This Row],[Units]]*ProductLine[[#This Row],[Dollars]]</f>
        <v>76.58</v>
      </c>
    </row>
    <row r="2851" spans="1:9" x14ac:dyDescent="0.35">
      <c r="A2851">
        <v>2850</v>
      </c>
      <c r="B2851" t="s">
        <v>18</v>
      </c>
      <c r="C2851" s="2">
        <v>44853</v>
      </c>
      <c r="D2851">
        <f>YEAR(ProductLine[[#This Row],[Date]])</f>
        <v>2022</v>
      </c>
      <c r="E2851">
        <f>MONTH(ProductLine[[#This Row],[Date]])</f>
        <v>10</v>
      </c>
      <c r="F2851" t="s">
        <v>23</v>
      </c>
      <c r="G2851">
        <v>11</v>
      </c>
      <c r="H2851" s="3">
        <v>8.4600000000000009</v>
      </c>
      <c r="I2851" s="3">
        <f>ProductLine[[#This Row],[Units]]*ProductLine[[#This Row],[Dollars]]</f>
        <v>93.06</v>
      </c>
    </row>
    <row r="2852" spans="1:9" x14ac:dyDescent="0.35">
      <c r="A2852">
        <v>2851</v>
      </c>
      <c r="B2852" t="s">
        <v>18</v>
      </c>
      <c r="C2852" s="2">
        <v>44900</v>
      </c>
      <c r="D2852">
        <f>YEAR(ProductLine[[#This Row],[Date]])</f>
        <v>2022</v>
      </c>
      <c r="E2852">
        <f>MONTH(ProductLine[[#This Row],[Date]])</f>
        <v>12</v>
      </c>
      <c r="F2852" t="s">
        <v>23</v>
      </c>
      <c r="G2852">
        <v>28</v>
      </c>
      <c r="H2852" s="3">
        <v>8.4600000000000009</v>
      </c>
      <c r="I2852" s="3">
        <f>ProductLine[[#This Row],[Units]]*ProductLine[[#This Row],[Dollars]]</f>
        <v>236.88000000000002</v>
      </c>
    </row>
    <row r="2853" spans="1:9" x14ac:dyDescent="0.35">
      <c r="A2853">
        <v>2852</v>
      </c>
      <c r="B2853" t="s">
        <v>11</v>
      </c>
      <c r="C2853" s="2">
        <v>44875</v>
      </c>
      <c r="D2853">
        <f>YEAR(ProductLine[[#This Row],[Date]])</f>
        <v>2022</v>
      </c>
      <c r="E2853">
        <f>MONTH(ProductLine[[#This Row],[Date]])</f>
        <v>11</v>
      </c>
      <c r="F2853" t="s">
        <v>25</v>
      </c>
      <c r="G2853">
        <v>16</v>
      </c>
      <c r="H2853" s="3">
        <v>10.97</v>
      </c>
      <c r="I2853" s="3">
        <f>ProductLine[[#This Row],[Units]]*ProductLine[[#This Row],[Dollars]]</f>
        <v>175.52</v>
      </c>
    </row>
    <row r="2854" spans="1:9" x14ac:dyDescent="0.35">
      <c r="A2854">
        <v>2853</v>
      </c>
      <c r="B2854" t="s">
        <v>17</v>
      </c>
      <c r="C2854" s="2">
        <v>44906</v>
      </c>
      <c r="D2854">
        <f>YEAR(ProductLine[[#This Row],[Date]])</f>
        <v>2022</v>
      </c>
      <c r="E2854">
        <f>MONTH(ProductLine[[#This Row],[Date]])</f>
        <v>12</v>
      </c>
      <c r="F2854" t="s">
        <v>25</v>
      </c>
      <c r="G2854">
        <v>17</v>
      </c>
      <c r="H2854" s="3">
        <v>8.89</v>
      </c>
      <c r="I2854" s="3">
        <f>ProductLine[[#This Row],[Units]]*ProductLine[[#This Row],[Dollars]]</f>
        <v>151.13</v>
      </c>
    </row>
    <row r="2855" spans="1:9" x14ac:dyDescent="0.35">
      <c r="A2855">
        <v>2854</v>
      </c>
      <c r="B2855" t="s">
        <v>13</v>
      </c>
      <c r="C2855" s="2">
        <v>44867</v>
      </c>
      <c r="D2855">
        <f>YEAR(ProductLine[[#This Row],[Date]])</f>
        <v>2022</v>
      </c>
      <c r="E2855">
        <f>MONTH(ProductLine[[#This Row],[Date]])</f>
        <v>11</v>
      </c>
      <c r="F2855" t="s">
        <v>25</v>
      </c>
      <c r="G2855">
        <v>57</v>
      </c>
      <c r="H2855" s="3">
        <v>6.99</v>
      </c>
      <c r="I2855" s="3">
        <f>ProductLine[[#This Row],[Units]]*ProductLine[[#This Row],[Dollars]]</f>
        <v>398.43</v>
      </c>
    </row>
    <row r="2856" spans="1:9" x14ac:dyDescent="0.35">
      <c r="A2856">
        <v>2855</v>
      </c>
      <c r="B2856" t="s">
        <v>11</v>
      </c>
      <c r="C2856" s="2">
        <v>44876</v>
      </c>
      <c r="D2856">
        <f>YEAR(ProductLine[[#This Row],[Date]])</f>
        <v>2022</v>
      </c>
      <c r="E2856">
        <f>MONTH(ProductLine[[#This Row],[Date]])</f>
        <v>11</v>
      </c>
      <c r="F2856" t="s">
        <v>25</v>
      </c>
      <c r="G2856">
        <v>45</v>
      </c>
      <c r="H2856" s="3">
        <v>6.89</v>
      </c>
      <c r="I2856" s="3">
        <f>ProductLine[[#This Row],[Units]]*ProductLine[[#This Row],[Dollars]]</f>
        <v>310.05</v>
      </c>
    </row>
    <row r="2857" spans="1:9" x14ac:dyDescent="0.35">
      <c r="A2857">
        <v>2856</v>
      </c>
      <c r="B2857" t="s">
        <v>17</v>
      </c>
      <c r="C2857" s="2">
        <v>44856</v>
      </c>
      <c r="D2857">
        <f>YEAR(ProductLine[[#This Row],[Date]])</f>
        <v>2022</v>
      </c>
      <c r="E2857">
        <f>MONTH(ProductLine[[#This Row],[Date]])</f>
        <v>10</v>
      </c>
      <c r="F2857" t="s">
        <v>25</v>
      </c>
      <c r="G2857">
        <v>24</v>
      </c>
      <c r="H2857" s="3">
        <v>8.89</v>
      </c>
      <c r="I2857" s="3">
        <f>ProductLine[[#This Row],[Units]]*ProductLine[[#This Row],[Dollars]]</f>
        <v>213.36</v>
      </c>
    </row>
    <row r="2858" spans="1:9" x14ac:dyDescent="0.35">
      <c r="A2858">
        <v>2857</v>
      </c>
      <c r="B2858" t="s">
        <v>18</v>
      </c>
      <c r="C2858" s="2">
        <v>44871</v>
      </c>
      <c r="D2858">
        <f>YEAR(ProductLine[[#This Row],[Date]])</f>
        <v>2022</v>
      </c>
      <c r="E2858">
        <f>MONTH(ProductLine[[#This Row],[Date]])</f>
        <v>11</v>
      </c>
      <c r="F2858" t="s">
        <v>25</v>
      </c>
      <c r="G2858">
        <v>51</v>
      </c>
      <c r="H2858" s="3">
        <v>8.89</v>
      </c>
      <c r="I2858" s="3">
        <f>ProductLine[[#This Row],[Units]]*ProductLine[[#This Row],[Dollars]]</f>
        <v>453.39000000000004</v>
      </c>
    </row>
    <row r="2859" spans="1:9" x14ac:dyDescent="0.35">
      <c r="A2859">
        <v>2858</v>
      </c>
      <c r="B2859" t="s">
        <v>18</v>
      </c>
      <c r="C2859" s="2">
        <v>44857</v>
      </c>
      <c r="D2859">
        <f>YEAR(ProductLine[[#This Row],[Date]])</f>
        <v>2022</v>
      </c>
      <c r="E2859">
        <f>MONTH(ProductLine[[#This Row],[Date]])</f>
        <v>10</v>
      </c>
      <c r="F2859" t="s">
        <v>25</v>
      </c>
      <c r="G2859">
        <v>29</v>
      </c>
      <c r="H2859" s="3">
        <v>10.97</v>
      </c>
      <c r="I2859" s="3">
        <f>ProductLine[[#This Row],[Units]]*ProductLine[[#This Row],[Dollars]]</f>
        <v>318.13</v>
      </c>
    </row>
    <row r="2860" spans="1:9" x14ac:dyDescent="0.35">
      <c r="A2860">
        <v>2859</v>
      </c>
      <c r="B2860" t="s">
        <v>11</v>
      </c>
      <c r="C2860" s="2">
        <v>44837</v>
      </c>
      <c r="D2860">
        <f>YEAR(ProductLine[[#This Row],[Date]])</f>
        <v>2022</v>
      </c>
      <c r="E2860">
        <f>MONTH(ProductLine[[#This Row],[Date]])</f>
        <v>10</v>
      </c>
      <c r="F2860" t="s">
        <v>27</v>
      </c>
      <c r="G2860">
        <v>51</v>
      </c>
      <c r="H2860" s="3">
        <v>9.98</v>
      </c>
      <c r="I2860" s="3">
        <f>ProductLine[[#This Row],[Units]]*ProductLine[[#This Row],[Dollars]]</f>
        <v>508.98</v>
      </c>
    </row>
    <row r="2861" spans="1:9" x14ac:dyDescent="0.35">
      <c r="A2861">
        <v>2860</v>
      </c>
      <c r="B2861" t="s">
        <v>11</v>
      </c>
      <c r="C2861" s="2">
        <v>44847</v>
      </c>
      <c r="D2861">
        <f>YEAR(ProductLine[[#This Row],[Date]])</f>
        <v>2022</v>
      </c>
      <c r="E2861">
        <f>MONTH(ProductLine[[#This Row],[Date]])</f>
        <v>10</v>
      </c>
      <c r="F2861" t="s">
        <v>27</v>
      </c>
      <c r="G2861">
        <v>45</v>
      </c>
      <c r="H2861" s="3">
        <v>9.43</v>
      </c>
      <c r="I2861" s="3">
        <f>ProductLine[[#This Row],[Units]]*ProductLine[[#This Row],[Dollars]]</f>
        <v>424.34999999999997</v>
      </c>
    </row>
    <row r="2862" spans="1:9" x14ac:dyDescent="0.35">
      <c r="A2862">
        <v>2861</v>
      </c>
      <c r="B2862" t="s">
        <v>17</v>
      </c>
      <c r="C2862" s="2">
        <v>44918</v>
      </c>
      <c r="D2862">
        <f>YEAR(ProductLine[[#This Row],[Date]])</f>
        <v>2022</v>
      </c>
      <c r="E2862">
        <f>MONTH(ProductLine[[#This Row],[Date]])</f>
        <v>12</v>
      </c>
      <c r="F2862" t="s">
        <v>27</v>
      </c>
      <c r="G2862">
        <v>33</v>
      </c>
      <c r="H2862" s="3">
        <v>9.43</v>
      </c>
      <c r="I2862" s="3">
        <f>ProductLine[[#This Row],[Units]]*ProductLine[[#This Row],[Dollars]]</f>
        <v>311.19</v>
      </c>
    </row>
    <row r="2863" spans="1:9" x14ac:dyDescent="0.35">
      <c r="A2863">
        <v>2862</v>
      </c>
      <c r="B2863" t="s">
        <v>17</v>
      </c>
      <c r="C2863" s="2">
        <v>44923</v>
      </c>
      <c r="D2863">
        <f>YEAR(ProductLine[[#This Row],[Date]])</f>
        <v>2022</v>
      </c>
      <c r="E2863">
        <f>MONTH(ProductLine[[#This Row],[Date]])</f>
        <v>12</v>
      </c>
      <c r="F2863" t="s">
        <v>27</v>
      </c>
      <c r="G2863">
        <v>15</v>
      </c>
      <c r="H2863" s="3">
        <v>9.43</v>
      </c>
      <c r="I2863" s="3">
        <f>ProductLine[[#This Row],[Units]]*ProductLine[[#This Row],[Dollars]]</f>
        <v>141.44999999999999</v>
      </c>
    </row>
    <row r="2864" spans="1:9" x14ac:dyDescent="0.35">
      <c r="A2864">
        <v>2863</v>
      </c>
      <c r="B2864" t="s">
        <v>17</v>
      </c>
      <c r="C2864" s="2">
        <v>44870</v>
      </c>
      <c r="D2864">
        <f>YEAR(ProductLine[[#This Row],[Date]])</f>
        <v>2022</v>
      </c>
      <c r="E2864">
        <f>MONTH(ProductLine[[#This Row],[Date]])</f>
        <v>11</v>
      </c>
      <c r="F2864" t="s">
        <v>27</v>
      </c>
      <c r="G2864">
        <v>57</v>
      </c>
      <c r="H2864" s="3">
        <v>9.43</v>
      </c>
      <c r="I2864" s="3">
        <f>ProductLine[[#This Row],[Units]]*ProductLine[[#This Row],[Dollars]]</f>
        <v>537.51</v>
      </c>
    </row>
    <row r="2865" spans="1:9" x14ac:dyDescent="0.35">
      <c r="A2865">
        <v>2864</v>
      </c>
      <c r="B2865" t="s">
        <v>13</v>
      </c>
      <c r="C2865" s="2">
        <v>44869</v>
      </c>
      <c r="D2865">
        <f>YEAR(ProductLine[[#This Row],[Date]])</f>
        <v>2022</v>
      </c>
      <c r="E2865">
        <f>MONTH(ProductLine[[#This Row],[Date]])</f>
        <v>11</v>
      </c>
      <c r="F2865" t="s">
        <v>27</v>
      </c>
      <c r="G2865">
        <v>16</v>
      </c>
      <c r="H2865" s="3">
        <v>8.5500000000000007</v>
      </c>
      <c r="I2865" s="3">
        <f>ProductLine[[#This Row],[Units]]*ProductLine[[#This Row],[Dollars]]</f>
        <v>136.80000000000001</v>
      </c>
    </row>
    <row r="2866" spans="1:9" x14ac:dyDescent="0.35">
      <c r="A2866">
        <v>2865</v>
      </c>
      <c r="B2866" t="s">
        <v>13</v>
      </c>
      <c r="C2866" s="2">
        <v>44863</v>
      </c>
      <c r="D2866">
        <f>YEAR(ProductLine[[#This Row],[Date]])</f>
        <v>2022</v>
      </c>
      <c r="E2866">
        <f>MONTH(ProductLine[[#This Row],[Date]])</f>
        <v>10</v>
      </c>
      <c r="F2866" t="s">
        <v>27</v>
      </c>
      <c r="G2866">
        <v>38</v>
      </c>
      <c r="H2866" s="3">
        <v>8.5500000000000007</v>
      </c>
      <c r="I2866" s="3">
        <f>ProductLine[[#This Row],[Units]]*ProductLine[[#This Row],[Dollars]]</f>
        <v>324.90000000000003</v>
      </c>
    </row>
    <row r="2867" spans="1:9" x14ac:dyDescent="0.35">
      <c r="A2867">
        <v>2866</v>
      </c>
      <c r="B2867" t="s">
        <v>13</v>
      </c>
      <c r="C2867" s="2">
        <v>44916</v>
      </c>
      <c r="D2867">
        <f>YEAR(ProductLine[[#This Row],[Date]])</f>
        <v>2022</v>
      </c>
      <c r="E2867">
        <f>MONTH(ProductLine[[#This Row],[Date]])</f>
        <v>12</v>
      </c>
      <c r="F2867" t="s">
        <v>27</v>
      </c>
      <c r="G2867">
        <v>37</v>
      </c>
      <c r="H2867" s="3">
        <v>8.5500000000000007</v>
      </c>
      <c r="I2867" s="3">
        <f>ProductLine[[#This Row],[Units]]*ProductLine[[#This Row],[Dollars]]</f>
        <v>316.35000000000002</v>
      </c>
    </row>
    <row r="2868" spans="1:9" x14ac:dyDescent="0.35">
      <c r="A2868">
        <v>2867</v>
      </c>
      <c r="B2868" t="s">
        <v>18</v>
      </c>
      <c r="C2868" s="2">
        <v>44916</v>
      </c>
      <c r="D2868">
        <f>YEAR(ProductLine[[#This Row],[Date]])</f>
        <v>2022</v>
      </c>
      <c r="E2868">
        <f>MONTH(ProductLine[[#This Row],[Date]])</f>
        <v>12</v>
      </c>
      <c r="F2868" t="s">
        <v>27</v>
      </c>
      <c r="G2868">
        <v>49</v>
      </c>
      <c r="H2868" s="3">
        <v>8.5500000000000007</v>
      </c>
      <c r="I2868" s="3">
        <f>ProductLine[[#This Row],[Units]]*ProductLine[[#This Row],[Dollars]]</f>
        <v>418.95000000000005</v>
      </c>
    </row>
    <row r="2869" spans="1:9" x14ac:dyDescent="0.35">
      <c r="A2869">
        <v>2868</v>
      </c>
      <c r="B2869" t="s">
        <v>21</v>
      </c>
      <c r="C2869" s="2">
        <v>44861</v>
      </c>
      <c r="D2869">
        <f>YEAR(ProductLine[[#This Row],[Date]])</f>
        <v>2022</v>
      </c>
      <c r="E2869">
        <f>MONTH(ProductLine[[#This Row],[Date]])</f>
        <v>10</v>
      </c>
      <c r="F2869" t="s">
        <v>27</v>
      </c>
      <c r="G2869">
        <v>37</v>
      </c>
      <c r="H2869" s="3">
        <v>9.98</v>
      </c>
      <c r="I2869" s="3">
        <f>ProductLine[[#This Row],[Units]]*ProductLine[[#This Row],[Dollars]]</f>
        <v>369.26</v>
      </c>
    </row>
    <row r="2870" spans="1:9" x14ac:dyDescent="0.35">
      <c r="A2870">
        <v>2869</v>
      </c>
      <c r="B2870" t="s">
        <v>21</v>
      </c>
      <c r="C2870" s="2">
        <v>44878</v>
      </c>
      <c r="D2870">
        <f>YEAR(ProductLine[[#This Row],[Date]])</f>
        <v>2022</v>
      </c>
      <c r="E2870">
        <f>MONTH(ProductLine[[#This Row],[Date]])</f>
        <v>11</v>
      </c>
      <c r="F2870" t="s">
        <v>27</v>
      </c>
      <c r="G2870">
        <v>52</v>
      </c>
      <c r="H2870" s="3">
        <v>9.98</v>
      </c>
      <c r="I2870" s="3">
        <f>ProductLine[[#This Row],[Units]]*ProductLine[[#This Row],[Dollars]]</f>
        <v>518.96</v>
      </c>
    </row>
    <row r="2871" spans="1:9" x14ac:dyDescent="0.35">
      <c r="A2871">
        <v>2870</v>
      </c>
      <c r="B2871" t="s">
        <v>16</v>
      </c>
      <c r="C2871" s="2">
        <v>38026</v>
      </c>
      <c r="D2871">
        <f>YEAR(ProductLine[[#This Row],[Date]])</f>
        <v>2004</v>
      </c>
      <c r="E2871">
        <f>MONTH(ProductLine[[#This Row],[Date]])</f>
        <v>2</v>
      </c>
      <c r="F2871" t="s">
        <v>26</v>
      </c>
      <c r="G2871">
        <v>26</v>
      </c>
      <c r="H2871" s="3">
        <v>8.98</v>
      </c>
      <c r="I2871" s="3">
        <f>ProductLine[[#This Row],[Units]]*ProductLine[[#This Row],[Dollars]]</f>
        <v>233.48000000000002</v>
      </c>
    </row>
    <row r="2872" spans="1:9" x14ac:dyDescent="0.35">
      <c r="A2872">
        <v>2871</v>
      </c>
      <c r="B2872" t="s">
        <v>16</v>
      </c>
      <c r="C2872" s="2">
        <v>38076</v>
      </c>
      <c r="D2872">
        <f>YEAR(ProductLine[[#This Row],[Date]])</f>
        <v>2004</v>
      </c>
      <c r="E2872">
        <f>MONTH(ProductLine[[#This Row],[Date]])</f>
        <v>3</v>
      </c>
      <c r="F2872" t="s">
        <v>26</v>
      </c>
      <c r="G2872">
        <v>49</v>
      </c>
      <c r="H2872" s="3">
        <v>7.98</v>
      </c>
      <c r="I2872" s="3">
        <f>ProductLine[[#This Row],[Units]]*ProductLine[[#This Row],[Dollars]]</f>
        <v>391.02000000000004</v>
      </c>
    </row>
    <row r="2873" spans="1:9" x14ac:dyDescent="0.35">
      <c r="A2873">
        <v>2872</v>
      </c>
      <c r="B2873" t="s">
        <v>16</v>
      </c>
      <c r="C2873" s="2">
        <v>37995</v>
      </c>
      <c r="D2873">
        <f>YEAR(ProductLine[[#This Row],[Date]])</f>
        <v>2004</v>
      </c>
      <c r="E2873">
        <f>MONTH(ProductLine[[#This Row],[Date]])</f>
        <v>1</v>
      </c>
      <c r="F2873" t="s">
        <v>26</v>
      </c>
      <c r="G2873">
        <v>47</v>
      </c>
      <c r="H2873" s="3">
        <v>8.98</v>
      </c>
      <c r="I2873" s="3">
        <f>ProductLine[[#This Row],[Units]]*ProductLine[[#This Row],[Dollars]]</f>
        <v>422.06</v>
      </c>
    </row>
    <row r="2874" spans="1:9" x14ac:dyDescent="0.35">
      <c r="A2874">
        <v>2873</v>
      </c>
      <c r="B2874" t="s">
        <v>16</v>
      </c>
      <c r="C2874" s="2">
        <v>38035</v>
      </c>
      <c r="D2874">
        <f>YEAR(ProductLine[[#This Row],[Date]])</f>
        <v>2004</v>
      </c>
      <c r="E2874">
        <f>MONTH(ProductLine[[#This Row],[Date]])</f>
        <v>2</v>
      </c>
      <c r="F2874" t="s">
        <v>26</v>
      </c>
      <c r="G2874">
        <v>31</v>
      </c>
      <c r="H2874" s="3">
        <v>7.98</v>
      </c>
      <c r="I2874" s="3">
        <f>ProductLine[[#This Row],[Units]]*ProductLine[[#This Row],[Dollars]]</f>
        <v>247.38000000000002</v>
      </c>
    </row>
    <row r="2875" spans="1:9" x14ac:dyDescent="0.35">
      <c r="A2875">
        <v>2874</v>
      </c>
      <c r="B2875" t="s">
        <v>15</v>
      </c>
      <c r="C2875" s="2">
        <v>37991</v>
      </c>
      <c r="D2875">
        <f>YEAR(ProductLine[[#This Row],[Date]])</f>
        <v>2004</v>
      </c>
      <c r="E2875">
        <f>MONTH(ProductLine[[#This Row],[Date]])</f>
        <v>1</v>
      </c>
      <c r="F2875" t="s">
        <v>25</v>
      </c>
      <c r="G2875">
        <v>35</v>
      </c>
      <c r="H2875" s="3">
        <v>6.99</v>
      </c>
      <c r="I2875" s="3">
        <f>ProductLine[[#This Row],[Units]]*ProductLine[[#This Row],[Dollars]]</f>
        <v>244.65</v>
      </c>
    </row>
    <row r="2876" spans="1:9" x14ac:dyDescent="0.35">
      <c r="A2876">
        <v>2875</v>
      </c>
      <c r="B2876" t="s">
        <v>15</v>
      </c>
      <c r="C2876" s="2">
        <v>38233</v>
      </c>
      <c r="D2876">
        <f>YEAR(ProductLine[[#This Row],[Date]])</f>
        <v>2004</v>
      </c>
      <c r="E2876">
        <f>MONTH(ProductLine[[#This Row],[Date]])</f>
        <v>9</v>
      </c>
      <c r="F2876" t="s">
        <v>25</v>
      </c>
      <c r="G2876">
        <v>50</v>
      </c>
      <c r="H2876" s="3">
        <v>10.97</v>
      </c>
      <c r="I2876" s="3">
        <f>ProductLine[[#This Row],[Units]]*ProductLine[[#This Row],[Dollars]]</f>
        <v>548.5</v>
      </c>
    </row>
    <row r="2877" spans="1:9" x14ac:dyDescent="0.35">
      <c r="A2877">
        <v>2876</v>
      </c>
      <c r="B2877" t="s">
        <v>15</v>
      </c>
      <c r="C2877" s="2">
        <v>37989</v>
      </c>
      <c r="D2877">
        <f>YEAR(ProductLine[[#This Row],[Date]])</f>
        <v>2004</v>
      </c>
      <c r="E2877">
        <f>MONTH(ProductLine[[#This Row],[Date]])</f>
        <v>1</v>
      </c>
      <c r="F2877" t="s">
        <v>27</v>
      </c>
      <c r="G2877">
        <v>25</v>
      </c>
      <c r="H2877" s="3">
        <v>9.98</v>
      </c>
      <c r="I2877" s="3">
        <f>ProductLine[[#This Row],[Units]]*ProductLine[[#This Row],[Dollars]]</f>
        <v>249.5</v>
      </c>
    </row>
    <row r="2878" spans="1:9" x14ac:dyDescent="0.35">
      <c r="A2878">
        <v>2877</v>
      </c>
      <c r="B2878" t="s">
        <v>15</v>
      </c>
      <c r="C2878" s="2">
        <v>38023</v>
      </c>
      <c r="D2878">
        <f>YEAR(ProductLine[[#This Row],[Date]])</f>
        <v>2004</v>
      </c>
      <c r="E2878">
        <f>MONTH(ProductLine[[#This Row],[Date]])</f>
        <v>2</v>
      </c>
      <c r="F2878" t="s">
        <v>27</v>
      </c>
      <c r="G2878">
        <v>28</v>
      </c>
      <c r="H2878" s="3">
        <v>9.43</v>
      </c>
      <c r="I2878" s="3">
        <f>ProductLine[[#This Row],[Units]]*ProductLine[[#This Row],[Dollars]]</f>
        <v>264.03999999999996</v>
      </c>
    </row>
    <row r="2879" spans="1:9" x14ac:dyDescent="0.35">
      <c r="A2879">
        <v>2878</v>
      </c>
      <c r="B2879" t="s">
        <v>15</v>
      </c>
      <c r="C2879" s="2">
        <v>38054</v>
      </c>
      <c r="D2879">
        <f>YEAR(ProductLine[[#This Row],[Date]])</f>
        <v>2004</v>
      </c>
      <c r="E2879">
        <f>MONTH(ProductLine[[#This Row],[Date]])</f>
        <v>3</v>
      </c>
      <c r="F2879" t="s">
        <v>27</v>
      </c>
      <c r="G2879">
        <v>43</v>
      </c>
      <c r="H2879" s="3">
        <v>8.5500000000000007</v>
      </c>
      <c r="I2879" s="3">
        <f>ProductLine[[#This Row],[Units]]*ProductLine[[#This Row],[Dollars]]</f>
        <v>367.65000000000003</v>
      </c>
    </row>
    <row r="2880" spans="1:9" x14ac:dyDescent="0.35">
      <c r="A2880">
        <v>2879</v>
      </c>
      <c r="B2880" t="s">
        <v>11</v>
      </c>
      <c r="C2880" s="2">
        <v>38124</v>
      </c>
      <c r="D2880">
        <f>YEAR(ProductLine[[#This Row],[Date]])</f>
        <v>2004</v>
      </c>
      <c r="E2880">
        <f>MONTH(ProductLine[[#This Row],[Date]])</f>
        <v>5</v>
      </c>
      <c r="F2880" t="s">
        <v>25</v>
      </c>
      <c r="G2880">
        <v>58</v>
      </c>
      <c r="H2880" s="3">
        <v>10.97</v>
      </c>
      <c r="I2880" s="3">
        <f>ProductLine[[#This Row],[Units]]*ProductLine[[#This Row],[Dollars]]</f>
        <v>636.26</v>
      </c>
    </row>
    <row r="2881" spans="1:9" x14ac:dyDescent="0.35">
      <c r="A2881">
        <v>2880</v>
      </c>
      <c r="B2881" t="s">
        <v>11</v>
      </c>
      <c r="C2881" s="2">
        <v>38156</v>
      </c>
      <c r="D2881">
        <f>YEAR(ProductLine[[#This Row],[Date]])</f>
        <v>2004</v>
      </c>
      <c r="E2881">
        <f>MONTH(ProductLine[[#This Row],[Date]])</f>
        <v>6</v>
      </c>
      <c r="F2881" t="s">
        <v>25</v>
      </c>
      <c r="G2881">
        <v>48</v>
      </c>
      <c r="H2881" s="3">
        <v>6.99</v>
      </c>
      <c r="I2881" s="3">
        <f>ProductLine[[#This Row],[Units]]*ProductLine[[#This Row],[Dollars]]</f>
        <v>335.52</v>
      </c>
    </row>
    <row r="2882" spans="1:9" x14ac:dyDescent="0.35">
      <c r="A2882">
        <v>2881</v>
      </c>
      <c r="B2882" t="s">
        <v>11</v>
      </c>
      <c r="C2882" s="2">
        <v>38168</v>
      </c>
      <c r="D2882">
        <f>YEAR(ProductLine[[#This Row],[Date]])</f>
        <v>2004</v>
      </c>
      <c r="E2882">
        <f>MONTH(ProductLine[[#This Row],[Date]])</f>
        <v>6</v>
      </c>
      <c r="F2882" t="s">
        <v>25</v>
      </c>
      <c r="G2882">
        <v>38</v>
      </c>
      <c r="H2882" s="3">
        <v>6.99</v>
      </c>
      <c r="I2882" s="3">
        <f>ProductLine[[#This Row],[Units]]*ProductLine[[#This Row],[Dollars]]</f>
        <v>265.62</v>
      </c>
    </row>
    <row r="2883" spans="1:9" x14ac:dyDescent="0.35">
      <c r="A2883">
        <v>2882</v>
      </c>
      <c r="B2883" t="s">
        <v>11</v>
      </c>
      <c r="C2883" s="2">
        <v>38177</v>
      </c>
      <c r="D2883">
        <f>YEAR(ProductLine[[#This Row],[Date]])</f>
        <v>2004</v>
      </c>
      <c r="E2883">
        <f>MONTH(ProductLine[[#This Row],[Date]])</f>
        <v>7</v>
      </c>
      <c r="F2883" t="s">
        <v>26</v>
      </c>
      <c r="G2883">
        <v>38</v>
      </c>
      <c r="H2883" s="3">
        <v>8.98</v>
      </c>
      <c r="I2883" s="3">
        <f>ProductLine[[#This Row],[Units]]*ProductLine[[#This Row],[Dollars]]</f>
        <v>341.24</v>
      </c>
    </row>
    <row r="2884" spans="1:9" x14ac:dyDescent="0.35">
      <c r="A2884">
        <v>2883</v>
      </c>
      <c r="B2884" t="s">
        <v>11</v>
      </c>
      <c r="C2884" s="2">
        <v>38209</v>
      </c>
      <c r="D2884">
        <f>YEAR(ProductLine[[#This Row],[Date]])</f>
        <v>2004</v>
      </c>
      <c r="E2884">
        <f>MONTH(ProductLine[[#This Row],[Date]])</f>
        <v>8</v>
      </c>
      <c r="F2884" t="s">
        <v>26</v>
      </c>
      <c r="G2884">
        <v>42</v>
      </c>
      <c r="H2884" s="3">
        <v>7.98</v>
      </c>
      <c r="I2884" s="3">
        <f>ProductLine[[#This Row],[Units]]*ProductLine[[#This Row],[Dollars]]</f>
        <v>335.16</v>
      </c>
    </row>
    <row r="2885" spans="1:9" x14ac:dyDescent="0.35">
      <c r="A2885">
        <v>2884</v>
      </c>
      <c r="B2885" t="s">
        <v>11</v>
      </c>
      <c r="C2885" s="2">
        <v>38242</v>
      </c>
      <c r="D2885">
        <f>YEAR(ProductLine[[#This Row],[Date]])</f>
        <v>2004</v>
      </c>
      <c r="E2885">
        <f>MONTH(ProductLine[[#This Row],[Date]])</f>
        <v>9</v>
      </c>
      <c r="F2885" t="s">
        <v>26</v>
      </c>
      <c r="G2885">
        <v>54</v>
      </c>
      <c r="H2885" s="3">
        <v>8.98</v>
      </c>
      <c r="I2885" s="3">
        <f>ProductLine[[#This Row],[Units]]*ProductLine[[#This Row],[Dollars]]</f>
        <v>484.92</v>
      </c>
    </row>
    <row r="2886" spans="1:9" x14ac:dyDescent="0.35">
      <c r="A2886">
        <v>2885</v>
      </c>
      <c r="B2886" t="s">
        <v>16</v>
      </c>
      <c r="C2886" s="2">
        <v>38176</v>
      </c>
      <c r="D2886">
        <f>YEAR(ProductLine[[#This Row],[Date]])</f>
        <v>2004</v>
      </c>
      <c r="E2886">
        <f>MONTH(ProductLine[[#This Row],[Date]])</f>
        <v>7</v>
      </c>
      <c r="F2886" t="s">
        <v>23</v>
      </c>
      <c r="G2886">
        <v>36</v>
      </c>
      <c r="H2886" s="3">
        <v>5.47</v>
      </c>
      <c r="I2886" s="3">
        <f>ProductLine[[#This Row],[Units]]*ProductLine[[#This Row],[Dollars]]</f>
        <v>196.92</v>
      </c>
    </row>
    <row r="2887" spans="1:9" x14ac:dyDescent="0.35">
      <c r="A2887">
        <v>2886</v>
      </c>
      <c r="B2887" t="s">
        <v>16</v>
      </c>
      <c r="C2887" s="2">
        <v>38203</v>
      </c>
      <c r="D2887">
        <f>YEAR(ProductLine[[#This Row],[Date]])</f>
        <v>2004</v>
      </c>
      <c r="E2887">
        <f>MONTH(ProductLine[[#This Row],[Date]])</f>
        <v>8</v>
      </c>
      <c r="F2887" t="s">
        <v>23</v>
      </c>
      <c r="G2887">
        <v>56</v>
      </c>
      <c r="H2887" s="3">
        <v>8.4600000000000009</v>
      </c>
      <c r="I2887" s="3">
        <f>ProductLine[[#This Row],[Units]]*ProductLine[[#This Row],[Dollars]]</f>
        <v>473.76000000000005</v>
      </c>
    </row>
    <row r="2888" spans="1:9" x14ac:dyDescent="0.35">
      <c r="A2888">
        <v>2887</v>
      </c>
      <c r="B2888" t="s">
        <v>16</v>
      </c>
      <c r="C2888" s="2">
        <v>38240</v>
      </c>
      <c r="D2888">
        <f>YEAR(ProductLine[[#This Row],[Date]])</f>
        <v>2004</v>
      </c>
      <c r="E2888">
        <f>MONTH(ProductLine[[#This Row],[Date]])</f>
        <v>9</v>
      </c>
      <c r="F2888" t="s">
        <v>23</v>
      </c>
      <c r="G2888">
        <v>38</v>
      </c>
      <c r="H2888" s="3">
        <v>5.47</v>
      </c>
      <c r="I2888" s="3">
        <f>ProductLine[[#This Row],[Units]]*ProductLine[[#This Row],[Dollars]]</f>
        <v>207.85999999999999</v>
      </c>
    </row>
    <row r="2889" spans="1:9" x14ac:dyDescent="0.35">
      <c r="A2889">
        <v>2888</v>
      </c>
      <c r="B2889" t="s">
        <v>15</v>
      </c>
      <c r="C2889" s="2">
        <v>38276</v>
      </c>
      <c r="D2889">
        <f>YEAR(ProductLine[[#This Row],[Date]])</f>
        <v>2004</v>
      </c>
      <c r="E2889">
        <f>MONTH(ProductLine[[#This Row],[Date]])</f>
        <v>10</v>
      </c>
      <c r="F2889" t="s">
        <v>25</v>
      </c>
      <c r="G2889">
        <v>28</v>
      </c>
      <c r="H2889" s="3">
        <v>6.99</v>
      </c>
      <c r="I2889" s="3">
        <f>ProductLine[[#This Row],[Units]]*ProductLine[[#This Row],[Dollars]]</f>
        <v>195.72</v>
      </c>
    </row>
    <row r="2890" spans="1:9" x14ac:dyDescent="0.35">
      <c r="A2890">
        <v>2889</v>
      </c>
      <c r="B2890" t="s">
        <v>15</v>
      </c>
      <c r="C2890" s="2">
        <v>38309</v>
      </c>
      <c r="D2890">
        <f>YEAR(ProductLine[[#This Row],[Date]])</f>
        <v>2004</v>
      </c>
      <c r="E2890">
        <f>MONTH(ProductLine[[#This Row],[Date]])</f>
        <v>11</v>
      </c>
      <c r="F2890" t="s">
        <v>25</v>
      </c>
      <c r="G2890">
        <v>38</v>
      </c>
      <c r="H2890" s="3">
        <v>10.97</v>
      </c>
      <c r="I2890" s="3">
        <f>ProductLine[[#This Row],[Units]]*ProductLine[[#This Row],[Dollars]]</f>
        <v>416.86</v>
      </c>
    </row>
    <row r="2891" spans="1:9" x14ac:dyDescent="0.35">
      <c r="A2891">
        <v>2890</v>
      </c>
      <c r="B2891" t="s">
        <v>11</v>
      </c>
      <c r="C2891" s="2">
        <v>38364</v>
      </c>
      <c r="D2891">
        <f>YEAR(ProductLine[[#This Row],[Date]])</f>
        <v>2005</v>
      </c>
      <c r="E2891">
        <f>MONTH(ProductLine[[#This Row],[Date]])</f>
        <v>1</v>
      </c>
      <c r="F2891" t="s">
        <v>26</v>
      </c>
      <c r="G2891">
        <v>30</v>
      </c>
      <c r="H2891" s="3">
        <v>8.98</v>
      </c>
      <c r="I2891" s="3">
        <f>ProductLine[[#This Row],[Units]]*ProductLine[[#This Row],[Dollars]]</f>
        <v>269.40000000000003</v>
      </c>
    </row>
    <row r="2892" spans="1:9" x14ac:dyDescent="0.35">
      <c r="A2892">
        <v>2891</v>
      </c>
      <c r="B2892" t="s">
        <v>11</v>
      </c>
      <c r="C2892" s="2">
        <v>38401</v>
      </c>
      <c r="D2892">
        <f>YEAR(ProductLine[[#This Row],[Date]])</f>
        <v>2005</v>
      </c>
      <c r="E2892">
        <f>MONTH(ProductLine[[#This Row],[Date]])</f>
        <v>2</v>
      </c>
      <c r="F2892" t="s">
        <v>26</v>
      </c>
      <c r="G2892">
        <v>42</v>
      </c>
      <c r="H2892" s="3">
        <v>7.98</v>
      </c>
      <c r="I2892" s="3">
        <f>ProductLine[[#This Row],[Units]]*ProductLine[[#This Row],[Dollars]]</f>
        <v>335.16</v>
      </c>
    </row>
    <row r="2893" spans="1:9" x14ac:dyDescent="0.35">
      <c r="A2893">
        <v>2892</v>
      </c>
      <c r="B2893" t="s">
        <v>11</v>
      </c>
      <c r="C2893" s="2">
        <v>38434</v>
      </c>
      <c r="D2893">
        <f>YEAR(ProductLine[[#This Row],[Date]])</f>
        <v>2005</v>
      </c>
      <c r="E2893">
        <f>MONTH(ProductLine[[#This Row],[Date]])</f>
        <v>3</v>
      </c>
      <c r="F2893" t="s">
        <v>26</v>
      </c>
      <c r="G2893">
        <v>11</v>
      </c>
      <c r="H2893" s="3">
        <v>7.98</v>
      </c>
      <c r="I2893" s="3">
        <f>ProductLine[[#This Row],[Units]]*ProductLine[[#This Row],[Dollars]]</f>
        <v>87.78</v>
      </c>
    </row>
    <row r="2894" spans="1:9" x14ac:dyDescent="0.35">
      <c r="A2894">
        <v>2893</v>
      </c>
      <c r="B2894" t="s">
        <v>16</v>
      </c>
      <c r="C2894" s="2">
        <v>38361</v>
      </c>
      <c r="D2894">
        <f>YEAR(ProductLine[[#This Row],[Date]])</f>
        <v>2005</v>
      </c>
      <c r="E2894">
        <f>MONTH(ProductLine[[#This Row],[Date]])</f>
        <v>1</v>
      </c>
      <c r="F2894" t="s">
        <v>23</v>
      </c>
      <c r="G2894">
        <v>36</v>
      </c>
      <c r="H2894" s="3">
        <v>8.4600000000000009</v>
      </c>
      <c r="I2894" s="3">
        <f>ProductLine[[#This Row],[Units]]*ProductLine[[#This Row],[Dollars]]</f>
        <v>304.56000000000006</v>
      </c>
    </row>
    <row r="2895" spans="1:9" x14ac:dyDescent="0.35">
      <c r="A2895">
        <v>2894</v>
      </c>
      <c r="B2895" t="s">
        <v>16</v>
      </c>
      <c r="C2895" s="2">
        <v>38366</v>
      </c>
      <c r="D2895">
        <f>YEAR(ProductLine[[#This Row],[Date]])</f>
        <v>2005</v>
      </c>
      <c r="E2895">
        <f>MONTH(ProductLine[[#This Row],[Date]])</f>
        <v>1</v>
      </c>
      <c r="F2895" t="s">
        <v>23</v>
      </c>
      <c r="G2895">
        <v>24</v>
      </c>
      <c r="H2895" s="3">
        <v>8.4600000000000009</v>
      </c>
      <c r="I2895" s="3">
        <f>ProductLine[[#This Row],[Units]]*ProductLine[[#This Row],[Dollars]]</f>
        <v>203.04000000000002</v>
      </c>
    </row>
    <row r="2896" spans="1:9" x14ac:dyDescent="0.35">
      <c r="A2896">
        <v>2895</v>
      </c>
      <c r="B2896" t="s">
        <v>16</v>
      </c>
      <c r="C2896" s="2">
        <v>38399</v>
      </c>
      <c r="D2896">
        <f>YEAR(ProductLine[[#This Row],[Date]])</f>
        <v>2005</v>
      </c>
      <c r="E2896">
        <f>MONTH(ProductLine[[#This Row],[Date]])</f>
        <v>2</v>
      </c>
      <c r="F2896" t="s">
        <v>23</v>
      </c>
      <c r="G2896">
        <v>32</v>
      </c>
      <c r="H2896" s="3">
        <v>5.47</v>
      </c>
      <c r="I2896" s="3">
        <f>ProductLine[[#This Row],[Units]]*ProductLine[[#This Row],[Dollars]]</f>
        <v>175.04</v>
      </c>
    </row>
    <row r="2897" spans="1:9" x14ac:dyDescent="0.35">
      <c r="A2897">
        <v>2896</v>
      </c>
      <c r="B2897" t="s">
        <v>10</v>
      </c>
      <c r="C2897" s="2">
        <v>38445</v>
      </c>
      <c r="D2897">
        <f>YEAR(ProductLine[[#This Row],[Date]])</f>
        <v>2005</v>
      </c>
      <c r="E2897">
        <f>MONTH(ProductLine[[#This Row],[Date]])</f>
        <v>4</v>
      </c>
      <c r="F2897" t="s">
        <v>25</v>
      </c>
      <c r="G2897">
        <v>37</v>
      </c>
      <c r="H2897" s="3">
        <v>6.99</v>
      </c>
      <c r="I2897" s="3">
        <f>ProductLine[[#This Row],[Units]]*ProductLine[[#This Row],[Dollars]]</f>
        <v>258.63</v>
      </c>
    </row>
    <row r="2898" spans="1:9" x14ac:dyDescent="0.35">
      <c r="A2898">
        <v>2897</v>
      </c>
      <c r="B2898" t="s">
        <v>10</v>
      </c>
      <c r="C2898" s="2">
        <v>38491</v>
      </c>
      <c r="D2898">
        <f>YEAR(ProductLine[[#This Row],[Date]])</f>
        <v>2005</v>
      </c>
      <c r="E2898">
        <f>MONTH(ProductLine[[#This Row],[Date]])</f>
        <v>5</v>
      </c>
      <c r="F2898" t="s">
        <v>25</v>
      </c>
      <c r="G2898">
        <v>50</v>
      </c>
      <c r="H2898" s="3">
        <v>10.97</v>
      </c>
      <c r="I2898" s="3">
        <f>ProductLine[[#This Row],[Units]]*ProductLine[[#This Row],[Dollars]]</f>
        <v>548.5</v>
      </c>
    </row>
    <row r="2899" spans="1:9" x14ac:dyDescent="0.35">
      <c r="A2899">
        <v>2898</v>
      </c>
      <c r="B2899" t="s">
        <v>10</v>
      </c>
      <c r="C2899" s="2">
        <v>38497</v>
      </c>
      <c r="D2899">
        <f>YEAR(ProductLine[[#This Row],[Date]])</f>
        <v>2005</v>
      </c>
      <c r="E2899">
        <f>MONTH(ProductLine[[#This Row],[Date]])</f>
        <v>5</v>
      </c>
      <c r="F2899" t="s">
        <v>25</v>
      </c>
      <c r="G2899">
        <v>28</v>
      </c>
      <c r="H2899" s="3">
        <v>6.99</v>
      </c>
      <c r="I2899" s="3">
        <f>ProductLine[[#This Row],[Units]]*ProductLine[[#This Row],[Dollars]]</f>
        <v>195.72</v>
      </c>
    </row>
    <row r="2900" spans="1:9" x14ac:dyDescent="0.35">
      <c r="A2900">
        <v>2899</v>
      </c>
      <c r="B2900" t="s">
        <v>10</v>
      </c>
      <c r="C2900" s="2">
        <v>38503</v>
      </c>
      <c r="D2900">
        <f>YEAR(ProductLine[[#This Row],[Date]])</f>
        <v>2005</v>
      </c>
      <c r="E2900">
        <f>MONTH(ProductLine[[#This Row],[Date]])</f>
        <v>5</v>
      </c>
      <c r="F2900" t="s">
        <v>25</v>
      </c>
      <c r="G2900">
        <v>60</v>
      </c>
      <c r="H2900" s="3">
        <v>6.99</v>
      </c>
      <c r="I2900" s="3">
        <f>ProductLine[[#This Row],[Units]]*ProductLine[[#This Row],[Dollars]]</f>
        <v>419.40000000000003</v>
      </c>
    </row>
    <row r="2901" spans="1:9" x14ac:dyDescent="0.35">
      <c r="A2901">
        <v>2900</v>
      </c>
      <c r="B2901" t="s">
        <v>16</v>
      </c>
      <c r="C2901" s="2">
        <v>38497</v>
      </c>
      <c r="D2901">
        <f>YEAR(ProductLine[[#This Row],[Date]])</f>
        <v>2005</v>
      </c>
      <c r="E2901">
        <f>MONTH(ProductLine[[#This Row],[Date]])</f>
        <v>5</v>
      </c>
      <c r="F2901" t="s">
        <v>25</v>
      </c>
      <c r="G2901">
        <v>26</v>
      </c>
      <c r="H2901" s="3">
        <v>10.97</v>
      </c>
      <c r="I2901" s="3">
        <f>ProductLine[[#This Row],[Units]]*ProductLine[[#This Row],[Dollars]]</f>
        <v>285.22000000000003</v>
      </c>
    </row>
    <row r="2902" spans="1:9" x14ac:dyDescent="0.35">
      <c r="A2902">
        <v>2901</v>
      </c>
      <c r="B2902" t="s">
        <v>16</v>
      </c>
      <c r="C2902" s="2">
        <v>38528</v>
      </c>
      <c r="D2902">
        <f>YEAR(ProductLine[[#This Row],[Date]])</f>
        <v>2005</v>
      </c>
      <c r="E2902">
        <f>MONTH(ProductLine[[#This Row],[Date]])</f>
        <v>6</v>
      </c>
      <c r="F2902" t="s">
        <v>25</v>
      </c>
      <c r="G2902">
        <v>40</v>
      </c>
      <c r="H2902" s="3">
        <v>6.99</v>
      </c>
      <c r="I2902" s="3">
        <f>ProductLine[[#This Row],[Units]]*ProductLine[[#This Row],[Dollars]]</f>
        <v>279.60000000000002</v>
      </c>
    </row>
    <row r="2903" spans="1:9" x14ac:dyDescent="0.35">
      <c r="A2903">
        <v>2902</v>
      </c>
      <c r="B2903" t="s">
        <v>16</v>
      </c>
      <c r="C2903" s="2">
        <v>38523</v>
      </c>
      <c r="D2903">
        <f>YEAR(ProductLine[[#This Row],[Date]])</f>
        <v>2005</v>
      </c>
      <c r="E2903">
        <f>MONTH(ProductLine[[#This Row],[Date]])</f>
        <v>6</v>
      </c>
      <c r="F2903" t="s">
        <v>25</v>
      </c>
      <c r="G2903">
        <v>54</v>
      </c>
      <c r="H2903" s="3">
        <v>10.97</v>
      </c>
      <c r="I2903" s="3">
        <f>ProductLine[[#This Row],[Units]]*ProductLine[[#This Row],[Dollars]]</f>
        <v>592.38</v>
      </c>
    </row>
    <row r="2904" spans="1:9" x14ac:dyDescent="0.35">
      <c r="A2904">
        <v>2903</v>
      </c>
      <c r="B2904" t="s">
        <v>16</v>
      </c>
      <c r="C2904" s="2">
        <v>38511</v>
      </c>
      <c r="D2904">
        <f>YEAR(ProductLine[[#This Row],[Date]])</f>
        <v>2005</v>
      </c>
      <c r="E2904">
        <f>MONTH(ProductLine[[#This Row],[Date]])</f>
        <v>6</v>
      </c>
      <c r="F2904" t="s">
        <v>25</v>
      </c>
      <c r="G2904">
        <v>27</v>
      </c>
      <c r="H2904" s="3">
        <v>8.89</v>
      </c>
      <c r="I2904" s="3">
        <f>ProductLine[[#This Row],[Units]]*ProductLine[[#This Row],[Dollars]]</f>
        <v>240.03000000000003</v>
      </c>
    </row>
    <row r="2905" spans="1:9" x14ac:dyDescent="0.35">
      <c r="A2905">
        <v>2904</v>
      </c>
      <c r="B2905" t="s">
        <v>13</v>
      </c>
      <c r="C2905" s="2">
        <v>38551</v>
      </c>
      <c r="D2905">
        <f>YEAR(ProductLine[[#This Row],[Date]])</f>
        <v>2005</v>
      </c>
      <c r="E2905">
        <f>MONTH(ProductLine[[#This Row],[Date]])</f>
        <v>7</v>
      </c>
      <c r="F2905" t="s">
        <v>25</v>
      </c>
      <c r="G2905">
        <v>25</v>
      </c>
      <c r="H2905" s="3">
        <v>6.99</v>
      </c>
      <c r="I2905" s="3">
        <f>ProductLine[[#This Row],[Units]]*ProductLine[[#This Row],[Dollars]]</f>
        <v>174.75</v>
      </c>
    </row>
    <row r="2906" spans="1:9" x14ac:dyDescent="0.35">
      <c r="A2906">
        <v>2905</v>
      </c>
      <c r="B2906" t="s">
        <v>13</v>
      </c>
      <c r="C2906" s="2">
        <v>38587</v>
      </c>
      <c r="D2906">
        <f>YEAR(ProductLine[[#This Row],[Date]])</f>
        <v>2005</v>
      </c>
      <c r="E2906">
        <f>MONTH(ProductLine[[#This Row],[Date]])</f>
        <v>8</v>
      </c>
      <c r="F2906" t="s">
        <v>25</v>
      </c>
      <c r="G2906">
        <v>26</v>
      </c>
      <c r="H2906" s="3">
        <v>10.97</v>
      </c>
      <c r="I2906" s="3">
        <f>ProductLine[[#This Row],[Units]]*ProductLine[[#This Row],[Dollars]]</f>
        <v>285.22000000000003</v>
      </c>
    </row>
    <row r="2907" spans="1:9" x14ac:dyDescent="0.35">
      <c r="A2907">
        <v>2906</v>
      </c>
      <c r="B2907" t="s">
        <v>13</v>
      </c>
      <c r="C2907" s="2">
        <v>38558</v>
      </c>
      <c r="D2907">
        <f>YEAR(ProductLine[[#This Row],[Date]])</f>
        <v>2005</v>
      </c>
      <c r="E2907">
        <f>MONTH(ProductLine[[#This Row],[Date]])</f>
        <v>7</v>
      </c>
      <c r="F2907" t="s">
        <v>25</v>
      </c>
      <c r="G2907">
        <v>20</v>
      </c>
      <c r="H2907" s="3">
        <v>8.89</v>
      </c>
      <c r="I2907" s="3">
        <f>ProductLine[[#This Row],[Units]]*ProductLine[[#This Row],[Dollars]]</f>
        <v>177.8</v>
      </c>
    </row>
    <row r="2908" spans="1:9" x14ac:dyDescent="0.35">
      <c r="A2908">
        <v>2907</v>
      </c>
      <c r="B2908" t="s">
        <v>13</v>
      </c>
      <c r="C2908" s="2">
        <v>38580</v>
      </c>
      <c r="D2908">
        <f>YEAR(ProductLine[[#This Row],[Date]])</f>
        <v>2005</v>
      </c>
      <c r="E2908">
        <f>MONTH(ProductLine[[#This Row],[Date]])</f>
        <v>8</v>
      </c>
      <c r="F2908" t="s">
        <v>25</v>
      </c>
      <c r="G2908">
        <v>23</v>
      </c>
      <c r="H2908" s="3">
        <v>10.97</v>
      </c>
      <c r="I2908" s="3">
        <f>ProductLine[[#This Row],[Units]]*ProductLine[[#This Row],[Dollars]]</f>
        <v>252.31</v>
      </c>
    </row>
    <row r="2909" spans="1:9" x14ac:dyDescent="0.35">
      <c r="A2909">
        <v>2908</v>
      </c>
      <c r="B2909" t="s">
        <v>14</v>
      </c>
      <c r="C2909" s="2">
        <v>38555</v>
      </c>
      <c r="D2909">
        <f>YEAR(ProductLine[[#This Row],[Date]])</f>
        <v>2005</v>
      </c>
      <c r="E2909">
        <f>MONTH(ProductLine[[#This Row],[Date]])</f>
        <v>7</v>
      </c>
      <c r="F2909" t="s">
        <v>25</v>
      </c>
      <c r="G2909">
        <v>25</v>
      </c>
      <c r="H2909" s="3">
        <v>8.89</v>
      </c>
      <c r="I2909" s="3">
        <f>ProductLine[[#This Row],[Units]]*ProductLine[[#This Row],[Dollars]]</f>
        <v>222.25</v>
      </c>
    </row>
    <row r="2910" spans="1:9" x14ac:dyDescent="0.35">
      <c r="A2910">
        <v>2909</v>
      </c>
      <c r="B2910" t="s">
        <v>14</v>
      </c>
      <c r="C2910" s="2">
        <v>38583</v>
      </c>
      <c r="D2910">
        <f>YEAR(ProductLine[[#This Row],[Date]])</f>
        <v>2005</v>
      </c>
      <c r="E2910">
        <f>MONTH(ProductLine[[#This Row],[Date]])</f>
        <v>8</v>
      </c>
      <c r="F2910" t="s">
        <v>25</v>
      </c>
      <c r="G2910">
        <v>24</v>
      </c>
      <c r="H2910" s="3">
        <v>10.97</v>
      </c>
      <c r="I2910" s="3">
        <f>ProductLine[[#This Row],[Units]]*ProductLine[[#This Row],[Dollars]]</f>
        <v>263.28000000000003</v>
      </c>
    </row>
    <row r="2911" spans="1:9" x14ac:dyDescent="0.35">
      <c r="A2911">
        <v>2910</v>
      </c>
      <c r="B2911" t="s">
        <v>14</v>
      </c>
      <c r="C2911" s="2">
        <v>38577</v>
      </c>
      <c r="D2911">
        <f>YEAR(ProductLine[[#This Row],[Date]])</f>
        <v>2005</v>
      </c>
      <c r="E2911">
        <f>MONTH(ProductLine[[#This Row],[Date]])</f>
        <v>8</v>
      </c>
      <c r="F2911" t="s">
        <v>25</v>
      </c>
      <c r="G2911">
        <v>49</v>
      </c>
      <c r="H2911" s="3">
        <v>8.89</v>
      </c>
      <c r="I2911" s="3">
        <f>ProductLine[[#This Row],[Units]]*ProductLine[[#This Row],[Dollars]]</f>
        <v>435.61</v>
      </c>
    </row>
    <row r="2912" spans="1:9" x14ac:dyDescent="0.35">
      <c r="A2912">
        <v>2911</v>
      </c>
      <c r="B2912" t="s">
        <v>14</v>
      </c>
      <c r="C2912" s="2">
        <v>38613</v>
      </c>
      <c r="D2912">
        <f>YEAR(ProductLine[[#This Row],[Date]])</f>
        <v>2005</v>
      </c>
      <c r="E2912">
        <f>MONTH(ProductLine[[#This Row],[Date]])</f>
        <v>9</v>
      </c>
      <c r="F2912" t="s">
        <v>25</v>
      </c>
      <c r="G2912">
        <v>39</v>
      </c>
      <c r="H2912" s="3">
        <v>10.97</v>
      </c>
      <c r="I2912" s="3">
        <f>ProductLine[[#This Row],[Units]]*ProductLine[[#This Row],[Dollars]]</f>
        <v>427.83000000000004</v>
      </c>
    </row>
    <row r="2913" spans="1:9" x14ac:dyDescent="0.35">
      <c r="A2913">
        <v>2912</v>
      </c>
      <c r="B2913" t="s">
        <v>11</v>
      </c>
      <c r="C2913" s="2">
        <v>38632</v>
      </c>
      <c r="D2913">
        <f>YEAR(ProductLine[[#This Row],[Date]])</f>
        <v>2005</v>
      </c>
      <c r="E2913">
        <f>MONTH(ProductLine[[#This Row],[Date]])</f>
        <v>10</v>
      </c>
      <c r="F2913" t="s">
        <v>24</v>
      </c>
      <c r="G2913">
        <v>29</v>
      </c>
      <c r="H2913" s="3">
        <v>10.89</v>
      </c>
      <c r="I2913" s="3">
        <f>ProductLine[[#This Row],[Units]]*ProductLine[[#This Row],[Dollars]]</f>
        <v>315.81</v>
      </c>
    </row>
    <row r="2914" spans="1:9" x14ac:dyDescent="0.35">
      <c r="A2914">
        <v>2913</v>
      </c>
      <c r="B2914" t="s">
        <v>11</v>
      </c>
      <c r="C2914" s="2">
        <v>38676</v>
      </c>
      <c r="D2914">
        <f>YEAR(ProductLine[[#This Row],[Date]])</f>
        <v>2005</v>
      </c>
      <c r="E2914">
        <f>MONTH(ProductLine[[#This Row],[Date]])</f>
        <v>11</v>
      </c>
      <c r="F2914" t="s">
        <v>24</v>
      </c>
      <c r="G2914">
        <v>30</v>
      </c>
      <c r="H2914" s="3">
        <v>13.98</v>
      </c>
      <c r="I2914" s="3">
        <f>ProductLine[[#This Row],[Units]]*ProductLine[[#This Row],[Dollars]]</f>
        <v>419.40000000000003</v>
      </c>
    </row>
    <row r="2915" spans="1:9" x14ac:dyDescent="0.35">
      <c r="A2915">
        <v>2914</v>
      </c>
      <c r="B2915" t="s">
        <v>11</v>
      </c>
      <c r="C2915" s="2">
        <v>38693</v>
      </c>
      <c r="D2915">
        <f>YEAR(ProductLine[[#This Row],[Date]])</f>
        <v>2005</v>
      </c>
      <c r="E2915">
        <f>MONTH(ProductLine[[#This Row],[Date]])</f>
        <v>12</v>
      </c>
      <c r="F2915" t="s">
        <v>24</v>
      </c>
      <c r="G2915">
        <v>40</v>
      </c>
      <c r="H2915" s="3">
        <v>9.9700000000000006</v>
      </c>
      <c r="I2915" s="3">
        <f>ProductLine[[#This Row],[Units]]*ProductLine[[#This Row],[Dollars]]</f>
        <v>398.8</v>
      </c>
    </row>
    <row r="2916" spans="1:9" x14ac:dyDescent="0.35">
      <c r="A2916">
        <v>2915</v>
      </c>
      <c r="B2916" t="s">
        <v>17</v>
      </c>
      <c r="C2916" s="2">
        <v>38677</v>
      </c>
      <c r="D2916">
        <f>YEAR(ProductLine[[#This Row],[Date]])</f>
        <v>2005</v>
      </c>
      <c r="E2916">
        <f>MONTH(ProductLine[[#This Row],[Date]])</f>
        <v>11</v>
      </c>
      <c r="F2916" t="s">
        <v>25</v>
      </c>
      <c r="G2916">
        <v>50</v>
      </c>
      <c r="H2916" s="3">
        <v>6.99</v>
      </c>
      <c r="I2916" s="3">
        <f>ProductLine[[#This Row],[Units]]*ProductLine[[#This Row],[Dollars]]</f>
        <v>349.5</v>
      </c>
    </row>
    <row r="2917" spans="1:9" x14ac:dyDescent="0.35">
      <c r="A2917">
        <v>2916</v>
      </c>
      <c r="B2917" t="s">
        <v>14</v>
      </c>
      <c r="C2917" s="2">
        <v>38628</v>
      </c>
      <c r="D2917">
        <f>YEAR(ProductLine[[#This Row],[Date]])</f>
        <v>2005</v>
      </c>
      <c r="E2917">
        <f>MONTH(ProductLine[[#This Row],[Date]])</f>
        <v>10</v>
      </c>
      <c r="F2917" t="s">
        <v>25</v>
      </c>
      <c r="G2917">
        <v>45</v>
      </c>
      <c r="H2917" s="3">
        <v>10.97</v>
      </c>
      <c r="I2917" s="3">
        <f>ProductLine[[#This Row],[Units]]*ProductLine[[#This Row],[Dollars]]</f>
        <v>493.65000000000003</v>
      </c>
    </row>
    <row r="2918" spans="1:9" x14ac:dyDescent="0.35">
      <c r="A2918">
        <v>2917</v>
      </c>
      <c r="B2918" t="s">
        <v>12</v>
      </c>
      <c r="C2918" s="2">
        <v>38630</v>
      </c>
      <c r="D2918">
        <f>YEAR(ProductLine[[#This Row],[Date]])</f>
        <v>2005</v>
      </c>
      <c r="E2918">
        <f>MONTH(ProductLine[[#This Row],[Date]])</f>
        <v>10</v>
      </c>
      <c r="F2918" t="s">
        <v>25</v>
      </c>
      <c r="G2918">
        <v>39</v>
      </c>
      <c r="H2918" s="3">
        <v>8.89</v>
      </c>
      <c r="I2918" s="3">
        <f>ProductLine[[#This Row],[Units]]*ProductLine[[#This Row],[Dollars]]</f>
        <v>346.71000000000004</v>
      </c>
    </row>
    <row r="2919" spans="1:9" x14ac:dyDescent="0.35">
      <c r="A2919">
        <v>2918</v>
      </c>
      <c r="B2919" t="s">
        <v>17</v>
      </c>
      <c r="C2919" s="2">
        <v>38697</v>
      </c>
      <c r="D2919">
        <f>YEAR(ProductLine[[#This Row],[Date]])</f>
        <v>2005</v>
      </c>
      <c r="E2919">
        <f>MONTH(ProductLine[[#This Row],[Date]])</f>
        <v>12</v>
      </c>
      <c r="F2919" t="s">
        <v>25</v>
      </c>
      <c r="G2919">
        <v>27</v>
      </c>
      <c r="H2919" s="3">
        <v>8.89</v>
      </c>
      <c r="I2919" s="3">
        <f>ProductLine[[#This Row],[Units]]*ProductLine[[#This Row],[Dollars]]</f>
        <v>240.03000000000003</v>
      </c>
    </row>
    <row r="2920" spans="1:9" x14ac:dyDescent="0.35">
      <c r="A2920">
        <v>2919</v>
      </c>
      <c r="B2920" t="s">
        <v>14</v>
      </c>
      <c r="C2920" s="2">
        <v>38675</v>
      </c>
      <c r="D2920">
        <f>YEAR(ProductLine[[#This Row],[Date]])</f>
        <v>2005</v>
      </c>
      <c r="E2920">
        <f>MONTH(ProductLine[[#This Row],[Date]])</f>
        <v>11</v>
      </c>
      <c r="F2920" t="s">
        <v>25</v>
      </c>
      <c r="G2920">
        <v>25</v>
      </c>
      <c r="H2920" s="3">
        <v>8.89</v>
      </c>
      <c r="I2920" s="3">
        <f>ProductLine[[#This Row],[Units]]*ProductLine[[#This Row],[Dollars]]</f>
        <v>222.25</v>
      </c>
    </row>
    <row r="2921" spans="1:9" x14ac:dyDescent="0.35">
      <c r="A2921">
        <v>2920</v>
      </c>
      <c r="B2921" t="s">
        <v>12</v>
      </c>
      <c r="C2921" s="2">
        <v>38639</v>
      </c>
      <c r="D2921">
        <f>YEAR(ProductLine[[#This Row],[Date]])</f>
        <v>2005</v>
      </c>
      <c r="E2921">
        <f>MONTH(ProductLine[[#This Row],[Date]])</f>
        <v>10</v>
      </c>
      <c r="F2921" t="s">
        <v>25</v>
      </c>
      <c r="G2921">
        <v>28</v>
      </c>
      <c r="H2921" s="3">
        <v>8.89</v>
      </c>
      <c r="I2921" s="3">
        <f>ProductLine[[#This Row],[Units]]*ProductLine[[#This Row],[Dollars]]</f>
        <v>248.92000000000002</v>
      </c>
    </row>
    <row r="2922" spans="1:9" x14ac:dyDescent="0.35">
      <c r="A2922">
        <v>2921</v>
      </c>
      <c r="B2922" t="s">
        <v>9</v>
      </c>
      <c r="C2922" s="2">
        <v>38626</v>
      </c>
      <c r="D2922">
        <f>YEAR(ProductLine[[#This Row],[Date]])</f>
        <v>2005</v>
      </c>
      <c r="E2922">
        <f>MONTH(ProductLine[[#This Row],[Date]])</f>
        <v>10</v>
      </c>
      <c r="F2922" t="s">
        <v>27</v>
      </c>
      <c r="G2922">
        <v>20</v>
      </c>
      <c r="H2922" s="3">
        <v>6.99</v>
      </c>
      <c r="I2922" s="3">
        <f>ProductLine[[#This Row],[Units]]*ProductLine[[#This Row],[Dollars]]</f>
        <v>139.80000000000001</v>
      </c>
    </row>
    <row r="2923" spans="1:9" x14ac:dyDescent="0.35">
      <c r="A2923">
        <v>2922</v>
      </c>
      <c r="B2923" t="s">
        <v>9</v>
      </c>
      <c r="C2923" s="2">
        <v>38658</v>
      </c>
      <c r="D2923">
        <f>YEAR(ProductLine[[#This Row],[Date]])</f>
        <v>2005</v>
      </c>
      <c r="E2923">
        <f>MONTH(ProductLine[[#This Row],[Date]])</f>
        <v>11</v>
      </c>
      <c r="F2923" t="s">
        <v>27</v>
      </c>
      <c r="G2923">
        <v>28</v>
      </c>
      <c r="H2923" s="3">
        <v>10.97</v>
      </c>
      <c r="I2923" s="3">
        <f>ProductLine[[#This Row],[Units]]*ProductLine[[#This Row],[Dollars]]</f>
        <v>307.16000000000003</v>
      </c>
    </row>
    <row r="2924" spans="1:9" x14ac:dyDescent="0.35">
      <c r="A2924">
        <v>2923</v>
      </c>
      <c r="B2924" t="s">
        <v>9</v>
      </c>
      <c r="C2924" s="2">
        <v>38364</v>
      </c>
      <c r="D2924">
        <f>YEAR(ProductLine[[#This Row],[Date]])</f>
        <v>2005</v>
      </c>
      <c r="E2924">
        <f>MONTH(ProductLine[[#This Row],[Date]])</f>
        <v>1</v>
      </c>
      <c r="F2924" t="s">
        <v>27</v>
      </c>
      <c r="G2924">
        <v>30</v>
      </c>
      <c r="H2924" s="3">
        <v>8.89</v>
      </c>
      <c r="I2924" s="3">
        <f>ProductLine[[#This Row],[Units]]*ProductLine[[#This Row],[Dollars]]</f>
        <v>266.70000000000005</v>
      </c>
    </row>
    <row r="2925" spans="1:9" x14ac:dyDescent="0.35">
      <c r="A2925">
        <v>2924</v>
      </c>
      <c r="B2925" t="s">
        <v>9</v>
      </c>
      <c r="C2925" s="2">
        <v>38395</v>
      </c>
      <c r="D2925">
        <f>YEAR(ProductLine[[#This Row],[Date]])</f>
        <v>2005</v>
      </c>
      <c r="E2925">
        <f>MONTH(ProductLine[[#This Row],[Date]])</f>
        <v>2</v>
      </c>
      <c r="F2925" t="s">
        <v>27</v>
      </c>
      <c r="G2925">
        <v>28</v>
      </c>
      <c r="H2925" s="3">
        <v>10.97</v>
      </c>
      <c r="I2925" s="3">
        <f>ProductLine[[#This Row],[Units]]*ProductLine[[#This Row],[Dollars]]</f>
        <v>307.16000000000003</v>
      </c>
    </row>
    <row r="2926" spans="1:9" x14ac:dyDescent="0.35">
      <c r="A2926">
        <v>2925</v>
      </c>
      <c r="B2926" t="s">
        <v>13</v>
      </c>
      <c r="C2926" s="2">
        <v>38719</v>
      </c>
      <c r="D2926">
        <f>YEAR(ProductLine[[#This Row],[Date]])</f>
        <v>2006</v>
      </c>
      <c r="E2926">
        <f>MONTH(ProductLine[[#This Row],[Date]])</f>
        <v>1</v>
      </c>
      <c r="F2926" t="s">
        <v>26</v>
      </c>
      <c r="G2926">
        <v>22</v>
      </c>
      <c r="H2926" s="3">
        <v>8.98</v>
      </c>
      <c r="I2926" s="3">
        <f>ProductLine[[#This Row],[Units]]*ProductLine[[#This Row],[Dollars]]</f>
        <v>197.56</v>
      </c>
    </row>
    <row r="2927" spans="1:9" x14ac:dyDescent="0.35">
      <c r="A2927">
        <v>2926</v>
      </c>
      <c r="B2927" t="s">
        <v>13</v>
      </c>
      <c r="C2927" s="2">
        <v>38736</v>
      </c>
      <c r="D2927">
        <f>YEAR(ProductLine[[#This Row],[Date]])</f>
        <v>2006</v>
      </c>
      <c r="E2927">
        <f>MONTH(ProductLine[[#This Row],[Date]])</f>
        <v>1</v>
      </c>
      <c r="F2927" t="s">
        <v>26</v>
      </c>
      <c r="G2927">
        <v>34</v>
      </c>
      <c r="H2927" s="3">
        <v>7.98</v>
      </c>
      <c r="I2927" s="3">
        <f>ProductLine[[#This Row],[Units]]*ProductLine[[#This Row],[Dollars]]</f>
        <v>271.32</v>
      </c>
    </row>
    <row r="2928" spans="1:9" x14ac:dyDescent="0.35">
      <c r="A2928">
        <v>2927</v>
      </c>
      <c r="B2928" t="s">
        <v>13</v>
      </c>
      <c r="C2928" s="2">
        <v>38758</v>
      </c>
      <c r="D2928">
        <f>YEAR(ProductLine[[#This Row],[Date]])</f>
        <v>2006</v>
      </c>
      <c r="E2928">
        <f>MONTH(ProductLine[[#This Row],[Date]])</f>
        <v>2</v>
      </c>
      <c r="F2928" t="s">
        <v>26</v>
      </c>
      <c r="G2928">
        <v>10</v>
      </c>
      <c r="H2928" s="3">
        <v>7.98</v>
      </c>
      <c r="I2928" s="3">
        <f>ProductLine[[#This Row],[Units]]*ProductLine[[#This Row],[Dollars]]</f>
        <v>79.800000000000011</v>
      </c>
    </row>
    <row r="2929" spans="1:9" x14ac:dyDescent="0.35">
      <c r="A2929">
        <v>2928</v>
      </c>
      <c r="B2929" t="s">
        <v>13</v>
      </c>
      <c r="C2929" s="2">
        <v>38782</v>
      </c>
      <c r="D2929">
        <f>YEAR(ProductLine[[#This Row],[Date]])</f>
        <v>2006</v>
      </c>
      <c r="E2929">
        <f>MONTH(ProductLine[[#This Row],[Date]])</f>
        <v>3</v>
      </c>
      <c r="F2929" t="s">
        <v>26</v>
      </c>
      <c r="G2929">
        <v>30</v>
      </c>
      <c r="H2929" s="3">
        <v>8.98</v>
      </c>
      <c r="I2929" s="3">
        <f>ProductLine[[#This Row],[Units]]*ProductLine[[#This Row],[Dollars]]</f>
        <v>269.40000000000003</v>
      </c>
    </row>
    <row r="2930" spans="1:9" x14ac:dyDescent="0.35">
      <c r="A2930">
        <v>2929</v>
      </c>
      <c r="B2930" t="s">
        <v>11</v>
      </c>
      <c r="C2930" s="2">
        <v>38722</v>
      </c>
      <c r="D2930">
        <f>YEAR(ProductLine[[#This Row],[Date]])</f>
        <v>2006</v>
      </c>
      <c r="E2930">
        <f>MONTH(ProductLine[[#This Row],[Date]])</f>
        <v>1</v>
      </c>
      <c r="F2930" t="s">
        <v>23</v>
      </c>
      <c r="G2930">
        <v>26</v>
      </c>
      <c r="H2930" s="3">
        <v>5.47</v>
      </c>
      <c r="I2930" s="3">
        <f>ProductLine[[#This Row],[Units]]*ProductLine[[#This Row],[Dollars]]</f>
        <v>142.22</v>
      </c>
    </row>
    <row r="2931" spans="1:9" x14ac:dyDescent="0.35">
      <c r="A2931">
        <v>2930</v>
      </c>
      <c r="B2931" t="s">
        <v>11</v>
      </c>
      <c r="C2931" s="2">
        <v>38757</v>
      </c>
      <c r="D2931">
        <f>YEAR(ProductLine[[#This Row],[Date]])</f>
        <v>2006</v>
      </c>
      <c r="E2931">
        <f>MONTH(ProductLine[[#This Row],[Date]])</f>
        <v>2</v>
      </c>
      <c r="F2931" t="s">
        <v>23</v>
      </c>
      <c r="G2931">
        <v>30</v>
      </c>
      <c r="H2931" s="3">
        <v>8.4600000000000009</v>
      </c>
      <c r="I2931" s="3">
        <f>ProductLine[[#This Row],[Units]]*ProductLine[[#This Row],[Dollars]]</f>
        <v>253.8</v>
      </c>
    </row>
    <row r="2932" spans="1:9" x14ac:dyDescent="0.35">
      <c r="A2932">
        <v>2931</v>
      </c>
      <c r="B2932" t="s">
        <v>11</v>
      </c>
      <c r="C2932" s="2">
        <v>38783</v>
      </c>
      <c r="D2932">
        <f>YEAR(ProductLine[[#This Row],[Date]])</f>
        <v>2006</v>
      </c>
      <c r="E2932">
        <f>MONTH(ProductLine[[#This Row],[Date]])</f>
        <v>3</v>
      </c>
      <c r="F2932" t="s">
        <v>23</v>
      </c>
      <c r="G2932">
        <v>40</v>
      </c>
      <c r="H2932" s="3">
        <v>5.47</v>
      </c>
      <c r="I2932" s="3">
        <f>ProductLine[[#This Row],[Units]]*ProductLine[[#This Row],[Dollars]]</f>
        <v>218.79999999999998</v>
      </c>
    </row>
    <row r="2933" spans="1:9" x14ac:dyDescent="0.35">
      <c r="A2933">
        <v>2932</v>
      </c>
      <c r="B2933" t="s">
        <v>17</v>
      </c>
      <c r="C2933" s="2">
        <v>38720</v>
      </c>
      <c r="D2933">
        <f>YEAR(ProductLine[[#This Row],[Date]])</f>
        <v>2006</v>
      </c>
      <c r="E2933">
        <f>MONTH(ProductLine[[#This Row],[Date]])</f>
        <v>1</v>
      </c>
      <c r="F2933" t="s">
        <v>25</v>
      </c>
      <c r="G2933">
        <v>20</v>
      </c>
      <c r="H2933" s="3">
        <v>6.99</v>
      </c>
      <c r="I2933" s="3">
        <f>ProductLine[[#This Row],[Units]]*ProductLine[[#This Row],[Dollars]]</f>
        <v>139.80000000000001</v>
      </c>
    </row>
    <row r="2934" spans="1:9" x14ac:dyDescent="0.35">
      <c r="A2934">
        <v>2933</v>
      </c>
      <c r="B2934" t="s">
        <v>17</v>
      </c>
      <c r="C2934" s="2">
        <v>38757</v>
      </c>
      <c r="D2934">
        <f>YEAR(ProductLine[[#This Row],[Date]])</f>
        <v>2006</v>
      </c>
      <c r="E2934">
        <f>MONTH(ProductLine[[#This Row],[Date]])</f>
        <v>2</v>
      </c>
      <c r="F2934" t="s">
        <v>25</v>
      </c>
      <c r="G2934">
        <v>28</v>
      </c>
      <c r="H2934" s="3">
        <v>10.97</v>
      </c>
      <c r="I2934" s="3">
        <f>ProductLine[[#This Row],[Units]]*ProductLine[[#This Row],[Dollars]]</f>
        <v>307.16000000000003</v>
      </c>
    </row>
    <row r="2935" spans="1:9" x14ac:dyDescent="0.35">
      <c r="A2935">
        <v>2934</v>
      </c>
      <c r="B2935" t="s">
        <v>17</v>
      </c>
      <c r="C2935" s="2">
        <v>38805</v>
      </c>
      <c r="D2935">
        <f>YEAR(ProductLine[[#This Row],[Date]])</f>
        <v>2006</v>
      </c>
      <c r="E2935">
        <f>MONTH(ProductLine[[#This Row],[Date]])</f>
        <v>3</v>
      </c>
      <c r="F2935" t="s">
        <v>25</v>
      </c>
      <c r="G2935">
        <v>40</v>
      </c>
      <c r="H2935" s="3">
        <v>8.89</v>
      </c>
      <c r="I2935" s="3">
        <f>ProductLine[[#This Row],[Units]]*ProductLine[[#This Row],[Dollars]]</f>
        <v>355.6</v>
      </c>
    </row>
    <row r="2936" spans="1:9" x14ac:dyDescent="0.35">
      <c r="A2936">
        <v>2935</v>
      </c>
      <c r="B2936" t="s">
        <v>9</v>
      </c>
      <c r="C2936" s="2">
        <v>38887</v>
      </c>
      <c r="D2936">
        <f>YEAR(ProductLine[[#This Row],[Date]])</f>
        <v>2006</v>
      </c>
      <c r="E2936">
        <f>MONTH(ProductLine[[#This Row],[Date]])</f>
        <v>6</v>
      </c>
      <c r="F2936" t="s">
        <v>25</v>
      </c>
      <c r="G2936">
        <v>26</v>
      </c>
      <c r="H2936" s="3">
        <v>6.99</v>
      </c>
      <c r="I2936" s="3">
        <f>ProductLine[[#This Row],[Units]]*ProductLine[[#This Row],[Dollars]]</f>
        <v>181.74</v>
      </c>
    </row>
    <row r="2937" spans="1:9" x14ac:dyDescent="0.35">
      <c r="A2937">
        <v>2936</v>
      </c>
      <c r="B2937" t="s">
        <v>9</v>
      </c>
      <c r="C2937" s="2">
        <v>38854</v>
      </c>
      <c r="D2937">
        <f>YEAR(ProductLine[[#This Row],[Date]])</f>
        <v>2006</v>
      </c>
      <c r="E2937">
        <f>MONTH(ProductLine[[#This Row],[Date]])</f>
        <v>5</v>
      </c>
      <c r="F2937" t="s">
        <v>25</v>
      </c>
      <c r="G2937">
        <v>18</v>
      </c>
      <c r="H2937" s="3">
        <v>10.97</v>
      </c>
      <c r="I2937" s="3">
        <f>ProductLine[[#This Row],[Units]]*ProductLine[[#This Row],[Dollars]]</f>
        <v>197.46</v>
      </c>
    </row>
    <row r="2938" spans="1:9" x14ac:dyDescent="0.35">
      <c r="A2938">
        <v>2937</v>
      </c>
      <c r="B2938" t="s">
        <v>9</v>
      </c>
      <c r="C2938" s="2">
        <v>38857</v>
      </c>
      <c r="D2938">
        <f>YEAR(ProductLine[[#This Row],[Date]])</f>
        <v>2006</v>
      </c>
      <c r="E2938">
        <f>MONTH(ProductLine[[#This Row],[Date]])</f>
        <v>5</v>
      </c>
      <c r="F2938" t="s">
        <v>25</v>
      </c>
      <c r="G2938">
        <v>19</v>
      </c>
      <c r="H2938" s="3">
        <v>10.97</v>
      </c>
      <c r="I2938" s="3">
        <f>ProductLine[[#This Row],[Units]]*ProductLine[[#This Row],[Dollars]]</f>
        <v>208.43</v>
      </c>
    </row>
    <row r="2939" spans="1:9" x14ac:dyDescent="0.35">
      <c r="A2939">
        <v>2938</v>
      </c>
      <c r="B2939" t="s">
        <v>10</v>
      </c>
      <c r="C2939" s="2">
        <v>38825</v>
      </c>
      <c r="D2939">
        <f>YEAR(ProductLine[[#This Row],[Date]])</f>
        <v>2006</v>
      </c>
      <c r="E2939">
        <f>MONTH(ProductLine[[#This Row],[Date]])</f>
        <v>4</v>
      </c>
      <c r="F2939" t="s">
        <v>25</v>
      </c>
      <c r="G2939">
        <v>25</v>
      </c>
      <c r="H2939" s="3">
        <v>8.89</v>
      </c>
      <c r="I2939" s="3">
        <f>ProductLine[[#This Row],[Units]]*ProductLine[[#This Row],[Dollars]]</f>
        <v>222.25</v>
      </c>
    </row>
    <row r="2940" spans="1:9" x14ac:dyDescent="0.35">
      <c r="A2940">
        <v>2939</v>
      </c>
      <c r="B2940" t="s">
        <v>10</v>
      </c>
      <c r="C2940" s="2">
        <v>38856</v>
      </c>
      <c r="D2940">
        <f>YEAR(ProductLine[[#This Row],[Date]])</f>
        <v>2006</v>
      </c>
      <c r="E2940">
        <f>MONTH(ProductLine[[#This Row],[Date]])</f>
        <v>5</v>
      </c>
      <c r="F2940" t="s">
        <v>25</v>
      </c>
      <c r="G2940">
        <v>35</v>
      </c>
      <c r="H2940" s="3">
        <v>10.97</v>
      </c>
      <c r="I2940" s="3">
        <f>ProductLine[[#This Row],[Units]]*ProductLine[[#This Row],[Dollars]]</f>
        <v>383.95000000000005</v>
      </c>
    </row>
    <row r="2941" spans="1:9" x14ac:dyDescent="0.35">
      <c r="A2941">
        <v>2940</v>
      </c>
      <c r="B2941" t="s">
        <v>10</v>
      </c>
      <c r="C2941" s="2">
        <v>38897</v>
      </c>
      <c r="D2941">
        <f>YEAR(ProductLine[[#This Row],[Date]])</f>
        <v>2006</v>
      </c>
      <c r="E2941">
        <f>MONTH(ProductLine[[#This Row],[Date]])</f>
        <v>6</v>
      </c>
      <c r="F2941" t="s">
        <v>25</v>
      </c>
      <c r="G2941">
        <v>45</v>
      </c>
      <c r="H2941" s="3">
        <v>8.89</v>
      </c>
      <c r="I2941" s="3">
        <f>ProductLine[[#This Row],[Units]]*ProductLine[[#This Row],[Dollars]]</f>
        <v>400.05</v>
      </c>
    </row>
    <row r="2942" spans="1:9" x14ac:dyDescent="0.35">
      <c r="A2942">
        <v>2941</v>
      </c>
      <c r="B2942" t="s">
        <v>14</v>
      </c>
      <c r="C2942" s="2">
        <v>38908</v>
      </c>
      <c r="D2942">
        <f>YEAR(ProductLine[[#This Row],[Date]])</f>
        <v>2006</v>
      </c>
      <c r="E2942">
        <f>MONTH(ProductLine[[#This Row],[Date]])</f>
        <v>7</v>
      </c>
      <c r="F2942" t="s">
        <v>26</v>
      </c>
      <c r="G2942">
        <v>35</v>
      </c>
      <c r="H2942" s="3">
        <v>8.98</v>
      </c>
      <c r="I2942" s="3">
        <f>ProductLine[[#This Row],[Units]]*ProductLine[[#This Row],[Dollars]]</f>
        <v>314.3</v>
      </c>
    </row>
    <row r="2943" spans="1:9" x14ac:dyDescent="0.35">
      <c r="A2943">
        <v>2942</v>
      </c>
      <c r="B2943" t="s">
        <v>14</v>
      </c>
      <c r="C2943" s="2">
        <v>38944</v>
      </c>
      <c r="D2943">
        <f>YEAR(ProductLine[[#This Row],[Date]])</f>
        <v>2006</v>
      </c>
      <c r="E2943">
        <f>MONTH(ProductLine[[#This Row],[Date]])</f>
        <v>8</v>
      </c>
      <c r="F2943" t="s">
        <v>26</v>
      </c>
      <c r="G2943">
        <v>39</v>
      </c>
      <c r="H2943" s="3">
        <v>7.98</v>
      </c>
      <c r="I2943" s="3">
        <f>ProductLine[[#This Row],[Units]]*ProductLine[[#This Row],[Dollars]]</f>
        <v>311.22000000000003</v>
      </c>
    </row>
    <row r="2944" spans="1:9" x14ac:dyDescent="0.35">
      <c r="A2944">
        <v>2943</v>
      </c>
      <c r="B2944" t="s">
        <v>14</v>
      </c>
      <c r="C2944" s="2">
        <v>38948</v>
      </c>
      <c r="D2944">
        <f>YEAR(ProductLine[[#This Row],[Date]])</f>
        <v>2006</v>
      </c>
      <c r="E2944">
        <f>MONTH(ProductLine[[#This Row],[Date]])</f>
        <v>8</v>
      </c>
      <c r="F2944" t="s">
        <v>26</v>
      </c>
      <c r="G2944">
        <v>29</v>
      </c>
      <c r="H2944" s="3">
        <v>7.98</v>
      </c>
      <c r="I2944" s="3">
        <f>ProductLine[[#This Row],[Units]]*ProductLine[[#This Row],[Dollars]]</f>
        <v>231.42000000000002</v>
      </c>
    </row>
    <row r="2945" spans="1:9" x14ac:dyDescent="0.35">
      <c r="A2945">
        <v>2944</v>
      </c>
      <c r="B2945" t="s">
        <v>14</v>
      </c>
      <c r="C2945" s="2">
        <v>38980</v>
      </c>
      <c r="D2945">
        <f>YEAR(ProductLine[[#This Row],[Date]])</f>
        <v>2006</v>
      </c>
      <c r="E2945">
        <f>MONTH(ProductLine[[#This Row],[Date]])</f>
        <v>9</v>
      </c>
      <c r="F2945" t="s">
        <v>26</v>
      </c>
      <c r="G2945">
        <v>21</v>
      </c>
      <c r="H2945" s="3">
        <v>8.98</v>
      </c>
      <c r="I2945" s="3">
        <f>ProductLine[[#This Row],[Units]]*ProductLine[[#This Row],[Dollars]]</f>
        <v>188.58</v>
      </c>
    </row>
    <row r="2946" spans="1:9" x14ac:dyDescent="0.35">
      <c r="A2946">
        <v>2945</v>
      </c>
      <c r="B2946" t="s">
        <v>13</v>
      </c>
      <c r="C2946" s="2">
        <v>38907</v>
      </c>
      <c r="D2946">
        <f>YEAR(ProductLine[[#This Row],[Date]])</f>
        <v>2006</v>
      </c>
      <c r="E2946">
        <f>MONTH(ProductLine[[#This Row],[Date]])</f>
        <v>7</v>
      </c>
      <c r="F2946" t="s">
        <v>25</v>
      </c>
      <c r="G2946">
        <v>7</v>
      </c>
      <c r="H2946" s="3">
        <v>6.99</v>
      </c>
      <c r="I2946" s="3">
        <f>ProductLine[[#This Row],[Units]]*ProductLine[[#This Row],[Dollars]]</f>
        <v>48.93</v>
      </c>
    </row>
    <row r="2947" spans="1:9" x14ac:dyDescent="0.35">
      <c r="A2947">
        <v>2946</v>
      </c>
      <c r="B2947" t="s">
        <v>13</v>
      </c>
      <c r="C2947" s="2">
        <v>38966</v>
      </c>
      <c r="D2947">
        <f>YEAR(ProductLine[[#This Row],[Date]])</f>
        <v>2006</v>
      </c>
      <c r="E2947">
        <f>MONTH(ProductLine[[#This Row],[Date]])</f>
        <v>9</v>
      </c>
      <c r="F2947" t="s">
        <v>25</v>
      </c>
      <c r="G2947">
        <v>24</v>
      </c>
      <c r="H2947" s="3">
        <v>10.97</v>
      </c>
      <c r="I2947" s="3">
        <f>ProductLine[[#This Row],[Units]]*ProductLine[[#This Row],[Dollars]]</f>
        <v>263.28000000000003</v>
      </c>
    </row>
    <row r="2948" spans="1:9" x14ac:dyDescent="0.35">
      <c r="A2948">
        <v>2947</v>
      </c>
      <c r="B2948" t="s">
        <v>13</v>
      </c>
      <c r="C2948" s="2">
        <v>38955</v>
      </c>
      <c r="D2948">
        <f>YEAR(ProductLine[[#This Row],[Date]])</f>
        <v>2006</v>
      </c>
      <c r="E2948">
        <f>MONTH(ProductLine[[#This Row],[Date]])</f>
        <v>8</v>
      </c>
      <c r="F2948" t="s">
        <v>25</v>
      </c>
      <c r="G2948">
        <v>45</v>
      </c>
      <c r="H2948" s="3">
        <v>8.89</v>
      </c>
      <c r="I2948" s="3">
        <f>ProductLine[[#This Row],[Units]]*ProductLine[[#This Row],[Dollars]]</f>
        <v>400.05</v>
      </c>
    </row>
    <row r="2949" spans="1:9" x14ac:dyDescent="0.35">
      <c r="A2949">
        <v>2948</v>
      </c>
      <c r="B2949" t="s">
        <v>13</v>
      </c>
      <c r="C2949" s="2">
        <v>38954</v>
      </c>
      <c r="D2949">
        <f>YEAR(ProductLine[[#This Row],[Date]])</f>
        <v>2006</v>
      </c>
      <c r="E2949">
        <f>MONTH(ProductLine[[#This Row],[Date]])</f>
        <v>8</v>
      </c>
      <c r="F2949" t="s">
        <v>25</v>
      </c>
      <c r="G2949">
        <v>67</v>
      </c>
      <c r="H2949" s="3">
        <v>10.97</v>
      </c>
      <c r="I2949" s="3">
        <f>ProductLine[[#This Row],[Units]]*ProductLine[[#This Row],[Dollars]]</f>
        <v>734.99</v>
      </c>
    </row>
    <row r="2950" spans="1:9" x14ac:dyDescent="0.35">
      <c r="A2950">
        <v>2949</v>
      </c>
      <c r="B2950" t="s">
        <v>15</v>
      </c>
      <c r="C2950" s="2">
        <v>38966</v>
      </c>
      <c r="D2950">
        <f>YEAR(ProductLine[[#This Row],[Date]])</f>
        <v>2006</v>
      </c>
      <c r="E2950">
        <f>MONTH(ProductLine[[#This Row],[Date]])</f>
        <v>9</v>
      </c>
      <c r="F2950" t="s">
        <v>25</v>
      </c>
      <c r="G2950">
        <v>87</v>
      </c>
      <c r="H2950" s="3">
        <v>8.89</v>
      </c>
      <c r="I2950" s="3">
        <f>ProductLine[[#This Row],[Units]]*ProductLine[[#This Row],[Dollars]]</f>
        <v>773.43000000000006</v>
      </c>
    </row>
    <row r="2951" spans="1:9" x14ac:dyDescent="0.35">
      <c r="A2951">
        <v>2950</v>
      </c>
      <c r="B2951" t="s">
        <v>12</v>
      </c>
      <c r="C2951" s="2">
        <v>38960</v>
      </c>
      <c r="D2951">
        <f>YEAR(ProductLine[[#This Row],[Date]])</f>
        <v>2006</v>
      </c>
      <c r="E2951">
        <f>MONTH(ProductLine[[#This Row],[Date]])</f>
        <v>8</v>
      </c>
      <c r="F2951" t="s">
        <v>25</v>
      </c>
      <c r="G2951">
        <v>47</v>
      </c>
      <c r="H2951" s="3">
        <v>10.97</v>
      </c>
      <c r="I2951" s="3">
        <f>ProductLine[[#This Row],[Units]]*ProductLine[[#This Row],[Dollars]]</f>
        <v>515.59</v>
      </c>
    </row>
    <row r="2952" spans="1:9" x14ac:dyDescent="0.35">
      <c r="A2952">
        <v>2951</v>
      </c>
      <c r="B2952" t="s">
        <v>12</v>
      </c>
      <c r="C2952" s="2">
        <v>38926</v>
      </c>
      <c r="D2952">
        <f>YEAR(ProductLine[[#This Row],[Date]])</f>
        <v>2006</v>
      </c>
      <c r="E2952">
        <f>MONTH(ProductLine[[#This Row],[Date]])</f>
        <v>7</v>
      </c>
      <c r="F2952" t="s">
        <v>25</v>
      </c>
      <c r="G2952">
        <v>52</v>
      </c>
      <c r="H2952" s="3">
        <v>8.89</v>
      </c>
      <c r="I2952" s="3">
        <f>ProductLine[[#This Row],[Units]]*ProductLine[[#This Row],[Dollars]]</f>
        <v>462.28000000000003</v>
      </c>
    </row>
    <row r="2953" spans="1:9" x14ac:dyDescent="0.35">
      <c r="A2953">
        <v>2952</v>
      </c>
      <c r="B2953" t="s">
        <v>12</v>
      </c>
      <c r="C2953" s="2">
        <v>38954</v>
      </c>
      <c r="D2953">
        <f>YEAR(ProductLine[[#This Row],[Date]])</f>
        <v>2006</v>
      </c>
      <c r="E2953">
        <f>MONTH(ProductLine[[#This Row],[Date]])</f>
        <v>8</v>
      </c>
      <c r="F2953" t="s">
        <v>25</v>
      </c>
      <c r="G2953">
        <v>64</v>
      </c>
      <c r="H2953" s="3">
        <v>10.97</v>
      </c>
      <c r="I2953" s="3">
        <f>ProductLine[[#This Row],[Units]]*ProductLine[[#This Row],[Dollars]]</f>
        <v>702.08</v>
      </c>
    </row>
    <row r="2954" spans="1:9" x14ac:dyDescent="0.35">
      <c r="A2954">
        <v>2953</v>
      </c>
      <c r="B2954" t="s">
        <v>13</v>
      </c>
      <c r="C2954" s="2">
        <v>39002</v>
      </c>
      <c r="D2954">
        <f>YEAR(ProductLine[[#This Row],[Date]])</f>
        <v>2006</v>
      </c>
      <c r="E2954">
        <f>MONTH(ProductLine[[#This Row],[Date]])</f>
        <v>10</v>
      </c>
      <c r="F2954" t="s">
        <v>25</v>
      </c>
      <c r="G2954">
        <v>60</v>
      </c>
      <c r="H2954" s="3">
        <v>6.99</v>
      </c>
      <c r="I2954" s="3">
        <f>ProductLine[[#This Row],[Units]]*ProductLine[[#This Row],[Dollars]]</f>
        <v>419.40000000000003</v>
      </c>
    </row>
    <row r="2955" spans="1:9" x14ac:dyDescent="0.35">
      <c r="A2955">
        <v>2954</v>
      </c>
      <c r="B2955" t="s">
        <v>13</v>
      </c>
      <c r="C2955" s="2">
        <v>38971</v>
      </c>
      <c r="D2955">
        <f>YEAR(ProductLine[[#This Row],[Date]])</f>
        <v>2006</v>
      </c>
      <c r="E2955">
        <f>MONTH(ProductLine[[#This Row],[Date]])</f>
        <v>9</v>
      </c>
      <c r="F2955" t="s">
        <v>25</v>
      </c>
      <c r="G2955">
        <v>45</v>
      </c>
      <c r="H2955" s="3">
        <v>10.97</v>
      </c>
      <c r="I2955" s="3">
        <f>ProductLine[[#This Row],[Units]]*ProductLine[[#This Row],[Dollars]]</f>
        <v>493.65000000000003</v>
      </c>
    </row>
    <row r="2956" spans="1:9" x14ac:dyDescent="0.35">
      <c r="A2956">
        <v>2955</v>
      </c>
      <c r="B2956" t="s">
        <v>16</v>
      </c>
      <c r="C2956" s="2">
        <v>39010</v>
      </c>
      <c r="D2956">
        <f>YEAR(ProductLine[[#This Row],[Date]])</f>
        <v>2006</v>
      </c>
      <c r="E2956">
        <f>MONTH(ProductLine[[#This Row],[Date]])</f>
        <v>10</v>
      </c>
      <c r="F2956" t="s">
        <v>25</v>
      </c>
      <c r="G2956">
        <v>28</v>
      </c>
      <c r="H2956" s="3">
        <v>6.99</v>
      </c>
      <c r="I2956" s="3">
        <f>ProductLine[[#This Row],[Units]]*ProductLine[[#This Row],[Dollars]]</f>
        <v>195.72</v>
      </c>
    </row>
    <row r="2957" spans="1:9" x14ac:dyDescent="0.35">
      <c r="A2957">
        <v>2956</v>
      </c>
      <c r="B2957" t="s">
        <v>16</v>
      </c>
      <c r="C2957" s="2">
        <v>39050</v>
      </c>
      <c r="D2957">
        <f>YEAR(ProductLine[[#This Row],[Date]])</f>
        <v>2006</v>
      </c>
      <c r="E2957">
        <f>MONTH(ProductLine[[#This Row],[Date]])</f>
        <v>11</v>
      </c>
      <c r="F2957" t="s">
        <v>25</v>
      </c>
      <c r="G2957">
        <v>19</v>
      </c>
      <c r="H2957" s="3">
        <v>10.97</v>
      </c>
      <c r="I2957" s="3">
        <f>ProductLine[[#This Row],[Units]]*ProductLine[[#This Row],[Dollars]]</f>
        <v>208.43</v>
      </c>
    </row>
    <row r="2958" spans="1:9" x14ac:dyDescent="0.35">
      <c r="A2958" s="13">
        <v>2957</v>
      </c>
      <c r="B2958" s="13" t="s">
        <v>11</v>
      </c>
      <c r="C2958" s="14">
        <v>44936</v>
      </c>
      <c r="D2958" s="13">
        <v>2023</v>
      </c>
      <c r="E2958" s="13">
        <v>1</v>
      </c>
      <c r="F2958" s="13" t="s">
        <v>24</v>
      </c>
      <c r="G2958" s="13">
        <v>45</v>
      </c>
      <c r="H2958" s="15">
        <v>13.98</v>
      </c>
      <c r="I2958" s="15">
        <v>629.1</v>
      </c>
    </row>
    <row r="2959" spans="1:9" x14ac:dyDescent="0.35">
      <c r="A2959">
        <v>2958</v>
      </c>
      <c r="B2959" t="s">
        <v>11</v>
      </c>
      <c r="C2959" s="2">
        <v>44934</v>
      </c>
      <c r="D2959">
        <v>2023</v>
      </c>
      <c r="E2959">
        <v>1</v>
      </c>
      <c r="F2959" t="s">
        <v>23</v>
      </c>
      <c r="G2959">
        <v>21</v>
      </c>
      <c r="H2959" s="3">
        <v>5.47</v>
      </c>
      <c r="I2959" s="3">
        <v>114.86999999999999</v>
      </c>
    </row>
    <row r="2960" spans="1:9" x14ac:dyDescent="0.35">
      <c r="A2960">
        <v>2959</v>
      </c>
      <c r="B2960" t="s">
        <v>11</v>
      </c>
      <c r="C2960" s="2">
        <v>44951</v>
      </c>
      <c r="D2960">
        <v>2023</v>
      </c>
      <c r="E2960">
        <v>1</v>
      </c>
      <c r="F2960" t="s">
        <v>25</v>
      </c>
      <c r="G2960">
        <v>30</v>
      </c>
      <c r="H2960" s="3">
        <v>10.97</v>
      </c>
      <c r="I2960" s="3">
        <v>329.1</v>
      </c>
    </row>
    <row r="2961" spans="1:9" x14ac:dyDescent="0.35">
      <c r="A2961">
        <v>2960</v>
      </c>
      <c r="B2961" t="s">
        <v>11</v>
      </c>
      <c r="C2961" s="2">
        <v>44929</v>
      </c>
      <c r="D2961">
        <v>2023</v>
      </c>
      <c r="E2961">
        <v>1</v>
      </c>
      <c r="F2961" t="s">
        <v>27</v>
      </c>
      <c r="G2961">
        <v>43</v>
      </c>
      <c r="H2961" s="3">
        <v>9.98</v>
      </c>
      <c r="I2961" s="3">
        <v>429.14000000000004</v>
      </c>
    </row>
    <row r="2962" spans="1:9" x14ac:dyDescent="0.35">
      <c r="A2962">
        <v>2961</v>
      </c>
      <c r="B2962" t="s">
        <v>9</v>
      </c>
      <c r="C2962" s="2">
        <v>44951</v>
      </c>
      <c r="D2962">
        <v>2023</v>
      </c>
      <c r="E2962">
        <v>1</v>
      </c>
      <c r="F2962" t="s">
        <v>26</v>
      </c>
      <c r="G2962">
        <v>39</v>
      </c>
      <c r="H2962" s="3">
        <v>8.98</v>
      </c>
      <c r="I2962" s="3">
        <v>350.22</v>
      </c>
    </row>
    <row r="2963" spans="1:9" x14ac:dyDescent="0.35">
      <c r="A2963">
        <v>2962</v>
      </c>
      <c r="B2963" t="s">
        <v>9</v>
      </c>
      <c r="C2963" s="2">
        <v>44938</v>
      </c>
      <c r="D2963">
        <v>2023</v>
      </c>
      <c r="E2963">
        <v>1</v>
      </c>
      <c r="F2963" t="s">
        <v>23</v>
      </c>
      <c r="G2963">
        <v>12</v>
      </c>
      <c r="H2963" s="3">
        <v>5.47</v>
      </c>
      <c r="I2963" s="3">
        <v>65.64</v>
      </c>
    </row>
    <row r="2964" spans="1:9" x14ac:dyDescent="0.35">
      <c r="A2964">
        <v>2963</v>
      </c>
      <c r="B2964" t="s">
        <v>9</v>
      </c>
      <c r="C2964" s="2">
        <v>44946</v>
      </c>
      <c r="D2964">
        <v>2023</v>
      </c>
      <c r="E2964">
        <v>1</v>
      </c>
      <c r="F2964" t="s">
        <v>27</v>
      </c>
      <c r="G2964">
        <v>19</v>
      </c>
      <c r="H2964" s="3">
        <v>9.98</v>
      </c>
      <c r="I2964" s="3">
        <v>189.62</v>
      </c>
    </row>
    <row r="2965" spans="1:9" x14ac:dyDescent="0.35">
      <c r="A2965">
        <v>2964</v>
      </c>
      <c r="B2965" t="s">
        <v>17</v>
      </c>
      <c r="C2965" s="2">
        <v>44941</v>
      </c>
      <c r="D2965">
        <v>2023</v>
      </c>
      <c r="E2965">
        <v>1</v>
      </c>
      <c r="F2965" t="s">
        <v>26</v>
      </c>
      <c r="G2965">
        <v>45</v>
      </c>
      <c r="H2965" s="3">
        <v>8.98</v>
      </c>
      <c r="I2965" s="3">
        <v>404.1</v>
      </c>
    </row>
    <row r="2966" spans="1:9" x14ac:dyDescent="0.35">
      <c r="A2966">
        <v>2965</v>
      </c>
      <c r="B2966" t="s">
        <v>17</v>
      </c>
      <c r="C2966" s="2">
        <v>44933</v>
      </c>
      <c r="D2966">
        <v>2023</v>
      </c>
      <c r="E2966">
        <v>1</v>
      </c>
      <c r="F2966" t="s">
        <v>24</v>
      </c>
      <c r="G2966">
        <v>28</v>
      </c>
      <c r="H2966" s="3">
        <v>13.98</v>
      </c>
      <c r="I2966" s="3">
        <v>391.44</v>
      </c>
    </row>
    <row r="2967" spans="1:9" x14ac:dyDescent="0.35">
      <c r="A2967">
        <v>2966</v>
      </c>
      <c r="B2967" t="s">
        <v>17</v>
      </c>
      <c r="C2967" s="2">
        <v>44930</v>
      </c>
      <c r="D2967">
        <v>2023</v>
      </c>
      <c r="E2967">
        <v>1</v>
      </c>
      <c r="F2967" t="s">
        <v>24</v>
      </c>
      <c r="G2967">
        <v>21</v>
      </c>
      <c r="H2967" s="3">
        <v>13.98</v>
      </c>
      <c r="I2967" s="3">
        <v>293.58</v>
      </c>
    </row>
    <row r="2968" spans="1:9" x14ac:dyDescent="0.35">
      <c r="A2968">
        <v>2967</v>
      </c>
      <c r="B2968" t="s">
        <v>17</v>
      </c>
      <c r="C2968" s="2">
        <v>44945</v>
      </c>
      <c r="D2968">
        <v>2023</v>
      </c>
      <c r="E2968">
        <v>1</v>
      </c>
      <c r="F2968" t="s">
        <v>24</v>
      </c>
      <c r="G2968">
        <v>32</v>
      </c>
      <c r="H2968" s="3">
        <v>13.98</v>
      </c>
      <c r="I2968" s="3">
        <v>447.36</v>
      </c>
    </row>
    <row r="2969" spans="1:9" x14ac:dyDescent="0.35">
      <c r="A2969">
        <v>2968</v>
      </c>
      <c r="B2969" t="s">
        <v>13</v>
      </c>
      <c r="C2969" s="2">
        <v>44934</v>
      </c>
      <c r="D2969">
        <v>2023</v>
      </c>
      <c r="E2969">
        <v>1</v>
      </c>
      <c r="F2969" t="s">
        <v>24</v>
      </c>
      <c r="G2969">
        <v>19</v>
      </c>
      <c r="H2969" s="3">
        <v>13.98</v>
      </c>
      <c r="I2969" s="3">
        <v>265.62</v>
      </c>
    </row>
    <row r="2970" spans="1:9" x14ac:dyDescent="0.35">
      <c r="A2970">
        <v>2969</v>
      </c>
      <c r="B2970" t="s">
        <v>13</v>
      </c>
      <c r="C2970" s="2">
        <v>44941</v>
      </c>
      <c r="D2970">
        <v>2023</v>
      </c>
      <c r="E2970">
        <v>1</v>
      </c>
      <c r="F2970" t="s">
        <v>25</v>
      </c>
      <c r="G2970">
        <v>45</v>
      </c>
      <c r="H2970" s="3">
        <v>10.97</v>
      </c>
      <c r="I2970" s="3">
        <v>493.65000000000003</v>
      </c>
    </row>
    <row r="2971" spans="1:9" x14ac:dyDescent="0.35">
      <c r="A2971">
        <v>2970</v>
      </c>
      <c r="B2971" t="s">
        <v>18</v>
      </c>
      <c r="C2971" s="2">
        <v>44933</v>
      </c>
      <c r="D2971">
        <v>2023</v>
      </c>
      <c r="E2971">
        <v>1</v>
      </c>
      <c r="F2971" t="s">
        <v>23</v>
      </c>
      <c r="G2971">
        <v>19</v>
      </c>
      <c r="H2971" s="3">
        <v>5.47</v>
      </c>
      <c r="I2971" s="3">
        <v>103.92999999999999</v>
      </c>
    </row>
    <row r="2972" spans="1:9" x14ac:dyDescent="0.35">
      <c r="A2972">
        <v>2971</v>
      </c>
      <c r="B2972" t="s">
        <v>18</v>
      </c>
      <c r="C2972" s="2">
        <v>44929</v>
      </c>
      <c r="D2972">
        <v>2023</v>
      </c>
      <c r="E2972">
        <v>1</v>
      </c>
      <c r="F2972" t="s">
        <v>23</v>
      </c>
      <c r="G2972">
        <v>37</v>
      </c>
      <c r="H2972" s="3">
        <v>5.47</v>
      </c>
      <c r="I2972" s="3">
        <v>202.39</v>
      </c>
    </row>
    <row r="2973" spans="1:9" x14ac:dyDescent="0.35">
      <c r="A2973">
        <v>2972</v>
      </c>
      <c r="B2973" t="s">
        <v>21</v>
      </c>
      <c r="C2973" s="2">
        <v>44935</v>
      </c>
      <c r="D2973">
        <v>2023</v>
      </c>
      <c r="E2973">
        <v>1</v>
      </c>
      <c r="F2973" t="s">
        <v>27</v>
      </c>
      <c r="G2973">
        <v>22</v>
      </c>
      <c r="H2973" s="3">
        <v>9.98</v>
      </c>
      <c r="I2973" s="3">
        <v>219.56</v>
      </c>
    </row>
    <row r="2974" spans="1:9" x14ac:dyDescent="0.35">
      <c r="A2974">
        <v>2973</v>
      </c>
      <c r="B2974" t="s">
        <v>11</v>
      </c>
      <c r="C2974" s="2">
        <v>44985</v>
      </c>
      <c r="D2974">
        <v>2023</v>
      </c>
      <c r="E2974">
        <v>2</v>
      </c>
      <c r="F2974" t="s">
        <v>26</v>
      </c>
      <c r="G2974">
        <v>12</v>
      </c>
      <c r="H2974" s="3">
        <v>8.98</v>
      </c>
      <c r="I2974" s="3">
        <v>107.76</v>
      </c>
    </row>
    <row r="2975" spans="1:9" x14ac:dyDescent="0.35">
      <c r="A2975">
        <v>2974</v>
      </c>
      <c r="B2975" t="s">
        <v>11</v>
      </c>
      <c r="C2975" s="2">
        <v>44977</v>
      </c>
      <c r="D2975">
        <v>2023</v>
      </c>
      <c r="E2975">
        <v>2</v>
      </c>
      <c r="F2975" t="s">
        <v>27</v>
      </c>
      <c r="G2975">
        <v>10</v>
      </c>
      <c r="H2975" s="3">
        <v>9.98</v>
      </c>
      <c r="I2975" s="3">
        <v>99.800000000000011</v>
      </c>
    </row>
    <row r="2976" spans="1:9" x14ac:dyDescent="0.35">
      <c r="A2976">
        <v>2975</v>
      </c>
      <c r="B2976" t="s">
        <v>9</v>
      </c>
      <c r="C2976" s="2">
        <v>44971</v>
      </c>
      <c r="D2976">
        <v>2023</v>
      </c>
      <c r="E2976">
        <v>2</v>
      </c>
      <c r="F2976" t="s">
        <v>26</v>
      </c>
      <c r="G2976">
        <v>26</v>
      </c>
      <c r="H2976" s="3">
        <v>8.98</v>
      </c>
      <c r="I2976" s="3">
        <v>233.48000000000002</v>
      </c>
    </row>
    <row r="2977" spans="1:9" x14ac:dyDescent="0.35">
      <c r="A2977">
        <v>2976</v>
      </c>
      <c r="B2977" t="s">
        <v>9</v>
      </c>
      <c r="C2977" s="2">
        <v>44971</v>
      </c>
      <c r="D2977">
        <v>2023</v>
      </c>
      <c r="E2977">
        <v>2</v>
      </c>
      <c r="F2977" t="s">
        <v>24</v>
      </c>
      <c r="G2977">
        <v>26</v>
      </c>
      <c r="H2977" s="3">
        <v>13.98</v>
      </c>
      <c r="I2977" s="3">
        <v>363.48</v>
      </c>
    </row>
    <row r="2978" spans="1:9" x14ac:dyDescent="0.35">
      <c r="A2978">
        <v>2977</v>
      </c>
      <c r="B2978" t="s">
        <v>9</v>
      </c>
      <c r="C2978" s="2">
        <v>44973</v>
      </c>
      <c r="D2978">
        <v>2023</v>
      </c>
      <c r="E2978">
        <v>2</v>
      </c>
      <c r="F2978" t="s">
        <v>24</v>
      </c>
      <c r="G2978">
        <v>28</v>
      </c>
      <c r="H2978" s="3">
        <v>13.98</v>
      </c>
      <c r="I2978" s="3">
        <v>391.44</v>
      </c>
    </row>
    <row r="2979" spans="1:9" x14ac:dyDescent="0.35">
      <c r="A2979">
        <v>2978</v>
      </c>
      <c r="B2979" t="s">
        <v>9</v>
      </c>
      <c r="C2979" s="2">
        <v>44969</v>
      </c>
      <c r="D2979">
        <v>2023</v>
      </c>
      <c r="E2979">
        <v>2</v>
      </c>
      <c r="F2979" t="s">
        <v>25</v>
      </c>
      <c r="G2979">
        <v>12</v>
      </c>
      <c r="H2979" s="3">
        <v>10.97</v>
      </c>
      <c r="I2979" s="3">
        <v>131.64000000000001</v>
      </c>
    </row>
    <row r="2980" spans="1:9" x14ac:dyDescent="0.35">
      <c r="A2980">
        <v>2979</v>
      </c>
      <c r="B2980" t="s">
        <v>17</v>
      </c>
      <c r="C2980" s="2">
        <v>44974</v>
      </c>
      <c r="D2980">
        <v>2023</v>
      </c>
      <c r="E2980">
        <v>2</v>
      </c>
      <c r="F2980" t="s">
        <v>26</v>
      </c>
      <c r="G2980">
        <v>40</v>
      </c>
      <c r="H2980" s="3">
        <v>8.98</v>
      </c>
      <c r="I2980" s="3">
        <v>359.20000000000005</v>
      </c>
    </row>
    <row r="2981" spans="1:9" x14ac:dyDescent="0.35">
      <c r="A2981">
        <v>2980</v>
      </c>
      <c r="B2981" t="s">
        <v>17</v>
      </c>
      <c r="C2981" s="2">
        <v>44974</v>
      </c>
      <c r="D2981">
        <v>2023</v>
      </c>
      <c r="E2981">
        <v>2</v>
      </c>
      <c r="F2981" t="s">
        <v>25</v>
      </c>
      <c r="G2981">
        <v>43</v>
      </c>
      <c r="H2981" s="3">
        <v>10.97</v>
      </c>
      <c r="I2981" s="3">
        <v>471.71000000000004</v>
      </c>
    </row>
    <row r="2982" spans="1:9" x14ac:dyDescent="0.35">
      <c r="A2982">
        <v>2981</v>
      </c>
      <c r="B2982" t="s">
        <v>17</v>
      </c>
      <c r="C2982" s="2">
        <v>44985</v>
      </c>
      <c r="D2982">
        <v>2023</v>
      </c>
      <c r="E2982">
        <v>2</v>
      </c>
      <c r="F2982" t="s">
        <v>27</v>
      </c>
      <c r="G2982">
        <v>38</v>
      </c>
      <c r="H2982" s="3">
        <v>9.98</v>
      </c>
      <c r="I2982" s="3">
        <v>379.24</v>
      </c>
    </row>
    <row r="2983" spans="1:9" x14ac:dyDescent="0.35">
      <c r="A2983">
        <v>2982</v>
      </c>
      <c r="B2983" t="s">
        <v>13</v>
      </c>
      <c r="C2983" s="2">
        <v>44973</v>
      </c>
      <c r="D2983">
        <v>2023</v>
      </c>
      <c r="E2983">
        <v>2</v>
      </c>
      <c r="F2983" t="s">
        <v>26</v>
      </c>
      <c r="G2983">
        <v>19</v>
      </c>
      <c r="H2983" s="3">
        <v>8.98</v>
      </c>
      <c r="I2983" s="3">
        <v>170.62</v>
      </c>
    </row>
    <row r="2984" spans="1:9" x14ac:dyDescent="0.35">
      <c r="A2984">
        <v>2983</v>
      </c>
      <c r="B2984" t="s">
        <v>13</v>
      </c>
      <c r="C2984" s="2">
        <v>44975</v>
      </c>
      <c r="D2984">
        <v>2023</v>
      </c>
      <c r="E2984">
        <v>2</v>
      </c>
      <c r="F2984" t="s">
        <v>24</v>
      </c>
      <c r="G2984">
        <v>60</v>
      </c>
      <c r="H2984" s="3">
        <v>13.98</v>
      </c>
      <c r="I2984" s="3">
        <v>838.80000000000007</v>
      </c>
    </row>
    <row r="2985" spans="1:9" x14ac:dyDescent="0.35">
      <c r="A2985">
        <v>2984</v>
      </c>
      <c r="B2985" t="s">
        <v>13</v>
      </c>
      <c r="C2985" s="2">
        <v>44964</v>
      </c>
      <c r="D2985">
        <v>2023</v>
      </c>
      <c r="E2985">
        <v>2</v>
      </c>
      <c r="F2985" t="s">
        <v>23</v>
      </c>
      <c r="G2985">
        <v>39</v>
      </c>
      <c r="H2985" s="3">
        <v>5.47</v>
      </c>
      <c r="I2985" s="3">
        <v>213.32999999999998</v>
      </c>
    </row>
    <row r="2986" spans="1:9" x14ac:dyDescent="0.35">
      <c r="A2986">
        <v>2985</v>
      </c>
      <c r="B2986" t="s">
        <v>13</v>
      </c>
      <c r="C2986" s="2">
        <v>44961</v>
      </c>
      <c r="D2986">
        <v>2023</v>
      </c>
      <c r="E2986">
        <v>2</v>
      </c>
      <c r="F2986" t="s">
        <v>27</v>
      </c>
      <c r="G2986">
        <v>60</v>
      </c>
      <c r="H2986" s="3">
        <v>9.98</v>
      </c>
      <c r="I2986" s="3">
        <v>598.80000000000007</v>
      </c>
    </row>
    <row r="2987" spans="1:9" x14ac:dyDescent="0.35">
      <c r="A2987">
        <v>2986</v>
      </c>
      <c r="B2987" t="s">
        <v>18</v>
      </c>
      <c r="C2987" s="2">
        <v>44965</v>
      </c>
      <c r="D2987">
        <v>2023</v>
      </c>
      <c r="E2987">
        <v>2</v>
      </c>
      <c r="F2987" t="s">
        <v>26</v>
      </c>
      <c r="G2987">
        <v>56</v>
      </c>
      <c r="H2987" s="3">
        <v>8.98</v>
      </c>
      <c r="I2987" s="3">
        <v>502.88</v>
      </c>
    </row>
    <row r="2988" spans="1:9" x14ac:dyDescent="0.35">
      <c r="A2988">
        <v>2987</v>
      </c>
      <c r="B2988" t="s">
        <v>18</v>
      </c>
      <c r="C2988" s="2">
        <v>44970</v>
      </c>
      <c r="D2988">
        <v>2023</v>
      </c>
      <c r="E2988">
        <v>2</v>
      </c>
      <c r="F2988" t="s">
        <v>25</v>
      </c>
      <c r="G2988">
        <v>23</v>
      </c>
      <c r="H2988" s="3">
        <v>10.97</v>
      </c>
      <c r="I2988" s="3">
        <v>252.31</v>
      </c>
    </row>
    <row r="2989" spans="1:9" x14ac:dyDescent="0.35">
      <c r="A2989">
        <v>2988</v>
      </c>
      <c r="B2989" t="s">
        <v>11</v>
      </c>
      <c r="C2989" s="2">
        <v>44997</v>
      </c>
      <c r="D2989">
        <v>2023</v>
      </c>
      <c r="E2989">
        <v>3</v>
      </c>
      <c r="F2989" t="s">
        <v>24</v>
      </c>
      <c r="G2989">
        <v>24</v>
      </c>
      <c r="H2989" s="3">
        <v>13.98</v>
      </c>
      <c r="I2989" s="3">
        <v>335.52</v>
      </c>
    </row>
    <row r="2990" spans="1:9" x14ac:dyDescent="0.35">
      <c r="A2990">
        <v>2989</v>
      </c>
      <c r="B2990" t="s">
        <v>11</v>
      </c>
      <c r="C2990" s="2">
        <v>45009</v>
      </c>
      <c r="D2990">
        <v>2023</v>
      </c>
      <c r="E2990">
        <v>3</v>
      </c>
      <c r="F2990" t="s">
        <v>25</v>
      </c>
      <c r="G2990">
        <v>36</v>
      </c>
      <c r="H2990" s="3">
        <v>10.97</v>
      </c>
      <c r="I2990" s="3">
        <v>394.92</v>
      </c>
    </row>
    <row r="2991" spans="1:9" x14ac:dyDescent="0.35">
      <c r="A2991">
        <v>2990</v>
      </c>
      <c r="B2991" t="s">
        <v>11</v>
      </c>
      <c r="C2991" s="2">
        <v>45015</v>
      </c>
      <c r="D2991">
        <v>2023</v>
      </c>
      <c r="E2991">
        <v>3</v>
      </c>
      <c r="F2991" t="s">
        <v>27</v>
      </c>
      <c r="G2991">
        <v>31</v>
      </c>
      <c r="H2991" s="3">
        <v>9.98</v>
      </c>
      <c r="I2991" s="3">
        <v>309.38</v>
      </c>
    </row>
    <row r="2992" spans="1:9" x14ac:dyDescent="0.35">
      <c r="A2992">
        <v>2991</v>
      </c>
      <c r="B2992" t="s">
        <v>9</v>
      </c>
      <c r="C2992" s="2">
        <v>44995</v>
      </c>
      <c r="D2992">
        <v>2023</v>
      </c>
      <c r="E2992">
        <v>3</v>
      </c>
      <c r="F2992" t="s">
        <v>26</v>
      </c>
      <c r="G2992">
        <v>53</v>
      </c>
      <c r="H2992" s="3">
        <v>8.98</v>
      </c>
      <c r="I2992" s="3">
        <v>475.94</v>
      </c>
    </row>
    <row r="2993" spans="1:9" x14ac:dyDescent="0.35">
      <c r="A2993">
        <v>2992</v>
      </c>
      <c r="B2993" t="s">
        <v>9</v>
      </c>
      <c r="C2993" s="2">
        <v>45003</v>
      </c>
      <c r="D2993">
        <v>2023</v>
      </c>
      <c r="E2993">
        <v>3</v>
      </c>
      <c r="F2993" t="s">
        <v>23</v>
      </c>
      <c r="G2993">
        <v>58</v>
      </c>
      <c r="H2993" s="3">
        <v>5.47</v>
      </c>
      <c r="I2993" s="3">
        <v>317.26</v>
      </c>
    </row>
    <row r="2994" spans="1:9" x14ac:dyDescent="0.35">
      <c r="A2994">
        <v>2993</v>
      </c>
      <c r="B2994" t="s">
        <v>9</v>
      </c>
      <c r="C2994" s="2">
        <v>44997</v>
      </c>
      <c r="D2994">
        <v>2023</v>
      </c>
      <c r="E2994">
        <v>3</v>
      </c>
      <c r="F2994" t="s">
        <v>27</v>
      </c>
      <c r="G2994">
        <v>12</v>
      </c>
      <c r="H2994" s="3">
        <v>9.98</v>
      </c>
      <c r="I2994" s="3">
        <v>119.76</v>
      </c>
    </row>
    <row r="2995" spans="1:9" x14ac:dyDescent="0.35">
      <c r="A2995">
        <v>2994</v>
      </c>
      <c r="B2995" t="s">
        <v>17</v>
      </c>
      <c r="C2995" s="2">
        <v>45012</v>
      </c>
      <c r="D2995">
        <v>2023</v>
      </c>
      <c r="E2995">
        <v>3</v>
      </c>
      <c r="F2995" t="s">
        <v>26</v>
      </c>
      <c r="G2995">
        <v>15</v>
      </c>
      <c r="H2995" s="3">
        <v>8.98</v>
      </c>
      <c r="I2995" s="3">
        <v>134.70000000000002</v>
      </c>
    </row>
    <row r="2996" spans="1:9" x14ac:dyDescent="0.35">
      <c r="A2996">
        <v>2995</v>
      </c>
      <c r="B2996" t="s">
        <v>17</v>
      </c>
      <c r="C2996" s="2">
        <v>45015</v>
      </c>
      <c r="D2996">
        <v>2023</v>
      </c>
      <c r="E2996">
        <v>3</v>
      </c>
      <c r="F2996" t="s">
        <v>23</v>
      </c>
      <c r="G2996">
        <v>46</v>
      </c>
      <c r="H2996" s="3">
        <v>5.47</v>
      </c>
      <c r="I2996" s="3">
        <v>251.61999999999998</v>
      </c>
    </row>
    <row r="2997" spans="1:9" x14ac:dyDescent="0.35">
      <c r="A2997">
        <v>2996</v>
      </c>
      <c r="B2997" t="s">
        <v>17</v>
      </c>
      <c r="C2997" s="2">
        <v>44991</v>
      </c>
      <c r="D2997">
        <v>2023</v>
      </c>
      <c r="E2997">
        <v>3</v>
      </c>
      <c r="F2997" t="s">
        <v>25</v>
      </c>
      <c r="G2997">
        <v>23</v>
      </c>
      <c r="H2997" s="3">
        <v>10.97</v>
      </c>
      <c r="I2997" s="3">
        <v>252.31</v>
      </c>
    </row>
    <row r="2998" spans="1:9" x14ac:dyDescent="0.35">
      <c r="A2998">
        <v>2997</v>
      </c>
      <c r="B2998" t="s">
        <v>13</v>
      </c>
      <c r="C2998" s="2">
        <v>45015</v>
      </c>
      <c r="D2998">
        <v>2023</v>
      </c>
      <c r="E2998">
        <v>3</v>
      </c>
      <c r="F2998" t="s">
        <v>25</v>
      </c>
      <c r="G2998">
        <v>46</v>
      </c>
      <c r="H2998" s="3">
        <v>10.97</v>
      </c>
      <c r="I2998" s="3">
        <v>504.62</v>
      </c>
    </row>
    <row r="2999" spans="1:9" x14ac:dyDescent="0.35">
      <c r="A2999">
        <v>2998</v>
      </c>
      <c r="B2999" t="s">
        <v>18</v>
      </c>
      <c r="C2999" s="2">
        <v>44987</v>
      </c>
      <c r="D2999">
        <v>2023</v>
      </c>
      <c r="E2999">
        <v>3</v>
      </c>
      <c r="F2999" t="s">
        <v>24</v>
      </c>
      <c r="G2999">
        <v>42</v>
      </c>
      <c r="H2999" s="3">
        <v>13.98</v>
      </c>
      <c r="I2999" s="3">
        <v>587.16</v>
      </c>
    </row>
    <row r="3000" spans="1:9" x14ac:dyDescent="0.35">
      <c r="A3000">
        <v>2999</v>
      </c>
      <c r="B3000" t="s">
        <v>18</v>
      </c>
      <c r="C3000" s="2">
        <v>45015</v>
      </c>
      <c r="D3000">
        <v>2023</v>
      </c>
      <c r="E3000">
        <v>3</v>
      </c>
      <c r="F3000" t="s">
        <v>24</v>
      </c>
      <c r="G3000">
        <v>37</v>
      </c>
      <c r="H3000" s="3">
        <v>13.98</v>
      </c>
      <c r="I3000" s="3">
        <v>517.26</v>
      </c>
    </row>
    <row r="3001" spans="1:9" x14ac:dyDescent="0.35">
      <c r="A3001">
        <v>3000</v>
      </c>
      <c r="B3001" t="s">
        <v>18</v>
      </c>
      <c r="C3001" s="2">
        <v>44996</v>
      </c>
      <c r="D3001">
        <v>2023</v>
      </c>
      <c r="E3001">
        <v>3</v>
      </c>
      <c r="F3001" t="s">
        <v>25</v>
      </c>
      <c r="G3001">
        <v>29</v>
      </c>
      <c r="H3001" s="3">
        <v>10.97</v>
      </c>
      <c r="I3001" s="3">
        <v>318.13</v>
      </c>
    </row>
    <row r="3002" spans="1:9" x14ac:dyDescent="0.35">
      <c r="A3002">
        <v>3001</v>
      </c>
      <c r="B3002" t="s">
        <v>18</v>
      </c>
      <c r="C3002" s="2">
        <v>44991</v>
      </c>
      <c r="D3002">
        <v>2023</v>
      </c>
      <c r="E3002">
        <v>3</v>
      </c>
      <c r="F3002" t="s">
        <v>27</v>
      </c>
      <c r="G3002">
        <v>34</v>
      </c>
      <c r="H3002" s="3">
        <v>9.98</v>
      </c>
      <c r="I3002" s="3">
        <v>339.32</v>
      </c>
    </row>
    <row r="3003" spans="1:9" x14ac:dyDescent="0.35">
      <c r="A3003">
        <v>3002</v>
      </c>
      <c r="B3003" t="s">
        <v>21</v>
      </c>
      <c r="C3003" s="2">
        <v>44995</v>
      </c>
      <c r="D3003">
        <v>2023</v>
      </c>
      <c r="E3003">
        <v>3</v>
      </c>
      <c r="F3003" t="s">
        <v>26</v>
      </c>
      <c r="G3003">
        <v>57</v>
      </c>
      <c r="H3003" s="3">
        <v>8.98</v>
      </c>
      <c r="I3003" s="3">
        <v>511.86</v>
      </c>
    </row>
    <row r="3004" spans="1:9" x14ac:dyDescent="0.35">
      <c r="A3004">
        <v>3003</v>
      </c>
      <c r="B3004" t="s">
        <v>21</v>
      </c>
      <c r="C3004" s="2">
        <v>44986</v>
      </c>
      <c r="D3004">
        <v>2023</v>
      </c>
      <c r="E3004">
        <v>3</v>
      </c>
      <c r="F3004" t="s">
        <v>24</v>
      </c>
      <c r="G3004">
        <v>48</v>
      </c>
      <c r="H3004" s="3">
        <v>13.98</v>
      </c>
      <c r="I3004" s="3">
        <v>671.04</v>
      </c>
    </row>
    <row r="3005" spans="1:9" x14ac:dyDescent="0.35">
      <c r="A3005">
        <v>3004</v>
      </c>
      <c r="B3005" t="s">
        <v>21</v>
      </c>
      <c r="C3005" s="2">
        <v>45000</v>
      </c>
      <c r="D3005">
        <v>2023</v>
      </c>
      <c r="E3005">
        <v>3</v>
      </c>
      <c r="F3005" t="s">
        <v>23</v>
      </c>
      <c r="G3005">
        <v>26</v>
      </c>
      <c r="H3005" s="3">
        <v>5.47</v>
      </c>
      <c r="I3005" s="3">
        <v>142.22</v>
      </c>
    </row>
    <row r="3006" spans="1:9" x14ac:dyDescent="0.35">
      <c r="A3006">
        <v>3005</v>
      </c>
      <c r="B3006" t="s">
        <v>21</v>
      </c>
      <c r="C3006" s="2">
        <v>45001</v>
      </c>
      <c r="D3006">
        <v>2023</v>
      </c>
      <c r="E3006">
        <v>3</v>
      </c>
      <c r="F3006" t="s">
        <v>23</v>
      </c>
      <c r="G3006">
        <v>38</v>
      </c>
      <c r="H3006" s="3">
        <v>5.47</v>
      </c>
      <c r="I3006" s="3">
        <v>207.85999999999999</v>
      </c>
    </row>
    <row r="3007" spans="1:9" x14ac:dyDescent="0.35">
      <c r="A3007">
        <v>3006</v>
      </c>
      <c r="B3007" t="s">
        <v>21</v>
      </c>
      <c r="C3007" s="2">
        <v>45006</v>
      </c>
      <c r="D3007">
        <v>2023</v>
      </c>
      <c r="E3007">
        <v>3</v>
      </c>
      <c r="F3007" t="s">
        <v>23</v>
      </c>
      <c r="G3007">
        <v>14</v>
      </c>
      <c r="H3007" s="3">
        <v>5.47</v>
      </c>
      <c r="I3007" s="3">
        <v>76.58</v>
      </c>
    </row>
    <row r="3008" spans="1:9" x14ac:dyDescent="0.35">
      <c r="A3008">
        <v>3007</v>
      </c>
      <c r="B3008" t="s">
        <v>21</v>
      </c>
      <c r="C3008" s="2">
        <v>44989</v>
      </c>
      <c r="D3008">
        <v>2023</v>
      </c>
      <c r="E3008">
        <v>3</v>
      </c>
      <c r="F3008" t="s">
        <v>25</v>
      </c>
      <c r="G3008">
        <v>56</v>
      </c>
      <c r="H3008" s="3">
        <v>10.97</v>
      </c>
      <c r="I3008" s="3">
        <v>614.32000000000005</v>
      </c>
    </row>
    <row r="3009" spans="1:9" x14ac:dyDescent="0.35">
      <c r="A3009">
        <v>3008</v>
      </c>
      <c r="B3009" t="s">
        <v>11</v>
      </c>
      <c r="C3009" s="2">
        <v>45042</v>
      </c>
      <c r="D3009">
        <v>2023</v>
      </c>
      <c r="E3009">
        <v>4</v>
      </c>
      <c r="F3009" t="s">
        <v>23</v>
      </c>
      <c r="G3009">
        <v>38</v>
      </c>
      <c r="H3009" s="3">
        <v>5.47</v>
      </c>
      <c r="I3009" s="3">
        <v>207.85999999999999</v>
      </c>
    </row>
    <row r="3010" spans="1:9" x14ac:dyDescent="0.35">
      <c r="A3010">
        <v>3009</v>
      </c>
      <c r="B3010" t="s">
        <v>11</v>
      </c>
      <c r="C3010" s="2">
        <v>45018</v>
      </c>
      <c r="D3010">
        <v>2023</v>
      </c>
      <c r="E3010">
        <v>4</v>
      </c>
      <c r="F3010" t="s">
        <v>25</v>
      </c>
      <c r="G3010">
        <v>54</v>
      </c>
      <c r="H3010" s="3">
        <v>10.97</v>
      </c>
      <c r="I3010" s="3">
        <v>592.38</v>
      </c>
    </row>
    <row r="3011" spans="1:9" x14ac:dyDescent="0.35">
      <c r="A3011">
        <v>3010</v>
      </c>
      <c r="B3011" t="s">
        <v>11</v>
      </c>
      <c r="C3011" s="2">
        <v>45032</v>
      </c>
      <c r="D3011">
        <v>2023</v>
      </c>
      <c r="E3011">
        <v>4</v>
      </c>
      <c r="F3011" t="s">
        <v>27</v>
      </c>
      <c r="G3011">
        <v>58</v>
      </c>
      <c r="H3011" s="3">
        <v>9.98</v>
      </c>
      <c r="I3011" s="3">
        <v>578.84</v>
      </c>
    </row>
    <row r="3012" spans="1:9" x14ac:dyDescent="0.35">
      <c r="A3012">
        <v>3011</v>
      </c>
      <c r="B3012" t="s">
        <v>9</v>
      </c>
      <c r="C3012" s="2">
        <v>45041</v>
      </c>
      <c r="D3012">
        <v>2023</v>
      </c>
      <c r="E3012">
        <v>4</v>
      </c>
      <c r="F3012" t="s">
        <v>26</v>
      </c>
      <c r="G3012">
        <v>15</v>
      </c>
      <c r="H3012" s="3">
        <v>8.98</v>
      </c>
      <c r="I3012" s="3">
        <v>134.70000000000002</v>
      </c>
    </row>
    <row r="3013" spans="1:9" x14ac:dyDescent="0.35">
      <c r="A3013">
        <v>3012</v>
      </c>
      <c r="B3013" t="s">
        <v>9</v>
      </c>
      <c r="C3013" s="2">
        <v>45022</v>
      </c>
      <c r="D3013">
        <v>2023</v>
      </c>
      <c r="E3013">
        <v>4</v>
      </c>
      <c r="F3013" t="s">
        <v>24</v>
      </c>
      <c r="G3013">
        <v>17</v>
      </c>
      <c r="H3013" s="3">
        <v>13.98</v>
      </c>
      <c r="I3013" s="3">
        <v>237.66</v>
      </c>
    </row>
    <row r="3014" spans="1:9" x14ac:dyDescent="0.35">
      <c r="A3014">
        <v>3013</v>
      </c>
      <c r="B3014" t="s">
        <v>9</v>
      </c>
      <c r="C3014" s="2">
        <v>45017</v>
      </c>
      <c r="D3014">
        <v>2023</v>
      </c>
      <c r="E3014">
        <v>4</v>
      </c>
      <c r="F3014" t="s">
        <v>24</v>
      </c>
      <c r="G3014">
        <v>31</v>
      </c>
      <c r="H3014" s="3">
        <v>13.98</v>
      </c>
      <c r="I3014" s="3">
        <v>433.38</v>
      </c>
    </row>
    <row r="3015" spans="1:9" x14ac:dyDescent="0.35">
      <c r="A3015">
        <v>3014</v>
      </c>
      <c r="B3015" t="s">
        <v>9</v>
      </c>
      <c r="C3015" s="2">
        <v>45021</v>
      </c>
      <c r="D3015">
        <v>2023</v>
      </c>
      <c r="E3015">
        <v>4</v>
      </c>
      <c r="F3015" t="s">
        <v>23</v>
      </c>
      <c r="G3015">
        <v>28</v>
      </c>
      <c r="H3015" s="3">
        <v>5.47</v>
      </c>
      <c r="I3015" s="3">
        <v>153.16</v>
      </c>
    </row>
    <row r="3016" spans="1:9" x14ac:dyDescent="0.35">
      <c r="A3016">
        <v>3015</v>
      </c>
      <c r="B3016" t="s">
        <v>17</v>
      </c>
      <c r="C3016" s="2">
        <v>45045</v>
      </c>
      <c r="D3016">
        <v>2023</v>
      </c>
      <c r="E3016">
        <v>4</v>
      </c>
      <c r="F3016" t="s">
        <v>26</v>
      </c>
      <c r="G3016">
        <v>54</v>
      </c>
      <c r="H3016" s="3">
        <v>8.98</v>
      </c>
      <c r="I3016" s="3">
        <v>484.92</v>
      </c>
    </row>
    <row r="3017" spans="1:9" x14ac:dyDescent="0.35">
      <c r="A3017">
        <v>3016</v>
      </c>
      <c r="B3017" t="s">
        <v>17</v>
      </c>
      <c r="C3017" s="2">
        <v>45027</v>
      </c>
      <c r="D3017">
        <v>2023</v>
      </c>
      <c r="E3017">
        <v>4</v>
      </c>
      <c r="F3017" t="s">
        <v>23</v>
      </c>
      <c r="G3017">
        <v>13</v>
      </c>
      <c r="H3017" s="3">
        <v>5.47</v>
      </c>
      <c r="I3017" s="3">
        <v>71.11</v>
      </c>
    </row>
    <row r="3018" spans="1:9" x14ac:dyDescent="0.35">
      <c r="A3018">
        <v>3017</v>
      </c>
      <c r="B3018" t="s">
        <v>17</v>
      </c>
      <c r="C3018" s="2">
        <v>45044</v>
      </c>
      <c r="D3018">
        <v>2023</v>
      </c>
      <c r="E3018">
        <v>4</v>
      </c>
      <c r="F3018" t="s">
        <v>25</v>
      </c>
      <c r="G3018">
        <v>12</v>
      </c>
      <c r="H3018" s="3">
        <v>10.97</v>
      </c>
      <c r="I3018" s="3">
        <v>131.64000000000001</v>
      </c>
    </row>
    <row r="3019" spans="1:9" x14ac:dyDescent="0.35">
      <c r="A3019">
        <v>3018</v>
      </c>
      <c r="B3019" t="s">
        <v>17</v>
      </c>
      <c r="C3019" s="2">
        <v>45027</v>
      </c>
      <c r="D3019">
        <v>2023</v>
      </c>
      <c r="E3019">
        <v>4</v>
      </c>
      <c r="F3019" t="s">
        <v>27</v>
      </c>
      <c r="G3019">
        <v>45</v>
      </c>
      <c r="H3019" s="3">
        <v>9.98</v>
      </c>
      <c r="I3019" s="3">
        <v>449.1</v>
      </c>
    </row>
    <row r="3020" spans="1:9" x14ac:dyDescent="0.35">
      <c r="A3020">
        <v>3019</v>
      </c>
      <c r="B3020" t="s">
        <v>13</v>
      </c>
      <c r="C3020" s="2">
        <v>45022</v>
      </c>
      <c r="D3020">
        <v>2023</v>
      </c>
      <c r="E3020">
        <v>4</v>
      </c>
      <c r="F3020" t="s">
        <v>26</v>
      </c>
      <c r="G3020">
        <v>59</v>
      </c>
      <c r="H3020" s="3">
        <v>8.98</v>
      </c>
      <c r="I3020" s="3">
        <v>529.82000000000005</v>
      </c>
    </row>
    <row r="3021" spans="1:9" x14ac:dyDescent="0.35">
      <c r="A3021">
        <v>3020</v>
      </c>
      <c r="B3021" t="s">
        <v>13</v>
      </c>
      <c r="C3021" s="2">
        <v>45032</v>
      </c>
      <c r="D3021">
        <v>2023</v>
      </c>
      <c r="E3021">
        <v>4</v>
      </c>
      <c r="F3021" t="s">
        <v>24</v>
      </c>
      <c r="G3021">
        <v>30</v>
      </c>
      <c r="H3021" s="3">
        <v>13.98</v>
      </c>
      <c r="I3021" s="3">
        <v>419.40000000000003</v>
      </c>
    </row>
    <row r="3022" spans="1:9" x14ac:dyDescent="0.35">
      <c r="A3022">
        <v>3021</v>
      </c>
      <c r="B3022" t="s">
        <v>13</v>
      </c>
      <c r="C3022" s="2">
        <v>45042</v>
      </c>
      <c r="D3022">
        <v>2023</v>
      </c>
      <c r="E3022">
        <v>4</v>
      </c>
      <c r="F3022" t="s">
        <v>25</v>
      </c>
      <c r="G3022">
        <v>13</v>
      </c>
      <c r="H3022" s="3">
        <v>10.97</v>
      </c>
      <c r="I3022" s="3">
        <v>142.61000000000001</v>
      </c>
    </row>
    <row r="3023" spans="1:9" x14ac:dyDescent="0.35">
      <c r="A3023">
        <v>3022</v>
      </c>
      <c r="B3023" t="s">
        <v>13</v>
      </c>
      <c r="C3023" s="2">
        <v>45025</v>
      </c>
      <c r="D3023">
        <v>2023</v>
      </c>
      <c r="E3023">
        <v>4</v>
      </c>
      <c r="F3023" t="s">
        <v>27</v>
      </c>
      <c r="G3023">
        <v>39</v>
      </c>
      <c r="H3023" s="3">
        <v>9.98</v>
      </c>
      <c r="I3023" s="3">
        <v>389.22</v>
      </c>
    </row>
    <row r="3024" spans="1:9" x14ac:dyDescent="0.35">
      <c r="A3024">
        <v>3023</v>
      </c>
      <c r="B3024" t="s">
        <v>18</v>
      </c>
      <c r="C3024" s="2">
        <v>45038</v>
      </c>
      <c r="D3024">
        <v>2023</v>
      </c>
      <c r="E3024">
        <v>4</v>
      </c>
      <c r="F3024" t="s">
        <v>23</v>
      </c>
      <c r="G3024">
        <v>14</v>
      </c>
      <c r="H3024" s="3">
        <v>5.47</v>
      </c>
      <c r="I3024" s="3">
        <v>76.58</v>
      </c>
    </row>
    <row r="3025" spans="1:9" x14ac:dyDescent="0.35">
      <c r="A3025">
        <v>3024</v>
      </c>
      <c r="B3025" t="s">
        <v>18</v>
      </c>
      <c r="C3025" s="2">
        <v>45029</v>
      </c>
      <c r="D3025">
        <v>2023</v>
      </c>
      <c r="E3025">
        <v>4</v>
      </c>
      <c r="F3025" t="s">
        <v>25</v>
      </c>
      <c r="G3025">
        <v>22</v>
      </c>
      <c r="H3025" s="3">
        <v>10.97</v>
      </c>
      <c r="I3025" s="3">
        <v>241.34</v>
      </c>
    </row>
    <row r="3026" spans="1:9" x14ac:dyDescent="0.35">
      <c r="A3026">
        <v>3025</v>
      </c>
      <c r="B3026" t="s">
        <v>18</v>
      </c>
      <c r="C3026" s="2">
        <v>45026</v>
      </c>
      <c r="D3026">
        <v>2023</v>
      </c>
      <c r="E3026">
        <v>4</v>
      </c>
      <c r="F3026" t="s">
        <v>27</v>
      </c>
      <c r="G3026">
        <v>42</v>
      </c>
      <c r="H3026" s="3">
        <v>9.98</v>
      </c>
      <c r="I3026" s="3">
        <v>419.16</v>
      </c>
    </row>
    <row r="3027" spans="1:9" x14ac:dyDescent="0.35">
      <c r="A3027">
        <v>3026</v>
      </c>
      <c r="B3027" t="s">
        <v>18</v>
      </c>
      <c r="C3027" s="2">
        <v>45043</v>
      </c>
      <c r="D3027">
        <v>2023</v>
      </c>
      <c r="E3027">
        <v>4</v>
      </c>
      <c r="F3027" t="s">
        <v>27</v>
      </c>
      <c r="G3027">
        <v>51</v>
      </c>
      <c r="H3027" s="3">
        <v>9.98</v>
      </c>
      <c r="I3027" s="3">
        <v>508.98</v>
      </c>
    </row>
    <row r="3028" spans="1:9" x14ac:dyDescent="0.35">
      <c r="A3028">
        <v>3027</v>
      </c>
      <c r="B3028" t="s">
        <v>21</v>
      </c>
      <c r="C3028" s="2">
        <v>45038</v>
      </c>
      <c r="D3028">
        <v>2023</v>
      </c>
      <c r="E3028">
        <v>4</v>
      </c>
      <c r="F3028" t="s">
        <v>26</v>
      </c>
      <c r="G3028">
        <v>27</v>
      </c>
      <c r="H3028" s="3">
        <v>8.98</v>
      </c>
      <c r="I3028" s="3">
        <v>242.46</v>
      </c>
    </row>
    <row r="3029" spans="1:9" x14ac:dyDescent="0.35">
      <c r="A3029">
        <v>3028</v>
      </c>
      <c r="B3029" t="s">
        <v>21</v>
      </c>
      <c r="C3029" s="2">
        <v>45034</v>
      </c>
      <c r="D3029">
        <v>2023</v>
      </c>
      <c r="E3029">
        <v>4</v>
      </c>
      <c r="F3029" t="s">
        <v>26</v>
      </c>
      <c r="G3029">
        <v>60</v>
      </c>
      <c r="H3029" s="3">
        <v>8.98</v>
      </c>
      <c r="I3029" s="3">
        <v>538.80000000000007</v>
      </c>
    </row>
    <row r="3030" spans="1:9" x14ac:dyDescent="0.35">
      <c r="A3030">
        <v>3029</v>
      </c>
      <c r="B3030" t="s">
        <v>21</v>
      </c>
      <c r="C3030" s="2">
        <v>45035</v>
      </c>
      <c r="D3030">
        <v>2023</v>
      </c>
      <c r="E3030">
        <v>4</v>
      </c>
      <c r="F3030" t="s">
        <v>26</v>
      </c>
      <c r="G3030">
        <v>52</v>
      </c>
      <c r="H3030" s="3">
        <v>8.98</v>
      </c>
      <c r="I3030" s="3">
        <v>466.96000000000004</v>
      </c>
    </row>
    <row r="3031" spans="1:9" x14ac:dyDescent="0.35">
      <c r="A3031">
        <v>3030</v>
      </c>
      <c r="B3031" t="s">
        <v>21</v>
      </c>
      <c r="C3031" s="2">
        <v>45042</v>
      </c>
      <c r="D3031">
        <v>2023</v>
      </c>
      <c r="E3031">
        <v>4</v>
      </c>
      <c r="F3031" t="s">
        <v>24</v>
      </c>
      <c r="G3031">
        <v>26</v>
      </c>
      <c r="H3031" s="3">
        <v>13.98</v>
      </c>
      <c r="I3031" s="3">
        <v>363.48</v>
      </c>
    </row>
    <row r="3032" spans="1:9" x14ac:dyDescent="0.35">
      <c r="A3032">
        <v>3031</v>
      </c>
      <c r="B3032" t="s">
        <v>21</v>
      </c>
      <c r="C3032" s="2">
        <v>45019</v>
      </c>
      <c r="D3032">
        <v>2023</v>
      </c>
      <c r="E3032">
        <v>4</v>
      </c>
      <c r="F3032" t="s">
        <v>25</v>
      </c>
      <c r="G3032">
        <v>19</v>
      </c>
      <c r="H3032" s="3">
        <v>10.97</v>
      </c>
      <c r="I3032" s="3">
        <v>208.43</v>
      </c>
    </row>
    <row r="3033" spans="1:9" x14ac:dyDescent="0.35">
      <c r="A3033">
        <v>3032</v>
      </c>
      <c r="B3033" t="s">
        <v>21</v>
      </c>
      <c r="C3033" s="2">
        <v>45036</v>
      </c>
      <c r="D3033">
        <v>2023</v>
      </c>
      <c r="E3033">
        <v>4</v>
      </c>
      <c r="F3033" t="s">
        <v>27</v>
      </c>
      <c r="G3033">
        <v>59</v>
      </c>
      <c r="H3033" s="3">
        <v>9.98</v>
      </c>
      <c r="I3033" s="3">
        <v>588.82000000000005</v>
      </c>
    </row>
    <row r="3034" spans="1:9" x14ac:dyDescent="0.35">
      <c r="A3034">
        <v>3033</v>
      </c>
      <c r="B3034" t="s">
        <v>11</v>
      </c>
      <c r="C3034" s="2">
        <v>45071</v>
      </c>
      <c r="D3034">
        <v>2023</v>
      </c>
      <c r="E3034">
        <v>5</v>
      </c>
      <c r="F3034" t="s">
        <v>26</v>
      </c>
      <c r="G3034">
        <v>24</v>
      </c>
      <c r="H3034" s="3">
        <v>8.98</v>
      </c>
      <c r="I3034" s="3">
        <v>215.52</v>
      </c>
    </row>
    <row r="3035" spans="1:9" x14ac:dyDescent="0.35">
      <c r="A3035">
        <v>3034</v>
      </c>
      <c r="B3035" t="s">
        <v>11</v>
      </c>
      <c r="C3035" s="2">
        <v>45051</v>
      </c>
      <c r="D3035">
        <v>2023</v>
      </c>
      <c r="E3035">
        <v>5</v>
      </c>
      <c r="F3035" t="s">
        <v>27</v>
      </c>
      <c r="G3035">
        <v>46</v>
      </c>
      <c r="H3035" s="3">
        <v>9.98</v>
      </c>
      <c r="I3035" s="3">
        <v>459.08000000000004</v>
      </c>
    </row>
    <row r="3036" spans="1:9" x14ac:dyDescent="0.35">
      <c r="A3036">
        <v>3035</v>
      </c>
      <c r="B3036" t="s">
        <v>9</v>
      </c>
      <c r="C3036" s="2">
        <v>45067</v>
      </c>
      <c r="D3036">
        <v>2023</v>
      </c>
      <c r="E3036">
        <v>5</v>
      </c>
      <c r="F3036" t="s">
        <v>26</v>
      </c>
      <c r="G3036">
        <v>22</v>
      </c>
      <c r="H3036" s="3">
        <v>8.98</v>
      </c>
      <c r="I3036" s="3">
        <v>197.56</v>
      </c>
    </row>
    <row r="3037" spans="1:9" x14ac:dyDescent="0.35">
      <c r="A3037">
        <v>3036</v>
      </c>
      <c r="B3037" t="s">
        <v>9</v>
      </c>
      <c r="C3037" s="2">
        <v>45062</v>
      </c>
      <c r="D3037">
        <v>2023</v>
      </c>
      <c r="E3037">
        <v>5</v>
      </c>
      <c r="F3037" t="s">
        <v>26</v>
      </c>
      <c r="G3037">
        <v>12</v>
      </c>
      <c r="H3037" s="3">
        <v>8.98</v>
      </c>
      <c r="I3037" s="3">
        <v>107.76</v>
      </c>
    </row>
    <row r="3038" spans="1:9" x14ac:dyDescent="0.35">
      <c r="A3038">
        <v>3037</v>
      </c>
      <c r="B3038" t="s">
        <v>9</v>
      </c>
      <c r="C3038" s="2">
        <v>45057</v>
      </c>
      <c r="D3038">
        <v>2023</v>
      </c>
      <c r="E3038">
        <v>5</v>
      </c>
      <c r="F3038" t="s">
        <v>24</v>
      </c>
      <c r="G3038">
        <v>23</v>
      </c>
      <c r="H3038" s="3">
        <v>13.98</v>
      </c>
      <c r="I3038" s="3">
        <v>321.54000000000002</v>
      </c>
    </row>
    <row r="3039" spans="1:9" x14ac:dyDescent="0.35">
      <c r="A3039">
        <v>3038</v>
      </c>
      <c r="B3039" t="s">
        <v>9</v>
      </c>
      <c r="C3039" s="2">
        <v>45058</v>
      </c>
      <c r="D3039">
        <v>2023</v>
      </c>
      <c r="E3039">
        <v>5</v>
      </c>
      <c r="F3039" t="s">
        <v>24</v>
      </c>
      <c r="G3039">
        <v>16</v>
      </c>
      <c r="H3039" s="3">
        <v>13.98</v>
      </c>
      <c r="I3039" s="3">
        <v>223.68</v>
      </c>
    </row>
    <row r="3040" spans="1:9" x14ac:dyDescent="0.35">
      <c r="A3040">
        <v>3039</v>
      </c>
      <c r="B3040" t="s">
        <v>9</v>
      </c>
      <c r="C3040" s="2">
        <v>45053</v>
      </c>
      <c r="D3040">
        <v>2023</v>
      </c>
      <c r="E3040">
        <v>5</v>
      </c>
      <c r="F3040" t="s">
        <v>23</v>
      </c>
      <c r="G3040">
        <v>54</v>
      </c>
      <c r="H3040" s="3">
        <v>5.47</v>
      </c>
      <c r="I3040" s="3">
        <v>295.38</v>
      </c>
    </row>
    <row r="3041" spans="1:9" x14ac:dyDescent="0.35">
      <c r="A3041">
        <v>3040</v>
      </c>
      <c r="B3041" t="s">
        <v>9</v>
      </c>
      <c r="C3041" s="2">
        <v>45054</v>
      </c>
      <c r="D3041">
        <v>2023</v>
      </c>
      <c r="E3041">
        <v>5</v>
      </c>
      <c r="F3041" t="s">
        <v>23</v>
      </c>
      <c r="G3041">
        <v>10</v>
      </c>
      <c r="H3041" s="3">
        <v>5.47</v>
      </c>
      <c r="I3041" s="3">
        <v>54.699999999999996</v>
      </c>
    </row>
    <row r="3042" spans="1:9" x14ac:dyDescent="0.35">
      <c r="A3042">
        <v>3041</v>
      </c>
      <c r="B3042" t="s">
        <v>9</v>
      </c>
      <c r="C3042" s="2">
        <v>45065</v>
      </c>
      <c r="D3042">
        <v>2023</v>
      </c>
      <c r="E3042">
        <v>5</v>
      </c>
      <c r="F3042" t="s">
        <v>25</v>
      </c>
      <c r="G3042">
        <v>21</v>
      </c>
      <c r="H3042" s="3">
        <v>10.97</v>
      </c>
      <c r="I3042" s="3">
        <v>230.37</v>
      </c>
    </row>
    <row r="3043" spans="1:9" x14ac:dyDescent="0.35">
      <c r="A3043">
        <v>3042</v>
      </c>
      <c r="B3043" t="s">
        <v>9</v>
      </c>
      <c r="C3043" s="2">
        <v>45071</v>
      </c>
      <c r="D3043">
        <v>2023</v>
      </c>
      <c r="E3043">
        <v>5</v>
      </c>
      <c r="F3043" t="s">
        <v>27</v>
      </c>
      <c r="G3043">
        <v>30</v>
      </c>
      <c r="H3043" s="3">
        <v>9.98</v>
      </c>
      <c r="I3043" s="3">
        <v>299.40000000000003</v>
      </c>
    </row>
    <row r="3044" spans="1:9" x14ac:dyDescent="0.35">
      <c r="A3044">
        <v>3043</v>
      </c>
      <c r="B3044" t="s">
        <v>9</v>
      </c>
      <c r="C3044" s="2">
        <v>45055</v>
      </c>
      <c r="D3044">
        <v>2023</v>
      </c>
      <c r="E3044">
        <v>5</v>
      </c>
      <c r="F3044" t="s">
        <v>27</v>
      </c>
      <c r="G3044">
        <v>52</v>
      </c>
      <c r="H3044" s="3">
        <v>9.98</v>
      </c>
      <c r="I3044" s="3">
        <v>518.96</v>
      </c>
    </row>
    <row r="3045" spans="1:9" x14ac:dyDescent="0.35">
      <c r="A3045">
        <v>3044</v>
      </c>
      <c r="B3045" t="s">
        <v>17</v>
      </c>
      <c r="C3045" s="2">
        <v>45054</v>
      </c>
      <c r="D3045">
        <v>2023</v>
      </c>
      <c r="E3045">
        <v>5</v>
      </c>
      <c r="F3045" t="s">
        <v>26</v>
      </c>
      <c r="G3045">
        <v>20</v>
      </c>
      <c r="H3045" s="3">
        <v>8.98</v>
      </c>
      <c r="I3045" s="3">
        <v>179.60000000000002</v>
      </c>
    </row>
    <row r="3046" spans="1:9" x14ac:dyDescent="0.35">
      <c r="A3046">
        <v>3045</v>
      </c>
      <c r="B3046" t="s">
        <v>17</v>
      </c>
      <c r="C3046" s="2">
        <v>45071</v>
      </c>
      <c r="D3046">
        <v>2023</v>
      </c>
      <c r="E3046">
        <v>5</v>
      </c>
      <c r="F3046" t="s">
        <v>26</v>
      </c>
      <c r="G3046">
        <v>51</v>
      </c>
      <c r="H3046" s="3">
        <v>8.98</v>
      </c>
      <c r="I3046" s="3">
        <v>457.98</v>
      </c>
    </row>
    <row r="3047" spans="1:9" x14ac:dyDescent="0.35">
      <c r="A3047">
        <v>3046</v>
      </c>
      <c r="B3047" t="s">
        <v>17</v>
      </c>
      <c r="C3047" s="2">
        <v>45055</v>
      </c>
      <c r="D3047">
        <v>2023</v>
      </c>
      <c r="E3047">
        <v>5</v>
      </c>
      <c r="F3047" t="s">
        <v>24</v>
      </c>
      <c r="G3047">
        <v>37</v>
      </c>
      <c r="H3047" s="3">
        <v>13.98</v>
      </c>
      <c r="I3047" s="3">
        <v>517.26</v>
      </c>
    </row>
    <row r="3048" spans="1:9" x14ac:dyDescent="0.35">
      <c r="A3048">
        <v>3047</v>
      </c>
      <c r="B3048" t="s">
        <v>17</v>
      </c>
      <c r="C3048" s="2">
        <v>45063</v>
      </c>
      <c r="D3048">
        <v>2023</v>
      </c>
      <c r="E3048">
        <v>5</v>
      </c>
      <c r="F3048" t="s">
        <v>24</v>
      </c>
      <c r="G3048">
        <v>22</v>
      </c>
      <c r="H3048" s="3">
        <v>13.98</v>
      </c>
      <c r="I3048" s="3">
        <v>307.56</v>
      </c>
    </row>
    <row r="3049" spans="1:9" x14ac:dyDescent="0.35">
      <c r="A3049">
        <v>3048</v>
      </c>
      <c r="B3049" t="s">
        <v>17</v>
      </c>
      <c r="C3049" s="2">
        <v>45066</v>
      </c>
      <c r="D3049">
        <v>2023</v>
      </c>
      <c r="E3049">
        <v>5</v>
      </c>
      <c r="F3049" t="s">
        <v>24</v>
      </c>
      <c r="G3049">
        <v>40</v>
      </c>
      <c r="H3049" s="3">
        <v>13.98</v>
      </c>
      <c r="I3049" s="3">
        <v>559.20000000000005</v>
      </c>
    </row>
    <row r="3050" spans="1:9" x14ac:dyDescent="0.35">
      <c r="A3050">
        <v>3049</v>
      </c>
      <c r="B3050" t="s">
        <v>17</v>
      </c>
      <c r="C3050" s="2">
        <v>45056</v>
      </c>
      <c r="D3050">
        <v>2023</v>
      </c>
      <c r="E3050">
        <v>5</v>
      </c>
      <c r="F3050" t="s">
        <v>27</v>
      </c>
      <c r="G3050">
        <v>17</v>
      </c>
      <c r="H3050" s="3">
        <v>9.98</v>
      </c>
      <c r="I3050" s="3">
        <v>169.66</v>
      </c>
    </row>
    <row r="3051" spans="1:9" x14ac:dyDescent="0.35">
      <c r="A3051">
        <v>3050</v>
      </c>
      <c r="B3051" t="s">
        <v>13</v>
      </c>
      <c r="C3051" s="2">
        <v>45051</v>
      </c>
      <c r="D3051">
        <v>2023</v>
      </c>
      <c r="E3051">
        <v>5</v>
      </c>
      <c r="F3051" t="s">
        <v>24</v>
      </c>
      <c r="G3051">
        <v>40</v>
      </c>
      <c r="H3051" s="3">
        <v>13.98</v>
      </c>
      <c r="I3051" s="3">
        <v>559.20000000000005</v>
      </c>
    </row>
    <row r="3052" spans="1:9" x14ac:dyDescent="0.35">
      <c r="A3052">
        <v>3051</v>
      </c>
      <c r="B3052" t="s">
        <v>13</v>
      </c>
      <c r="C3052" s="2">
        <v>45072</v>
      </c>
      <c r="D3052">
        <v>2023</v>
      </c>
      <c r="E3052">
        <v>5</v>
      </c>
      <c r="F3052" t="s">
        <v>23</v>
      </c>
      <c r="G3052">
        <v>10</v>
      </c>
      <c r="H3052" s="3">
        <v>5.47</v>
      </c>
      <c r="I3052" s="3">
        <v>54.699999999999996</v>
      </c>
    </row>
    <row r="3053" spans="1:9" x14ac:dyDescent="0.35">
      <c r="A3053">
        <v>3052</v>
      </c>
      <c r="B3053" t="s">
        <v>13</v>
      </c>
      <c r="C3053" s="2">
        <v>45075</v>
      </c>
      <c r="D3053">
        <v>2023</v>
      </c>
      <c r="E3053">
        <v>5</v>
      </c>
      <c r="F3053" t="s">
        <v>25</v>
      </c>
      <c r="G3053">
        <v>41</v>
      </c>
      <c r="H3053" s="3">
        <v>10.97</v>
      </c>
      <c r="I3053" s="3">
        <v>449.77000000000004</v>
      </c>
    </row>
    <row r="3054" spans="1:9" x14ac:dyDescent="0.35">
      <c r="A3054">
        <v>3053</v>
      </c>
      <c r="B3054" t="s">
        <v>13</v>
      </c>
      <c r="C3054" s="2">
        <v>45058</v>
      </c>
      <c r="D3054">
        <v>2023</v>
      </c>
      <c r="E3054">
        <v>5</v>
      </c>
      <c r="F3054" t="s">
        <v>27</v>
      </c>
      <c r="G3054">
        <v>31</v>
      </c>
      <c r="H3054" s="3">
        <v>9.98</v>
      </c>
      <c r="I3054" s="3">
        <v>309.38</v>
      </c>
    </row>
    <row r="3055" spans="1:9" x14ac:dyDescent="0.35">
      <c r="A3055">
        <v>3054</v>
      </c>
      <c r="B3055" t="s">
        <v>18</v>
      </c>
      <c r="C3055" s="2">
        <v>45062</v>
      </c>
      <c r="D3055">
        <v>2023</v>
      </c>
      <c r="E3055">
        <v>5</v>
      </c>
      <c r="F3055" t="s">
        <v>24</v>
      </c>
      <c r="G3055">
        <v>56</v>
      </c>
      <c r="H3055" s="3">
        <v>13.98</v>
      </c>
      <c r="I3055" s="3">
        <v>782.88</v>
      </c>
    </row>
    <row r="3056" spans="1:9" x14ac:dyDescent="0.35">
      <c r="A3056">
        <v>3055</v>
      </c>
      <c r="B3056" t="s">
        <v>18</v>
      </c>
      <c r="C3056" s="2">
        <v>45061</v>
      </c>
      <c r="D3056">
        <v>2023</v>
      </c>
      <c r="E3056">
        <v>5</v>
      </c>
      <c r="F3056" t="s">
        <v>25</v>
      </c>
      <c r="G3056">
        <v>39</v>
      </c>
      <c r="H3056" s="3">
        <v>10.97</v>
      </c>
      <c r="I3056" s="3">
        <v>427.83000000000004</v>
      </c>
    </row>
    <row r="3057" spans="1:9" x14ac:dyDescent="0.35">
      <c r="A3057">
        <v>3056</v>
      </c>
      <c r="B3057" t="s">
        <v>18</v>
      </c>
      <c r="C3057" s="2">
        <v>45066</v>
      </c>
      <c r="D3057">
        <v>2023</v>
      </c>
      <c r="E3057">
        <v>5</v>
      </c>
      <c r="F3057" t="s">
        <v>27</v>
      </c>
      <c r="G3057">
        <v>41</v>
      </c>
      <c r="H3057" s="3">
        <v>9.98</v>
      </c>
      <c r="I3057" s="3">
        <v>409.18</v>
      </c>
    </row>
    <row r="3058" spans="1:9" x14ac:dyDescent="0.35">
      <c r="A3058">
        <v>3057</v>
      </c>
      <c r="B3058" t="s">
        <v>21</v>
      </c>
      <c r="C3058" s="2">
        <v>45063</v>
      </c>
      <c r="D3058">
        <v>2023</v>
      </c>
      <c r="E3058">
        <v>5</v>
      </c>
      <c r="F3058" t="s">
        <v>26</v>
      </c>
      <c r="G3058">
        <v>39</v>
      </c>
      <c r="H3058" s="3">
        <v>8.98</v>
      </c>
      <c r="I3058" s="3">
        <v>350.22</v>
      </c>
    </row>
    <row r="3059" spans="1:9" x14ac:dyDescent="0.35">
      <c r="A3059">
        <v>3058</v>
      </c>
      <c r="B3059" t="s">
        <v>21</v>
      </c>
      <c r="C3059" s="2">
        <v>45065</v>
      </c>
      <c r="D3059">
        <v>2023</v>
      </c>
      <c r="E3059">
        <v>5</v>
      </c>
      <c r="F3059" t="s">
        <v>23</v>
      </c>
      <c r="G3059">
        <v>31</v>
      </c>
      <c r="H3059" s="3">
        <v>5.47</v>
      </c>
      <c r="I3059" s="3">
        <v>169.57</v>
      </c>
    </row>
    <row r="3060" spans="1:9" x14ac:dyDescent="0.35">
      <c r="A3060">
        <v>3059</v>
      </c>
      <c r="B3060" t="s">
        <v>21</v>
      </c>
      <c r="C3060" s="2">
        <v>45072</v>
      </c>
      <c r="D3060">
        <v>2023</v>
      </c>
      <c r="E3060">
        <v>5</v>
      </c>
      <c r="F3060" t="s">
        <v>25</v>
      </c>
      <c r="G3060">
        <v>59</v>
      </c>
      <c r="H3060" s="3">
        <v>10.97</v>
      </c>
      <c r="I3060" s="3">
        <v>647.23</v>
      </c>
    </row>
    <row r="3061" spans="1:9" x14ac:dyDescent="0.35">
      <c r="A3061">
        <v>3060</v>
      </c>
      <c r="B3061" t="s">
        <v>21</v>
      </c>
      <c r="C3061" s="2">
        <v>45065</v>
      </c>
      <c r="D3061">
        <v>2023</v>
      </c>
      <c r="E3061">
        <v>5</v>
      </c>
      <c r="F3061" t="s">
        <v>27</v>
      </c>
      <c r="G3061">
        <v>28</v>
      </c>
      <c r="H3061" s="3">
        <v>9.98</v>
      </c>
      <c r="I3061" s="3">
        <v>279.44</v>
      </c>
    </row>
    <row r="3062" spans="1:9" x14ac:dyDescent="0.35">
      <c r="A3062">
        <v>3061</v>
      </c>
      <c r="B3062" t="s">
        <v>11</v>
      </c>
      <c r="C3062" s="2">
        <v>45078</v>
      </c>
      <c r="D3062">
        <v>2023</v>
      </c>
      <c r="E3062">
        <v>6</v>
      </c>
      <c r="F3062" t="s">
        <v>26</v>
      </c>
      <c r="G3062">
        <v>40</v>
      </c>
      <c r="H3062" s="3">
        <v>8.98</v>
      </c>
      <c r="I3062" s="3">
        <v>359.20000000000005</v>
      </c>
    </row>
    <row r="3063" spans="1:9" x14ac:dyDescent="0.35">
      <c r="A3063">
        <v>3062</v>
      </c>
      <c r="B3063" t="s">
        <v>11</v>
      </c>
      <c r="C3063" s="2">
        <v>45104</v>
      </c>
      <c r="D3063">
        <v>2023</v>
      </c>
      <c r="E3063">
        <v>6</v>
      </c>
      <c r="F3063" t="s">
        <v>24</v>
      </c>
      <c r="G3063">
        <v>30</v>
      </c>
      <c r="H3063" s="3">
        <v>13.98</v>
      </c>
      <c r="I3063" s="3">
        <v>419.40000000000003</v>
      </c>
    </row>
    <row r="3064" spans="1:9" x14ac:dyDescent="0.35">
      <c r="A3064">
        <v>3063</v>
      </c>
      <c r="B3064" t="s">
        <v>18</v>
      </c>
      <c r="C3064" s="2">
        <v>45092</v>
      </c>
      <c r="D3064">
        <v>2023</v>
      </c>
      <c r="E3064">
        <v>6</v>
      </c>
      <c r="F3064" t="s">
        <v>26</v>
      </c>
      <c r="G3064">
        <v>48</v>
      </c>
      <c r="H3064" s="3">
        <v>8.98</v>
      </c>
      <c r="I3064" s="3">
        <v>431.04</v>
      </c>
    </row>
    <row r="3065" spans="1:9" x14ac:dyDescent="0.35">
      <c r="A3065">
        <v>3064</v>
      </c>
      <c r="B3065" t="s">
        <v>18</v>
      </c>
      <c r="C3065" s="2">
        <v>45104</v>
      </c>
      <c r="D3065">
        <v>2023</v>
      </c>
      <c r="E3065">
        <v>6</v>
      </c>
      <c r="F3065" t="s">
        <v>26</v>
      </c>
      <c r="G3065">
        <v>28</v>
      </c>
      <c r="H3065" s="3">
        <v>8.98</v>
      </c>
      <c r="I3065" s="3">
        <v>251.44</v>
      </c>
    </row>
    <row r="3066" spans="1:9" x14ac:dyDescent="0.35">
      <c r="A3066">
        <v>3065</v>
      </c>
      <c r="B3066" t="s">
        <v>17</v>
      </c>
      <c r="C3066" s="2">
        <v>44945</v>
      </c>
      <c r="D3066">
        <v>2023</v>
      </c>
      <c r="E3066">
        <v>1</v>
      </c>
      <c r="F3066" t="s">
        <v>24</v>
      </c>
      <c r="G3066">
        <v>38</v>
      </c>
      <c r="H3066" s="3">
        <v>13.98</v>
      </c>
      <c r="I3066" s="3">
        <v>531.24</v>
      </c>
    </row>
    <row r="3067" spans="1:9" x14ac:dyDescent="0.35">
      <c r="A3067">
        <v>3066</v>
      </c>
      <c r="B3067" t="s">
        <v>17</v>
      </c>
      <c r="C3067" s="2">
        <v>44985</v>
      </c>
      <c r="D3067">
        <v>2023</v>
      </c>
      <c r="E3067">
        <v>2</v>
      </c>
      <c r="F3067" t="s">
        <v>24</v>
      </c>
      <c r="G3067">
        <v>40</v>
      </c>
      <c r="H3067" s="3">
        <v>13.98</v>
      </c>
      <c r="I3067" s="3">
        <v>559.20000000000005</v>
      </c>
    </row>
    <row r="3068" spans="1:9" x14ac:dyDescent="0.35">
      <c r="A3068">
        <v>3067</v>
      </c>
      <c r="B3068" t="s">
        <v>11</v>
      </c>
      <c r="C3068" s="2">
        <v>45185</v>
      </c>
      <c r="D3068">
        <v>2023</v>
      </c>
      <c r="E3068">
        <v>9</v>
      </c>
      <c r="F3068" t="s">
        <v>23</v>
      </c>
      <c r="G3068">
        <v>25</v>
      </c>
      <c r="H3068" s="3">
        <v>5.47</v>
      </c>
      <c r="I3068" s="3">
        <v>136.75</v>
      </c>
    </row>
    <row r="3069" spans="1:9" x14ac:dyDescent="0.35">
      <c r="A3069">
        <v>3068</v>
      </c>
      <c r="B3069" t="s">
        <v>21</v>
      </c>
      <c r="C3069" s="2">
        <v>45176</v>
      </c>
      <c r="D3069">
        <v>2023</v>
      </c>
      <c r="E3069">
        <v>9</v>
      </c>
      <c r="F3069" t="s">
        <v>24</v>
      </c>
      <c r="G3069">
        <v>14</v>
      </c>
      <c r="H3069" s="3">
        <v>13.98</v>
      </c>
      <c r="I3069" s="3">
        <v>195.72</v>
      </c>
    </row>
    <row r="3070" spans="1:9" x14ac:dyDescent="0.35">
      <c r="A3070">
        <v>3069</v>
      </c>
      <c r="B3070" t="s">
        <v>11</v>
      </c>
      <c r="C3070" s="2">
        <v>45163</v>
      </c>
      <c r="D3070">
        <v>2023</v>
      </c>
      <c r="E3070">
        <v>8</v>
      </c>
      <c r="F3070" t="s">
        <v>25</v>
      </c>
      <c r="G3070">
        <v>15</v>
      </c>
      <c r="H3070" s="3">
        <v>10.97</v>
      </c>
      <c r="I3070" s="3">
        <v>164.55</v>
      </c>
    </row>
    <row r="3071" spans="1:9" x14ac:dyDescent="0.35">
      <c r="A3071">
        <v>3070</v>
      </c>
      <c r="B3071" t="s">
        <v>9</v>
      </c>
      <c r="C3071" s="2">
        <v>45146</v>
      </c>
      <c r="D3071">
        <v>2023</v>
      </c>
      <c r="E3071">
        <v>8</v>
      </c>
      <c r="F3071" t="s">
        <v>23</v>
      </c>
      <c r="G3071">
        <v>44</v>
      </c>
      <c r="H3071" s="3">
        <v>5.47</v>
      </c>
      <c r="I3071" s="3">
        <v>240.67999999999998</v>
      </c>
    </row>
    <row r="3072" spans="1:9" x14ac:dyDescent="0.35">
      <c r="A3072">
        <v>3071</v>
      </c>
      <c r="B3072" t="s">
        <v>9</v>
      </c>
      <c r="C3072" s="2">
        <v>45125</v>
      </c>
      <c r="D3072">
        <v>2023</v>
      </c>
      <c r="E3072">
        <v>7</v>
      </c>
      <c r="F3072" t="s">
        <v>27</v>
      </c>
      <c r="G3072">
        <v>57</v>
      </c>
      <c r="H3072" s="3">
        <v>9.98</v>
      </c>
      <c r="I3072" s="3">
        <v>568.86</v>
      </c>
    </row>
    <row r="3073" spans="1:9" x14ac:dyDescent="0.35">
      <c r="A3073">
        <v>3072</v>
      </c>
      <c r="B3073" t="s">
        <v>17</v>
      </c>
      <c r="C3073" s="2">
        <v>45135</v>
      </c>
      <c r="D3073">
        <v>2023</v>
      </c>
      <c r="E3073">
        <v>7</v>
      </c>
      <c r="F3073" t="s">
        <v>25</v>
      </c>
      <c r="G3073">
        <v>43</v>
      </c>
      <c r="H3073" s="3">
        <v>10.97</v>
      </c>
      <c r="I3073" s="3">
        <v>471.71000000000004</v>
      </c>
    </row>
    <row r="3074" spans="1:9" x14ac:dyDescent="0.35">
      <c r="A3074">
        <v>3073</v>
      </c>
      <c r="B3074" t="s">
        <v>11</v>
      </c>
      <c r="C3074" s="2">
        <v>45167</v>
      </c>
      <c r="D3074">
        <v>2023</v>
      </c>
      <c r="E3074">
        <v>8</v>
      </c>
      <c r="F3074" t="s">
        <v>24</v>
      </c>
      <c r="G3074">
        <v>59</v>
      </c>
      <c r="H3074" s="3">
        <v>13.98</v>
      </c>
      <c r="I3074" s="3">
        <v>824.82</v>
      </c>
    </row>
    <row r="3075" spans="1:9" x14ac:dyDescent="0.35">
      <c r="A3075">
        <v>3074</v>
      </c>
      <c r="B3075" t="s">
        <v>9</v>
      </c>
      <c r="C3075" s="2">
        <v>45184</v>
      </c>
      <c r="D3075">
        <v>2023</v>
      </c>
      <c r="E3075">
        <v>9</v>
      </c>
      <c r="F3075" t="s">
        <v>24</v>
      </c>
      <c r="G3075">
        <v>55</v>
      </c>
      <c r="H3075" s="3">
        <v>13.98</v>
      </c>
      <c r="I3075" s="3">
        <v>768.9</v>
      </c>
    </row>
    <row r="3076" spans="1:9" x14ac:dyDescent="0.35">
      <c r="A3076">
        <v>3075</v>
      </c>
      <c r="B3076" t="s">
        <v>18</v>
      </c>
      <c r="C3076" s="2">
        <v>45180</v>
      </c>
      <c r="D3076">
        <v>2023</v>
      </c>
      <c r="E3076">
        <v>9</v>
      </c>
      <c r="F3076" t="s">
        <v>24</v>
      </c>
      <c r="G3076">
        <v>55</v>
      </c>
      <c r="H3076" s="3">
        <v>13.98</v>
      </c>
      <c r="I3076" s="3">
        <v>768.9</v>
      </c>
    </row>
    <row r="3077" spans="1:9" x14ac:dyDescent="0.35">
      <c r="A3077">
        <v>3076</v>
      </c>
      <c r="B3077" t="s">
        <v>9</v>
      </c>
      <c r="C3077" s="2">
        <v>45152</v>
      </c>
      <c r="D3077">
        <v>2023</v>
      </c>
      <c r="E3077">
        <v>8</v>
      </c>
      <c r="F3077" t="s">
        <v>27</v>
      </c>
      <c r="G3077">
        <v>60</v>
      </c>
      <c r="H3077" s="3">
        <v>9.98</v>
      </c>
      <c r="I3077" s="3">
        <v>598.80000000000007</v>
      </c>
    </row>
    <row r="3078" spans="1:9" x14ac:dyDescent="0.35">
      <c r="A3078">
        <v>3077</v>
      </c>
      <c r="B3078" t="s">
        <v>13</v>
      </c>
      <c r="C3078" s="2">
        <v>45157</v>
      </c>
      <c r="D3078">
        <v>2023</v>
      </c>
      <c r="E3078">
        <v>8</v>
      </c>
      <c r="F3078" t="s">
        <v>23</v>
      </c>
      <c r="G3078">
        <v>53</v>
      </c>
      <c r="H3078" s="3">
        <v>5.47</v>
      </c>
      <c r="I3078" s="3">
        <v>289.90999999999997</v>
      </c>
    </row>
    <row r="3079" spans="1:9" x14ac:dyDescent="0.35">
      <c r="A3079">
        <v>3078</v>
      </c>
      <c r="B3079" t="s">
        <v>21</v>
      </c>
      <c r="C3079" s="2">
        <v>45130</v>
      </c>
      <c r="D3079">
        <v>2023</v>
      </c>
      <c r="E3079">
        <v>7</v>
      </c>
      <c r="F3079" t="s">
        <v>25</v>
      </c>
      <c r="G3079">
        <v>29</v>
      </c>
      <c r="H3079" s="3">
        <v>10.97</v>
      </c>
      <c r="I3079" s="3">
        <v>318.13</v>
      </c>
    </row>
    <row r="3080" spans="1:9" x14ac:dyDescent="0.35">
      <c r="A3080">
        <v>3079</v>
      </c>
      <c r="B3080" t="s">
        <v>11</v>
      </c>
      <c r="C3080" s="2">
        <v>45131</v>
      </c>
      <c r="D3080">
        <v>2023</v>
      </c>
      <c r="E3080">
        <v>7</v>
      </c>
      <c r="F3080" t="s">
        <v>26</v>
      </c>
      <c r="G3080">
        <v>37</v>
      </c>
      <c r="H3080" s="3">
        <v>8.98</v>
      </c>
      <c r="I3080" s="3">
        <v>332.26</v>
      </c>
    </row>
    <row r="3081" spans="1:9" x14ac:dyDescent="0.35">
      <c r="A3081">
        <v>3080</v>
      </c>
      <c r="B3081" t="s">
        <v>9</v>
      </c>
      <c r="C3081" s="2">
        <v>45192</v>
      </c>
      <c r="D3081">
        <v>2023</v>
      </c>
      <c r="E3081">
        <v>9</v>
      </c>
      <c r="F3081" t="s">
        <v>25</v>
      </c>
      <c r="G3081">
        <v>23</v>
      </c>
      <c r="H3081" s="3">
        <v>10.97</v>
      </c>
      <c r="I3081" s="3">
        <v>252.31</v>
      </c>
    </row>
    <row r="3082" spans="1:9" x14ac:dyDescent="0.35">
      <c r="A3082">
        <v>3081</v>
      </c>
      <c r="B3082" t="s">
        <v>13</v>
      </c>
      <c r="C3082" s="2">
        <v>45111</v>
      </c>
      <c r="D3082">
        <v>2023</v>
      </c>
      <c r="E3082">
        <v>7</v>
      </c>
      <c r="F3082" t="s">
        <v>26</v>
      </c>
      <c r="G3082">
        <v>13</v>
      </c>
      <c r="H3082" s="3">
        <v>8.98</v>
      </c>
      <c r="I3082" s="3">
        <v>116.74000000000001</v>
      </c>
    </row>
    <row r="3083" spans="1:9" x14ac:dyDescent="0.35">
      <c r="A3083">
        <v>3082</v>
      </c>
      <c r="B3083" t="s">
        <v>11</v>
      </c>
      <c r="C3083" s="2">
        <v>45187</v>
      </c>
      <c r="D3083">
        <v>2023</v>
      </c>
      <c r="E3083">
        <v>9</v>
      </c>
      <c r="F3083" t="s">
        <v>27</v>
      </c>
      <c r="G3083">
        <v>32</v>
      </c>
      <c r="H3083" s="3">
        <v>9.98</v>
      </c>
      <c r="I3083" s="3">
        <v>319.36</v>
      </c>
    </row>
    <row r="3084" spans="1:9" x14ac:dyDescent="0.35">
      <c r="A3084">
        <v>3083</v>
      </c>
      <c r="B3084" t="s">
        <v>9</v>
      </c>
      <c r="C3084" s="2">
        <v>45161</v>
      </c>
      <c r="D3084">
        <v>2023</v>
      </c>
      <c r="E3084">
        <v>8</v>
      </c>
      <c r="F3084" t="s">
        <v>23</v>
      </c>
      <c r="G3084">
        <v>49</v>
      </c>
      <c r="H3084" s="3">
        <v>5.47</v>
      </c>
      <c r="I3084" s="3">
        <v>268.02999999999997</v>
      </c>
    </row>
    <row r="3085" spans="1:9" x14ac:dyDescent="0.35">
      <c r="A3085">
        <v>3084</v>
      </c>
      <c r="B3085" t="s">
        <v>21</v>
      </c>
      <c r="C3085" s="2">
        <v>45161</v>
      </c>
      <c r="D3085">
        <v>2023</v>
      </c>
      <c r="E3085">
        <v>8</v>
      </c>
      <c r="F3085" t="s">
        <v>27</v>
      </c>
      <c r="G3085">
        <v>29</v>
      </c>
      <c r="H3085" s="3">
        <v>9.98</v>
      </c>
      <c r="I3085" s="3">
        <v>289.42</v>
      </c>
    </row>
    <row r="3086" spans="1:9" x14ac:dyDescent="0.35">
      <c r="A3086">
        <v>3085</v>
      </c>
      <c r="B3086" t="s">
        <v>13</v>
      </c>
      <c r="C3086" s="2">
        <v>45143</v>
      </c>
      <c r="D3086">
        <v>2023</v>
      </c>
      <c r="E3086">
        <v>8</v>
      </c>
      <c r="F3086" t="s">
        <v>27</v>
      </c>
      <c r="G3086">
        <v>19</v>
      </c>
      <c r="H3086" s="3">
        <v>9.98</v>
      </c>
      <c r="I3086" s="3">
        <v>189.62</v>
      </c>
    </row>
    <row r="3087" spans="1:9" x14ac:dyDescent="0.35">
      <c r="A3087">
        <v>3086</v>
      </c>
      <c r="B3087" t="s">
        <v>17</v>
      </c>
      <c r="C3087" s="2">
        <v>45111</v>
      </c>
      <c r="D3087">
        <v>2023</v>
      </c>
      <c r="E3087">
        <v>7</v>
      </c>
      <c r="F3087" t="s">
        <v>25</v>
      </c>
      <c r="G3087">
        <v>46</v>
      </c>
      <c r="H3087" s="3">
        <v>10.97</v>
      </c>
      <c r="I3087" s="3">
        <v>504.62</v>
      </c>
    </row>
    <row r="3088" spans="1:9" x14ac:dyDescent="0.35">
      <c r="A3088">
        <v>3087</v>
      </c>
      <c r="B3088" t="s">
        <v>18</v>
      </c>
      <c r="C3088" s="2">
        <v>45126</v>
      </c>
      <c r="D3088">
        <v>2023</v>
      </c>
      <c r="E3088">
        <v>7</v>
      </c>
      <c r="F3088" t="s">
        <v>25</v>
      </c>
      <c r="G3088">
        <v>41</v>
      </c>
      <c r="H3088" s="3">
        <v>10.97</v>
      </c>
      <c r="I3088" s="3">
        <v>449.77000000000004</v>
      </c>
    </row>
    <row r="3089" spans="1:9" x14ac:dyDescent="0.35">
      <c r="A3089">
        <v>3088</v>
      </c>
      <c r="B3089" t="s">
        <v>17</v>
      </c>
      <c r="C3089" s="2">
        <v>45119</v>
      </c>
      <c r="D3089">
        <v>2023</v>
      </c>
      <c r="E3089">
        <v>7</v>
      </c>
      <c r="F3089" t="s">
        <v>26</v>
      </c>
      <c r="G3089">
        <v>19</v>
      </c>
      <c r="H3089" s="3">
        <v>8.98</v>
      </c>
      <c r="I3089" s="3">
        <v>170.62</v>
      </c>
    </row>
    <row r="3090" spans="1:9" x14ac:dyDescent="0.35">
      <c r="A3090">
        <v>3089</v>
      </c>
      <c r="B3090" t="s">
        <v>13</v>
      </c>
      <c r="C3090" s="2">
        <v>45110</v>
      </c>
      <c r="D3090">
        <v>2023</v>
      </c>
      <c r="E3090">
        <v>7</v>
      </c>
      <c r="F3090" t="s">
        <v>23</v>
      </c>
      <c r="G3090">
        <v>38</v>
      </c>
      <c r="H3090" s="3">
        <v>5.47</v>
      </c>
      <c r="I3090" s="3">
        <v>207.85999999999999</v>
      </c>
    </row>
    <row r="3091" spans="1:9" x14ac:dyDescent="0.35">
      <c r="A3091">
        <v>3090</v>
      </c>
      <c r="B3091" t="s">
        <v>18</v>
      </c>
      <c r="C3091" s="2">
        <v>45111</v>
      </c>
      <c r="D3091">
        <v>2023</v>
      </c>
      <c r="E3091">
        <v>7</v>
      </c>
      <c r="F3091" t="s">
        <v>23</v>
      </c>
      <c r="G3091">
        <v>21</v>
      </c>
      <c r="H3091" s="3">
        <v>5.47</v>
      </c>
      <c r="I3091" s="3">
        <v>114.86999999999999</v>
      </c>
    </row>
    <row r="3092" spans="1:9" x14ac:dyDescent="0.35">
      <c r="A3092">
        <v>3091</v>
      </c>
      <c r="B3092" t="s">
        <v>21</v>
      </c>
      <c r="C3092" s="2">
        <v>45127</v>
      </c>
      <c r="D3092">
        <v>2023</v>
      </c>
      <c r="E3092">
        <v>7</v>
      </c>
      <c r="F3092" t="s">
        <v>24</v>
      </c>
      <c r="G3092">
        <v>12</v>
      </c>
      <c r="H3092" s="3">
        <v>13.98</v>
      </c>
      <c r="I3092" s="3">
        <v>167.76</v>
      </c>
    </row>
    <row r="3093" spans="1:9" x14ac:dyDescent="0.35">
      <c r="A3093">
        <v>3092</v>
      </c>
      <c r="B3093" t="s">
        <v>13</v>
      </c>
      <c r="C3093" s="2">
        <v>45115</v>
      </c>
      <c r="D3093">
        <v>2023</v>
      </c>
      <c r="E3093">
        <v>7</v>
      </c>
      <c r="F3093" t="s">
        <v>26</v>
      </c>
      <c r="G3093">
        <v>42</v>
      </c>
      <c r="H3093" s="3">
        <v>8.98</v>
      </c>
      <c r="I3093" s="3">
        <v>377.16</v>
      </c>
    </row>
    <row r="3094" spans="1:9" x14ac:dyDescent="0.35">
      <c r="A3094">
        <v>3093</v>
      </c>
      <c r="B3094" t="s">
        <v>21</v>
      </c>
      <c r="C3094" s="2">
        <v>45120</v>
      </c>
      <c r="D3094">
        <v>2023</v>
      </c>
      <c r="E3094">
        <v>7</v>
      </c>
      <c r="F3094" t="s">
        <v>25</v>
      </c>
      <c r="G3094">
        <v>13</v>
      </c>
      <c r="H3094" s="3">
        <v>10.97</v>
      </c>
      <c r="I3094" s="3">
        <v>142.61000000000001</v>
      </c>
    </row>
    <row r="3095" spans="1:9" x14ac:dyDescent="0.35">
      <c r="A3095">
        <v>3094</v>
      </c>
      <c r="B3095" t="s">
        <v>9</v>
      </c>
      <c r="C3095" s="2">
        <v>45173</v>
      </c>
      <c r="D3095">
        <v>2023</v>
      </c>
      <c r="E3095">
        <v>9</v>
      </c>
      <c r="F3095" t="s">
        <v>26</v>
      </c>
      <c r="G3095">
        <v>36</v>
      </c>
      <c r="H3095" s="3">
        <v>8.98</v>
      </c>
      <c r="I3095" s="3">
        <v>323.28000000000003</v>
      </c>
    </row>
    <row r="3096" spans="1:9" x14ac:dyDescent="0.35">
      <c r="A3096">
        <v>3095</v>
      </c>
      <c r="B3096" t="s">
        <v>11</v>
      </c>
      <c r="C3096" s="2">
        <v>45140</v>
      </c>
      <c r="D3096">
        <v>2023</v>
      </c>
      <c r="E3096">
        <v>8</v>
      </c>
      <c r="F3096" t="s">
        <v>26</v>
      </c>
      <c r="G3096">
        <v>59</v>
      </c>
      <c r="H3096" s="3">
        <v>8.98</v>
      </c>
      <c r="I3096" s="3">
        <v>529.82000000000005</v>
      </c>
    </row>
    <row r="3097" spans="1:9" x14ac:dyDescent="0.35">
      <c r="A3097">
        <v>3096</v>
      </c>
      <c r="B3097" t="s">
        <v>18</v>
      </c>
      <c r="C3097" s="2">
        <v>45171</v>
      </c>
      <c r="D3097">
        <v>2023</v>
      </c>
      <c r="E3097">
        <v>9</v>
      </c>
      <c r="F3097" t="s">
        <v>26</v>
      </c>
      <c r="G3097">
        <v>26</v>
      </c>
      <c r="H3097" s="3">
        <v>8.98</v>
      </c>
      <c r="I3097" s="3">
        <v>233.48000000000002</v>
      </c>
    </row>
    <row r="3098" spans="1:9" x14ac:dyDescent="0.35">
      <c r="A3098">
        <v>3097</v>
      </c>
      <c r="B3098" t="s">
        <v>11</v>
      </c>
      <c r="C3098" s="2">
        <v>45151</v>
      </c>
      <c r="D3098">
        <v>2023</v>
      </c>
      <c r="E3098">
        <v>8</v>
      </c>
      <c r="F3098" t="s">
        <v>26</v>
      </c>
      <c r="G3098">
        <v>26</v>
      </c>
      <c r="H3098" s="3">
        <v>8.98</v>
      </c>
      <c r="I3098" s="3">
        <v>233.48000000000002</v>
      </c>
    </row>
    <row r="3099" spans="1:9" x14ac:dyDescent="0.35">
      <c r="A3099">
        <v>3098</v>
      </c>
      <c r="B3099" t="s">
        <v>11</v>
      </c>
      <c r="C3099" s="2">
        <v>45184</v>
      </c>
      <c r="D3099">
        <v>2023</v>
      </c>
      <c r="E3099">
        <v>9</v>
      </c>
      <c r="F3099" t="s">
        <v>23</v>
      </c>
      <c r="G3099">
        <v>45</v>
      </c>
      <c r="H3099" s="3">
        <v>5.47</v>
      </c>
      <c r="I3099" s="3">
        <v>246.14999999999998</v>
      </c>
    </row>
    <row r="3100" spans="1:9" x14ac:dyDescent="0.35">
      <c r="A3100">
        <v>3099</v>
      </c>
      <c r="B3100" t="s">
        <v>11</v>
      </c>
      <c r="C3100" s="2">
        <v>45144</v>
      </c>
      <c r="D3100">
        <v>2023</v>
      </c>
      <c r="E3100">
        <v>8</v>
      </c>
      <c r="F3100" t="s">
        <v>27</v>
      </c>
      <c r="G3100">
        <v>33</v>
      </c>
      <c r="H3100" s="3">
        <v>9.98</v>
      </c>
      <c r="I3100" s="3">
        <v>329.34000000000003</v>
      </c>
    </row>
    <row r="3101" spans="1:9" x14ac:dyDescent="0.35">
      <c r="A3101">
        <v>3100</v>
      </c>
      <c r="B3101" t="s">
        <v>9</v>
      </c>
      <c r="C3101" s="2">
        <v>45176</v>
      </c>
      <c r="D3101">
        <v>2023</v>
      </c>
      <c r="E3101">
        <v>9</v>
      </c>
      <c r="F3101" t="s">
        <v>27</v>
      </c>
      <c r="G3101">
        <v>14</v>
      </c>
      <c r="H3101" s="3">
        <v>9.98</v>
      </c>
      <c r="I3101" s="3">
        <v>139.72</v>
      </c>
    </row>
    <row r="3102" spans="1:9" x14ac:dyDescent="0.35">
      <c r="A3102">
        <v>3101</v>
      </c>
      <c r="B3102" t="s">
        <v>17</v>
      </c>
      <c r="C3102" s="2">
        <v>45163</v>
      </c>
      <c r="D3102">
        <v>2023</v>
      </c>
      <c r="E3102">
        <v>8</v>
      </c>
      <c r="F3102" t="s">
        <v>24</v>
      </c>
      <c r="G3102">
        <v>52</v>
      </c>
      <c r="H3102" s="3">
        <v>13.98</v>
      </c>
      <c r="I3102" s="3">
        <v>726.96</v>
      </c>
    </row>
    <row r="3103" spans="1:9" x14ac:dyDescent="0.35">
      <c r="A3103">
        <v>3102</v>
      </c>
      <c r="B3103" t="s">
        <v>21</v>
      </c>
      <c r="C3103" s="2">
        <v>45124</v>
      </c>
      <c r="D3103">
        <v>2023</v>
      </c>
      <c r="E3103">
        <v>7</v>
      </c>
      <c r="F3103" t="s">
        <v>26</v>
      </c>
      <c r="G3103">
        <v>52</v>
      </c>
      <c r="H3103" s="3">
        <v>8.98</v>
      </c>
      <c r="I3103" s="3">
        <v>466.96000000000004</v>
      </c>
    </row>
    <row r="3104" spans="1:9" x14ac:dyDescent="0.35">
      <c r="A3104">
        <v>3103</v>
      </c>
      <c r="B3104" t="s">
        <v>13</v>
      </c>
      <c r="C3104" s="2">
        <v>45130</v>
      </c>
      <c r="D3104">
        <v>2023</v>
      </c>
      <c r="E3104">
        <v>7</v>
      </c>
      <c r="F3104" t="s">
        <v>25</v>
      </c>
      <c r="G3104">
        <v>28</v>
      </c>
      <c r="H3104" s="3">
        <v>10.97</v>
      </c>
      <c r="I3104" s="3">
        <v>307.16000000000003</v>
      </c>
    </row>
    <row r="3105" spans="1:9" x14ac:dyDescent="0.35">
      <c r="A3105">
        <v>3104</v>
      </c>
      <c r="B3105" t="s">
        <v>13</v>
      </c>
      <c r="C3105" s="2">
        <v>45109</v>
      </c>
      <c r="D3105">
        <v>2023</v>
      </c>
      <c r="E3105">
        <v>7</v>
      </c>
      <c r="F3105" t="s">
        <v>26</v>
      </c>
      <c r="G3105">
        <v>29</v>
      </c>
      <c r="H3105" s="3">
        <v>8.98</v>
      </c>
      <c r="I3105" s="3">
        <v>260.42</v>
      </c>
    </row>
    <row r="3106" spans="1:9" x14ac:dyDescent="0.35">
      <c r="A3106">
        <v>3105</v>
      </c>
      <c r="B3106" t="s">
        <v>17</v>
      </c>
      <c r="C3106" s="2">
        <v>45154</v>
      </c>
      <c r="D3106">
        <v>2023</v>
      </c>
      <c r="E3106">
        <v>8</v>
      </c>
      <c r="F3106" t="s">
        <v>25</v>
      </c>
      <c r="G3106">
        <v>35</v>
      </c>
      <c r="H3106" s="3">
        <v>10.97</v>
      </c>
      <c r="I3106" s="3">
        <v>383.95000000000005</v>
      </c>
    </row>
    <row r="3107" spans="1:9" x14ac:dyDescent="0.35">
      <c r="A3107">
        <v>3106</v>
      </c>
      <c r="B3107" t="s">
        <v>11</v>
      </c>
      <c r="C3107" s="2">
        <v>45140</v>
      </c>
      <c r="D3107">
        <v>2023</v>
      </c>
      <c r="E3107">
        <v>8</v>
      </c>
      <c r="F3107" t="s">
        <v>26</v>
      </c>
      <c r="G3107">
        <v>47</v>
      </c>
      <c r="H3107" s="3">
        <v>8.98</v>
      </c>
      <c r="I3107" s="3">
        <v>422.06</v>
      </c>
    </row>
    <row r="3108" spans="1:9" x14ac:dyDescent="0.35">
      <c r="A3108">
        <v>3107</v>
      </c>
      <c r="B3108" t="s">
        <v>17</v>
      </c>
      <c r="C3108" s="2">
        <v>45156</v>
      </c>
      <c r="D3108">
        <v>2023</v>
      </c>
      <c r="E3108">
        <v>8</v>
      </c>
      <c r="F3108" t="s">
        <v>24</v>
      </c>
      <c r="G3108">
        <v>49</v>
      </c>
      <c r="H3108" s="3">
        <v>13.98</v>
      </c>
      <c r="I3108" s="3">
        <v>685.02</v>
      </c>
    </row>
    <row r="3109" spans="1:9" x14ac:dyDescent="0.35">
      <c r="A3109">
        <v>3108</v>
      </c>
      <c r="B3109" t="s">
        <v>18</v>
      </c>
      <c r="C3109" s="2">
        <v>45149</v>
      </c>
      <c r="D3109">
        <v>2023</v>
      </c>
      <c r="E3109">
        <v>8</v>
      </c>
      <c r="F3109" t="s">
        <v>24</v>
      </c>
      <c r="G3109">
        <v>10</v>
      </c>
      <c r="H3109" s="3">
        <v>13.98</v>
      </c>
      <c r="I3109" s="3">
        <v>139.80000000000001</v>
      </c>
    </row>
    <row r="3110" spans="1:9" x14ac:dyDescent="0.35">
      <c r="A3110">
        <v>3109</v>
      </c>
      <c r="B3110" t="s">
        <v>18</v>
      </c>
      <c r="C3110" s="2">
        <v>45193</v>
      </c>
      <c r="D3110">
        <v>2023</v>
      </c>
      <c r="E3110">
        <v>9</v>
      </c>
      <c r="F3110" t="s">
        <v>24</v>
      </c>
      <c r="G3110">
        <v>30</v>
      </c>
      <c r="H3110" s="3">
        <v>13.98</v>
      </c>
      <c r="I3110" s="3">
        <v>419.40000000000003</v>
      </c>
    </row>
    <row r="3111" spans="1:9" x14ac:dyDescent="0.35">
      <c r="A3111">
        <v>3110</v>
      </c>
      <c r="B3111" t="s">
        <v>11</v>
      </c>
      <c r="C3111" s="2">
        <v>45186</v>
      </c>
      <c r="D3111">
        <v>2023</v>
      </c>
      <c r="E3111">
        <v>9</v>
      </c>
      <c r="F3111" t="s">
        <v>23</v>
      </c>
      <c r="G3111">
        <v>24</v>
      </c>
      <c r="H3111" s="3">
        <v>5.47</v>
      </c>
      <c r="I3111" s="3">
        <v>131.28</v>
      </c>
    </row>
    <row r="3112" spans="1:9" x14ac:dyDescent="0.35">
      <c r="A3112">
        <v>3111</v>
      </c>
      <c r="B3112" t="s">
        <v>21</v>
      </c>
      <c r="C3112" s="2">
        <v>45157</v>
      </c>
      <c r="D3112">
        <v>2023</v>
      </c>
      <c r="E3112">
        <v>8</v>
      </c>
      <c r="F3112" t="s">
        <v>27</v>
      </c>
      <c r="G3112">
        <v>48</v>
      </c>
      <c r="H3112" s="3">
        <v>9.98</v>
      </c>
      <c r="I3112" s="3">
        <v>479.04</v>
      </c>
    </row>
    <row r="3113" spans="1:9" x14ac:dyDescent="0.35">
      <c r="A3113">
        <v>3112</v>
      </c>
      <c r="B3113" t="s">
        <v>17</v>
      </c>
      <c r="C3113" s="2">
        <v>45122</v>
      </c>
      <c r="D3113">
        <v>2023</v>
      </c>
      <c r="E3113">
        <v>7</v>
      </c>
      <c r="F3113" t="s">
        <v>23</v>
      </c>
      <c r="G3113">
        <v>15</v>
      </c>
      <c r="H3113" s="3">
        <v>5.47</v>
      </c>
      <c r="I3113" s="3">
        <v>82.05</v>
      </c>
    </row>
    <row r="3114" spans="1:9" x14ac:dyDescent="0.35">
      <c r="A3114">
        <v>3113</v>
      </c>
      <c r="B3114" t="s">
        <v>13</v>
      </c>
      <c r="C3114" s="2">
        <v>45172</v>
      </c>
      <c r="D3114">
        <v>2023</v>
      </c>
      <c r="E3114">
        <v>9</v>
      </c>
      <c r="F3114" t="s">
        <v>26</v>
      </c>
      <c r="G3114">
        <v>39</v>
      </c>
      <c r="H3114" s="3">
        <v>8.98</v>
      </c>
      <c r="I3114" s="3">
        <v>350.22</v>
      </c>
    </row>
    <row r="3115" spans="1:9" x14ac:dyDescent="0.35">
      <c r="A3115">
        <v>3114</v>
      </c>
      <c r="B3115" t="s">
        <v>21</v>
      </c>
      <c r="C3115" s="2">
        <v>45114</v>
      </c>
      <c r="D3115">
        <v>2023</v>
      </c>
      <c r="E3115">
        <v>7</v>
      </c>
      <c r="F3115" t="s">
        <v>25</v>
      </c>
      <c r="G3115">
        <v>53</v>
      </c>
      <c r="H3115" s="3">
        <v>10.97</v>
      </c>
      <c r="I3115" s="3">
        <v>581.41000000000008</v>
      </c>
    </row>
    <row r="3116" spans="1:9" x14ac:dyDescent="0.35">
      <c r="A3116">
        <v>3115</v>
      </c>
      <c r="B3116" t="s">
        <v>9</v>
      </c>
      <c r="C3116" s="2">
        <v>45168</v>
      </c>
      <c r="D3116">
        <v>2023</v>
      </c>
      <c r="E3116">
        <v>8</v>
      </c>
      <c r="F3116" t="s">
        <v>26</v>
      </c>
      <c r="G3116">
        <v>19</v>
      </c>
      <c r="H3116" s="3">
        <v>8.98</v>
      </c>
      <c r="I3116" s="3">
        <v>170.62</v>
      </c>
    </row>
    <row r="3117" spans="1:9" x14ac:dyDescent="0.35">
      <c r="A3117">
        <v>3116</v>
      </c>
      <c r="B3117" t="s">
        <v>17</v>
      </c>
      <c r="C3117" s="2">
        <v>45176</v>
      </c>
      <c r="D3117">
        <v>2023</v>
      </c>
      <c r="E3117">
        <v>9</v>
      </c>
      <c r="F3117" t="s">
        <v>23</v>
      </c>
      <c r="G3117">
        <v>49</v>
      </c>
      <c r="H3117" s="3">
        <v>5.47</v>
      </c>
      <c r="I3117" s="3">
        <v>268.02999999999997</v>
      </c>
    </row>
    <row r="3118" spans="1:9" x14ac:dyDescent="0.35">
      <c r="A3118">
        <v>3117</v>
      </c>
      <c r="B3118" t="s">
        <v>9</v>
      </c>
      <c r="C3118" s="2">
        <v>45139</v>
      </c>
      <c r="D3118">
        <v>2023</v>
      </c>
      <c r="E3118">
        <v>8</v>
      </c>
      <c r="F3118" t="s">
        <v>27</v>
      </c>
      <c r="G3118">
        <v>15</v>
      </c>
      <c r="H3118" s="3">
        <v>9.98</v>
      </c>
      <c r="I3118" s="3">
        <v>149.70000000000002</v>
      </c>
    </row>
    <row r="3119" spans="1:9" x14ac:dyDescent="0.35">
      <c r="A3119">
        <v>3118</v>
      </c>
      <c r="B3119" t="s">
        <v>17</v>
      </c>
      <c r="C3119" s="2">
        <v>45115</v>
      </c>
      <c r="D3119">
        <v>2023</v>
      </c>
      <c r="E3119">
        <v>7</v>
      </c>
      <c r="F3119" t="s">
        <v>27</v>
      </c>
      <c r="G3119">
        <v>54</v>
      </c>
      <c r="H3119" s="3">
        <v>9.98</v>
      </c>
      <c r="I3119" s="3">
        <v>538.92000000000007</v>
      </c>
    </row>
    <row r="3120" spans="1:9" x14ac:dyDescent="0.35">
      <c r="A3120">
        <v>3119</v>
      </c>
      <c r="B3120" t="s">
        <v>17</v>
      </c>
      <c r="C3120" s="2">
        <v>45148</v>
      </c>
      <c r="D3120">
        <v>2023</v>
      </c>
      <c r="E3120">
        <v>8</v>
      </c>
      <c r="F3120" t="s">
        <v>27</v>
      </c>
      <c r="G3120">
        <v>31</v>
      </c>
      <c r="H3120" s="3">
        <v>9.98</v>
      </c>
      <c r="I3120" s="3">
        <v>309.38</v>
      </c>
    </row>
    <row r="3121" spans="1:9" x14ac:dyDescent="0.35">
      <c r="A3121">
        <v>3120</v>
      </c>
      <c r="B3121" t="s">
        <v>17</v>
      </c>
      <c r="C3121" s="2">
        <v>45181</v>
      </c>
      <c r="D3121">
        <v>2023</v>
      </c>
      <c r="E3121">
        <v>9</v>
      </c>
      <c r="F3121" t="s">
        <v>27</v>
      </c>
      <c r="G3121">
        <v>41</v>
      </c>
      <c r="H3121" s="3">
        <v>9.98</v>
      </c>
      <c r="I3121" s="3">
        <v>409.18</v>
      </c>
    </row>
    <row r="3122" spans="1:9" x14ac:dyDescent="0.35">
      <c r="A3122">
        <v>3121</v>
      </c>
      <c r="B3122" t="s">
        <v>17</v>
      </c>
      <c r="C3122" s="2">
        <v>45126</v>
      </c>
      <c r="D3122">
        <v>2023</v>
      </c>
      <c r="E3122">
        <v>7</v>
      </c>
      <c r="F3122" t="s">
        <v>27</v>
      </c>
      <c r="G3122">
        <v>57</v>
      </c>
      <c r="H3122" s="3">
        <v>9.98</v>
      </c>
      <c r="I3122" s="3">
        <v>568.86</v>
      </c>
    </row>
    <row r="3123" spans="1:9" x14ac:dyDescent="0.35">
      <c r="A3123">
        <v>3122</v>
      </c>
      <c r="B3123" t="s">
        <v>13</v>
      </c>
      <c r="C3123" s="2">
        <v>45108</v>
      </c>
      <c r="D3123">
        <v>2023</v>
      </c>
      <c r="E3123">
        <v>7</v>
      </c>
      <c r="F3123" t="s">
        <v>27</v>
      </c>
      <c r="G3123">
        <v>42</v>
      </c>
      <c r="H3123" s="3">
        <v>9.98</v>
      </c>
      <c r="I3123" s="3">
        <v>419.16</v>
      </c>
    </row>
    <row r="3124" spans="1:9" x14ac:dyDescent="0.35">
      <c r="A3124">
        <v>3123</v>
      </c>
      <c r="B3124" t="s">
        <v>13</v>
      </c>
      <c r="C3124" s="2">
        <v>45181</v>
      </c>
      <c r="D3124">
        <v>2023</v>
      </c>
      <c r="E3124">
        <v>9</v>
      </c>
      <c r="F3124" t="s">
        <v>27</v>
      </c>
      <c r="G3124">
        <v>38</v>
      </c>
      <c r="H3124" s="3">
        <v>9.98</v>
      </c>
      <c r="I3124" s="3">
        <v>379.24</v>
      </c>
    </row>
    <row r="3125" spans="1:9" x14ac:dyDescent="0.35">
      <c r="A3125">
        <v>3124</v>
      </c>
      <c r="B3125" t="s">
        <v>13</v>
      </c>
      <c r="C3125" s="2">
        <v>45128</v>
      </c>
      <c r="D3125">
        <v>2023</v>
      </c>
      <c r="E3125">
        <v>7</v>
      </c>
      <c r="F3125" t="s">
        <v>27</v>
      </c>
      <c r="G3125">
        <v>37</v>
      </c>
      <c r="H3125" s="3">
        <v>9.98</v>
      </c>
      <c r="I3125" s="3">
        <v>369.26</v>
      </c>
    </row>
    <row r="3126" spans="1:9" x14ac:dyDescent="0.35">
      <c r="A3126">
        <v>3125</v>
      </c>
      <c r="B3126" t="s">
        <v>13</v>
      </c>
      <c r="C3126" s="2">
        <v>45144</v>
      </c>
      <c r="D3126">
        <v>2023</v>
      </c>
      <c r="E3126">
        <v>8</v>
      </c>
      <c r="F3126" t="s">
        <v>27</v>
      </c>
      <c r="G3126">
        <v>22</v>
      </c>
      <c r="H3126" s="3">
        <v>9.98</v>
      </c>
      <c r="I3126" s="3">
        <v>219.56</v>
      </c>
    </row>
    <row r="3127" spans="1:9" x14ac:dyDescent="0.35">
      <c r="A3127">
        <v>3126</v>
      </c>
      <c r="B3127" t="s">
        <v>18</v>
      </c>
      <c r="C3127" s="2">
        <v>45128</v>
      </c>
      <c r="D3127">
        <v>2023</v>
      </c>
      <c r="E3127">
        <v>7</v>
      </c>
      <c r="F3127" t="s">
        <v>27</v>
      </c>
      <c r="G3127">
        <v>50</v>
      </c>
      <c r="H3127" s="3">
        <v>9.98</v>
      </c>
      <c r="I3127" s="3">
        <v>499</v>
      </c>
    </row>
    <row r="3128" spans="1:9" x14ac:dyDescent="0.35">
      <c r="A3128">
        <v>3127</v>
      </c>
      <c r="B3128" t="s">
        <v>18</v>
      </c>
      <c r="C3128" s="2">
        <v>45114</v>
      </c>
      <c r="D3128">
        <v>2023</v>
      </c>
      <c r="E3128">
        <v>7</v>
      </c>
      <c r="F3128" t="s">
        <v>27</v>
      </c>
      <c r="G3128">
        <v>29</v>
      </c>
      <c r="H3128" s="3">
        <v>9.98</v>
      </c>
      <c r="I3128" s="3">
        <v>289.42</v>
      </c>
    </row>
    <row r="3129" spans="1:9" x14ac:dyDescent="0.35">
      <c r="A3129">
        <v>3128</v>
      </c>
      <c r="B3129" t="s">
        <v>21</v>
      </c>
      <c r="C3129" s="2">
        <v>45115</v>
      </c>
      <c r="D3129">
        <v>2023</v>
      </c>
      <c r="E3129">
        <v>7</v>
      </c>
      <c r="F3129" t="s">
        <v>27</v>
      </c>
      <c r="G3129">
        <v>54</v>
      </c>
      <c r="H3129" s="3">
        <v>9.98</v>
      </c>
      <c r="I3129" s="3">
        <v>538.92000000000007</v>
      </c>
    </row>
    <row r="3130" spans="1:9" x14ac:dyDescent="0.35">
      <c r="A3130">
        <v>3129</v>
      </c>
      <c r="B3130" t="s">
        <v>21</v>
      </c>
      <c r="C3130" s="2">
        <v>45127</v>
      </c>
      <c r="D3130">
        <v>2023</v>
      </c>
      <c r="E3130">
        <v>7</v>
      </c>
      <c r="F3130" t="s">
        <v>27</v>
      </c>
      <c r="G3130">
        <v>33</v>
      </c>
      <c r="H3130" s="3">
        <v>9.98</v>
      </c>
      <c r="I3130" s="3">
        <v>329.34000000000003</v>
      </c>
    </row>
    <row r="3131" spans="1:9" x14ac:dyDescent="0.35">
      <c r="A3131">
        <v>3130</v>
      </c>
      <c r="B3131" t="s">
        <v>21</v>
      </c>
      <c r="C3131" s="2">
        <v>45127</v>
      </c>
      <c r="D3131">
        <v>2023</v>
      </c>
      <c r="E3131">
        <v>7</v>
      </c>
      <c r="F3131" t="s">
        <v>27</v>
      </c>
      <c r="G3131">
        <v>26</v>
      </c>
      <c r="H3131" s="3">
        <v>9.98</v>
      </c>
      <c r="I3131" s="3">
        <v>259.48</v>
      </c>
    </row>
    <row r="3132" spans="1:9" x14ac:dyDescent="0.35">
      <c r="A3132">
        <v>3131</v>
      </c>
      <c r="B3132" t="s">
        <v>21</v>
      </c>
      <c r="C3132" s="2">
        <v>45157</v>
      </c>
      <c r="D3132">
        <v>2023</v>
      </c>
      <c r="E3132">
        <v>8</v>
      </c>
      <c r="F3132" t="s">
        <v>27</v>
      </c>
      <c r="G3132">
        <v>29</v>
      </c>
      <c r="H3132" s="3">
        <v>9.98</v>
      </c>
      <c r="I3132" s="3">
        <v>289.42</v>
      </c>
    </row>
    <row r="3133" spans="1:9" x14ac:dyDescent="0.35">
      <c r="A3133">
        <v>3132</v>
      </c>
      <c r="B3133" t="s">
        <v>21</v>
      </c>
      <c r="C3133" s="2">
        <v>45189</v>
      </c>
      <c r="D3133">
        <v>2023</v>
      </c>
      <c r="E3133">
        <v>9</v>
      </c>
      <c r="F3133" t="s">
        <v>27</v>
      </c>
      <c r="G3133">
        <v>40</v>
      </c>
      <c r="H3133" s="3">
        <v>9.98</v>
      </c>
      <c r="I3133" s="3">
        <v>399.20000000000005</v>
      </c>
    </row>
    <row r="3134" spans="1:9" x14ac:dyDescent="0.35">
      <c r="A3134">
        <v>3133</v>
      </c>
      <c r="B3134" t="s">
        <v>21</v>
      </c>
      <c r="C3134" s="2">
        <v>45116</v>
      </c>
      <c r="D3134">
        <v>2023</v>
      </c>
      <c r="E3134">
        <v>7</v>
      </c>
      <c r="F3134" t="s">
        <v>23</v>
      </c>
      <c r="G3134">
        <v>20</v>
      </c>
      <c r="H3134" s="3">
        <v>5.47</v>
      </c>
      <c r="I3134" s="3">
        <v>109.39999999999999</v>
      </c>
    </row>
    <row r="3135" spans="1:9" x14ac:dyDescent="0.35">
      <c r="A3135">
        <v>3134</v>
      </c>
      <c r="B3135" t="s">
        <v>21</v>
      </c>
      <c r="C3135" s="2">
        <v>45148</v>
      </c>
      <c r="D3135">
        <v>2023</v>
      </c>
      <c r="E3135">
        <v>8</v>
      </c>
      <c r="F3135" t="s">
        <v>23</v>
      </c>
      <c r="G3135">
        <v>26</v>
      </c>
      <c r="H3135" s="3">
        <v>5.47</v>
      </c>
      <c r="I3135" s="3">
        <v>142.22</v>
      </c>
    </row>
    <row r="3136" spans="1:9" x14ac:dyDescent="0.35">
      <c r="A3136">
        <v>3135</v>
      </c>
      <c r="B3136" t="s">
        <v>21</v>
      </c>
      <c r="C3136" s="2">
        <v>45115</v>
      </c>
      <c r="D3136">
        <v>2023</v>
      </c>
      <c r="E3136">
        <v>7</v>
      </c>
      <c r="F3136" t="s">
        <v>23</v>
      </c>
      <c r="G3136">
        <v>68</v>
      </c>
      <c r="H3136" s="3">
        <v>5.47</v>
      </c>
      <c r="I3136" s="3">
        <v>371.96</v>
      </c>
    </row>
    <row r="3137" spans="1:9" x14ac:dyDescent="0.35">
      <c r="A3137">
        <v>3136</v>
      </c>
      <c r="B3137" t="s">
        <v>13</v>
      </c>
      <c r="C3137" s="2">
        <v>45115</v>
      </c>
      <c r="D3137">
        <v>2023</v>
      </c>
      <c r="E3137">
        <v>7</v>
      </c>
      <c r="F3137" t="s">
        <v>24</v>
      </c>
      <c r="G3137">
        <v>28</v>
      </c>
      <c r="H3137" s="3">
        <v>13.98</v>
      </c>
      <c r="I3137" s="3">
        <v>391.44</v>
      </c>
    </row>
    <row r="3138" spans="1:9" x14ac:dyDescent="0.35">
      <c r="A3138">
        <v>3137</v>
      </c>
      <c r="B3138" t="s">
        <v>13</v>
      </c>
      <c r="C3138" s="2">
        <v>45157</v>
      </c>
      <c r="D3138">
        <v>2023</v>
      </c>
      <c r="E3138">
        <v>8</v>
      </c>
      <c r="F3138" t="s">
        <v>24</v>
      </c>
      <c r="G3138">
        <v>40</v>
      </c>
      <c r="H3138" s="3">
        <v>13.98</v>
      </c>
      <c r="I3138" s="3">
        <v>559.20000000000005</v>
      </c>
    </row>
    <row r="3139" spans="1:9" x14ac:dyDescent="0.35">
      <c r="A3139">
        <v>3138</v>
      </c>
      <c r="B3139" t="s">
        <v>13</v>
      </c>
      <c r="C3139" s="2">
        <v>45158</v>
      </c>
      <c r="D3139">
        <v>2023</v>
      </c>
      <c r="E3139">
        <v>8</v>
      </c>
      <c r="F3139" t="s">
        <v>24</v>
      </c>
      <c r="G3139">
        <v>59</v>
      </c>
      <c r="H3139" s="3">
        <v>13.98</v>
      </c>
      <c r="I3139" s="3">
        <v>824.82</v>
      </c>
    </row>
    <row r="3140" spans="1:9" x14ac:dyDescent="0.35">
      <c r="A3140">
        <v>3139</v>
      </c>
      <c r="B3140" t="s">
        <v>21</v>
      </c>
      <c r="C3140" s="2">
        <v>45255</v>
      </c>
      <c r="D3140">
        <v>2023</v>
      </c>
      <c r="E3140">
        <v>11</v>
      </c>
      <c r="F3140" t="s">
        <v>26</v>
      </c>
      <c r="G3140">
        <v>22</v>
      </c>
      <c r="H3140" s="3">
        <v>8.98</v>
      </c>
      <c r="I3140" s="3">
        <v>197.56</v>
      </c>
    </row>
    <row r="3141" spans="1:9" x14ac:dyDescent="0.35">
      <c r="A3141">
        <v>3140</v>
      </c>
      <c r="B3141" t="s">
        <v>9</v>
      </c>
      <c r="C3141" s="2">
        <v>45263</v>
      </c>
      <c r="D3141">
        <v>2023</v>
      </c>
      <c r="E3141">
        <v>12</v>
      </c>
      <c r="F3141" t="s">
        <v>24</v>
      </c>
      <c r="G3141">
        <v>41</v>
      </c>
      <c r="H3141" s="3">
        <v>13.98</v>
      </c>
      <c r="I3141" s="3">
        <v>573.18000000000006</v>
      </c>
    </row>
    <row r="3142" spans="1:9" x14ac:dyDescent="0.35">
      <c r="A3142">
        <v>3141</v>
      </c>
      <c r="B3142" t="s">
        <v>17</v>
      </c>
      <c r="C3142" s="2">
        <v>45206</v>
      </c>
      <c r="D3142">
        <v>2023</v>
      </c>
      <c r="E3142">
        <v>10</v>
      </c>
      <c r="F3142" t="s">
        <v>23</v>
      </c>
      <c r="G3142">
        <v>28</v>
      </c>
      <c r="H3142" s="3">
        <v>5.47</v>
      </c>
      <c r="I3142" s="3">
        <v>153.16</v>
      </c>
    </row>
    <row r="3143" spans="1:9" x14ac:dyDescent="0.35">
      <c r="A3143">
        <v>3142</v>
      </c>
      <c r="B3143" t="s">
        <v>11</v>
      </c>
      <c r="C3143" s="2">
        <v>45269</v>
      </c>
      <c r="D3143">
        <v>2023</v>
      </c>
      <c r="E3143">
        <v>12</v>
      </c>
      <c r="F3143" t="s">
        <v>24</v>
      </c>
      <c r="G3143">
        <v>45</v>
      </c>
      <c r="H3143" s="3">
        <v>13.98</v>
      </c>
      <c r="I3143" s="3">
        <v>629.1</v>
      </c>
    </row>
    <row r="3144" spans="1:9" x14ac:dyDescent="0.35">
      <c r="A3144">
        <v>3143</v>
      </c>
      <c r="B3144" t="s">
        <v>17</v>
      </c>
      <c r="C3144" s="2">
        <v>45231</v>
      </c>
      <c r="D3144">
        <v>2023</v>
      </c>
      <c r="E3144">
        <v>11</v>
      </c>
      <c r="F3144" t="s">
        <v>24</v>
      </c>
      <c r="G3144">
        <v>49</v>
      </c>
      <c r="H3144" s="3">
        <v>13.98</v>
      </c>
      <c r="I3144" s="3">
        <v>685.02</v>
      </c>
    </row>
    <row r="3145" spans="1:9" x14ac:dyDescent="0.35">
      <c r="A3145">
        <v>3144</v>
      </c>
      <c r="B3145" t="s">
        <v>21</v>
      </c>
      <c r="C3145" s="2">
        <v>45265</v>
      </c>
      <c r="D3145">
        <v>2023</v>
      </c>
      <c r="E3145">
        <v>12</v>
      </c>
      <c r="F3145" t="s">
        <v>27</v>
      </c>
      <c r="G3145">
        <v>38</v>
      </c>
      <c r="H3145" s="3">
        <v>9.98</v>
      </c>
      <c r="I3145" s="3">
        <v>379.24</v>
      </c>
    </row>
    <row r="3146" spans="1:9" x14ac:dyDescent="0.35">
      <c r="A3146">
        <v>3145</v>
      </c>
      <c r="B3146" t="s">
        <v>13</v>
      </c>
      <c r="C3146" s="2">
        <v>45285</v>
      </c>
      <c r="D3146">
        <v>2023</v>
      </c>
      <c r="E3146">
        <v>12</v>
      </c>
      <c r="F3146" t="s">
        <v>26</v>
      </c>
      <c r="G3146">
        <v>47</v>
      </c>
      <c r="H3146" s="3">
        <v>8.98</v>
      </c>
      <c r="I3146" s="3">
        <v>422.06</v>
      </c>
    </row>
    <row r="3147" spans="1:9" x14ac:dyDescent="0.35">
      <c r="A3147">
        <v>3146</v>
      </c>
      <c r="B3147" t="s">
        <v>13</v>
      </c>
      <c r="C3147" s="2">
        <v>45285</v>
      </c>
      <c r="D3147">
        <v>2023</v>
      </c>
      <c r="E3147">
        <v>12</v>
      </c>
      <c r="F3147" t="s">
        <v>24</v>
      </c>
      <c r="G3147">
        <v>21</v>
      </c>
      <c r="H3147" s="3">
        <v>13.98</v>
      </c>
      <c r="I3147" s="3">
        <v>293.58</v>
      </c>
    </row>
    <row r="3148" spans="1:9" x14ac:dyDescent="0.35">
      <c r="A3148">
        <v>3147</v>
      </c>
      <c r="B3148" t="s">
        <v>9</v>
      </c>
      <c r="C3148" s="2">
        <v>45273</v>
      </c>
      <c r="D3148">
        <v>2023</v>
      </c>
      <c r="E3148">
        <v>12</v>
      </c>
      <c r="F3148" t="s">
        <v>26</v>
      </c>
      <c r="G3148">
        <v>36</v>
      </c>
      <c r="H3148" s="3">
        <v>8.98</v>
      </c>
      <c r="I3148" s="3">
        <v>323.28000000000003</v>
      </c>
    </row>
    <row r="3149" spans="1:9" x14ac:dyDescent="0.35">
      <c r="A3149">
        <v>3148</v>
      </c>
      <c r="B3149" t="s">
        <v>11</v>
      </c>
      <c r="C3149" s="2">
        <v>45216</v>
      </c>
      <c r="D3149">
        <v>2023</v>
      </c>
      <c r="E3149">
        <v>10</v>
      </c>
      <c r="F3149" t="s">
        <v>26</v>
      </c>
      <c r="G3149">
        <v>15</v>
      </c>
      <c r="H3149" s="3">
        <v>8.98</v>
      </c>
      <c r="I3149" s="3">
        <v>134.70000000000002</v>
      </c>
    </row>
    <row r="3150" spans="1:9" x14ac:dyDescent="0.35">
      <c r="A3150">
        <v>3149</v>
      </c>
      <c r="B3150" t="s">
        <v>18</v>
      </c>
      <c r="C3150" s="2">
        <v>45254</v>
      </c>
      <c r="D3150">
        <v>2023</v>
      </c>
      <c r="E3150">
        <v>11</v>
      </c>
      <c r="F3150" t="s">
        <v>24</v>
      </c>
      <c r="G3150">
        <v>10</v>
      </c>
      <c r="H3150" s="3">
        <v>13.98</v>
      </c>
      <c r="I3150" s="3">
        <v>139.80000000000001</v>
      </c>
    </row>
    <row r="3151" spans="1:9" x14ac:dyDescent="0.35">
      <c r="A3151">
        <v>3150</v>
      </c>
      <c r="B3151" t="s">
        <v>11</v>
      </c>
      <c r="C3151" s="2">
        <v>45260</v>
      </c>
      <c r="D3151">
        <v>2023</v>
      </c>
      <c r="E3151">
        <v>11</v>
      </c>
      <c r="F3151" t="s">
        <v>27</v>
      </c>
      <c r="G3151">
        <v>21</v>
      </c>
      <c r="H3151" s="3">
        <v>9.98</v>
      </c>
      <c r="I3151" s="3">
        <v>209.58</v>
      </c>
    </row>
    <row r="3152" spans="1:9" x14ac:dyDescent="0.35">
      <c r="A3152">
        <v>3151</v>
      </c>
      <c r="B3152" t="s">
        <v>21</v>
      </c>
      <c r="C3152" s="2">
        <v>45219</v>
      </c>
      <c r="D3152">
        <v>2023</v>
      </c>
      <c r="E3152">
        <v>10</v>
      </c>
      <c r="F3152" t="s">
        <v>24</v>
      </c>
      <c r="G3152">
        <v>55</v>
      </c>
      <c r="H3152" s="3">
        <v>13.98</v>
      </c>
      <c r="I3152" s="3">
        <v>768.9</v>
      </c>
    </row>
    <row r="3153" spans="1:9" x14ac:dyDescent="0.35">
      <c r="A3153">
        <v>3152</v>
      </c>
      <c r="B3153" t="s">
        <v>18</v>
      </c>
      <c r="C3153" s="2">
        <v>45209</v>
      </c>
      <c r="D3153">
        <v>2023</v>
      </c>
      <c r="E3153">
        <v>10</v>
      </c>
      <c r="F3153" t="s">
        <v>24</v>
      </c>
      <c r="G3153">
        <v>59</v>
      </c>
      <c r="H3153" s="3">
        <v>13.98</v>
      </c>
      <c r="I3153" s="3">
        <v>824.82</v>
      </c>
    </row>
    <row r="3154" spans="1:9" x14ac:dyDescent="0.35">
      <c r="A3154">
        <v>3153</v>
      </c>
      <c r="B3154" t="s">
        <v>11</v>
      </c>
      <c r="C3154" s="2">
        <v>45243</v>
      </c>
      <c r="D3154">
        <v>2023</v>
      </c>
      <c r="E3154">
        <v>11</v>
      </c>
      <c r="F3154" t="s">
        <v>27</v>
      </c>
      <c r="G3154">
        <v>18</v>
      </c>
      <c r="H3154" s="3">
        <v>9.98</v>
      </c>
      <c r="I3154" s="3">
        <v>179.64000000000001</v>
      </c>
    </row>
    <row r="3155" spans="1:9" x14ac:dyDescent="0.35">
      <c r="A3155">
        <v>3154</v>
      </c>
      <c r="B3155" t="s">
        <v>13</v>
      </c>
      <c r="C3155" s="2">
        <v>45256</v>
      </c>
      <c r="D3155">
        <v>2023</v>
      </c>
      <c r="E3155">
        <v>11</v>
      </c>
      <c r="F3155" t="s">
        <v>25</v>
      </c>
      <c r="G3155">
        <v>59</v>
      </c>
      <c r="H3155" s="3">
        <v>10.97</v>
      </c>
      <c r="I3155" s="3">
        <v>647.23</v>
      </c>
    </row>
    <row r="3156" spans="1:9" x14ac:dyDescent="0.35">
      <c r="A3156">
        <v>3155</v>
      </c>
      <c r="B3156" t="s">
        <v>17</v>
      </c>
      <c r="C3156" s="2">
        <v>45257</v>
      </c>
      <c r="D3156">
        <v>2023</v>
      </c>
      <c r="E3156">
        <v>11</v>
      </c>
      <c r="F3156" t="s">
        <v>23</v>
      </c>
      <c r="G3156">
        <v>36</v>
      </c>
      <c r="H3156" s="3">
        <v>5.47</v>
      </c>
      <c r="I3156" s="3">
        <v>196.92</v>
      </c>
    </row>
    <row r="3157" spans="1:9" x14ac:dyDescent="0.35">
      <c r="A3157">
        <v>3156</v>
      </c>
      <c r="B3157" t="s">
        <v>17</v>
      </c>
      <c r="C3157" s="2">
        <v>45244</v>
      </c>
      <c r="D3157">
        <v>2023</v>
      </c>
      <c r="E3157">
        <v>11</v>
      </c>
      <c r="F3157" t="s">
        <v>24</v>
      </c>
      <c r="G3157">
        <v>14</v>
      </c>
      <c r="H3157" s="3">
        <v>13.98</v>
      </c>
      <c r="I3157" s="3">
        <v>195.72</v>
      </c>
    </row>
    <row r="3158" spans="1:9" x14ac:dyDescent="0.35">
      <c r="A3158">
        <v>3157</v>
      </c>
      <c r="B3158" t="s">
        <v>17</v>
      </c>
      <c r="C3158" s="2">
        <v>45286</v>
      </c>
      <c r="D3158">
        <v>2023</v>
      </c>
      <c r="E3158">
        <v>12</v>
      </c>
      <c r="F3158" t="s">
        <v>23</v>
      </c>
      <c r="G3158">
        <v>42</v>
      </c>
      <c r="H3158" s="3">
        <v>5.47</v>
      </c>
      <c r="I3158" s="3">
        <v>229.73999999999998</v>
      </c>
    </row>
    <row r="3159" spans="1:9" x14ac:dyDescent="0.35">
      <c r="A3159">
        <v>3158</v>
      </c>
      <c r="B3159" t="s">
        <v>11</v>
      </c>
      <c r="C3159" s="2">
        <v>45284</v>
      </c>
      <c r="D3159">
        <v>2023</v>
      </c>
      <c r="E3159">
        <v>12</v>
      </c>
      <c r="F3159" t="s">
        <v>26</v>
      </c>
      <c r="G3159">
        <v>35</v>
      </c>
      <c r="H3159" s="3">
        <v>8.98</v>
      </c>
      <c r="I3159" s="3">
        <v>314.3</v>
      </c>
    </row>
    <row r="3160" spans="1:9" x14ac:dyDescent="0.35">
      <c r="A3160">
        <v>3159</v>
      </c>
      <c r="B3160" t="s">
        <v>11</v>
      </c>
      <c r="C3160" s="2">
        <v>45239</v>
      </c>
      <c r="D3160">
        <v>2023</v>
      </c>
      <c r="E3160">
        <v>11</v>
      </c>
      <c r="F3160" t="s">
        <v>26</v>
      </c>
      <c r="G3160">
        <v>27</v>
      </c>
      <c r="H3160" s="3">
        <v>8.98</v>
      </c>
      <c r="I3160" s="3">
        <v>242.46</v>
      </c>
    </row>
    <row r="3161" spans="1:9" x14ac:dyDescent="0.35">
      <c r="A3161">
        <v>3160</v>
      </c>
      <c r="B3161" t="s">
        <v>18</v>
      </c>
      <c r="C3161" s="2">
        <v>45266</v>
      </c>
      <c r="D3161">
        <v>2023</v>
      </c>
      <c r="E3161">
        <v>12</v>
      </c>
      <c r="F3161" t="s">
        <v>27</v>
      </c>
      <c r="G3161">
        <v>35</v>
      </c>
      <c r="H3161" s="3">
        <v>9.98</v>
      </c>
      <c r="I3161" s="3">
        <v>349.3</v>
      </c>
    </row>
    <row r="3162" spans="1:9" x14ac:dyDescent="0.35">
      <c r="A3162">
        <v>3161</v>
      </c>
      <c r="B3162" t="s">
        <v>18</v>
      </c>
      <c r="C3162" s="2">
        <v>45217</v>
      </c>
      <c r="D3162">
        <v>2023</v>
      </c>
      <c r="E3162">
        <v>10</v>
      </c>
      <c r="F3162" t="s">
        <v>23</v>
      </c>
      <c r="G3162">
        <v>38</v>
      </c>
      <c r="H3162" s="3">
        <v>5.47</v>
      </c>
      <c r="I3162" s="3">
        <v>207.85999999999999</v>
      </c>
    </row>
    <row r="3163" spans="1:9" x14ac:dyDescent="0.35">
      <c r="A3163">
        <v>3162</v>
      </c>
      <c r="B3163" t="s">
        <v>17</v>
      </c>
      <c r="C3163" s="2">
        <v>45268</v>
      </c>
      <c r="D3163">
        <v>2023</v>
      </c>
      <c r="E3163">
        <v>12</v>
      </c>
      <c r="F3163" t="s">
        <v>24</v>
      </c>
      <c r="G3163">
        <v>13</v>
      </c>
      <c r="H3163" s="3">
        <v>13.98</v>
      </c>
      <c r="I3163" s="3">
        <v>181.74</v>
      </c>
    </row>
    <row r="3164" spans="1:9" x14ac:dyDescent="0.35">
      <c r="A3164">
        <v>3163</v>
      </c>
      <c r="B3164" t="s">
        <v>18</v>
      </c>
      <c r="C3164" s="2">
        <v>45237</v>
      </c>
      <c r="D3164">
        <v>2023</v>
      </c>
      <c r="E3164">
        <v>11</v>
      </c>
      <c r="F3164" t="s">
        <v>24</v>
      </c>
      <c r="G3164">
        <v>50</v>
      </c>
      <c r="H3164" s="3">
        <v>13.98</v>
      </c>
      <c r="I3164" s="3">
        <v>699</v>
      </c>
    </row>
    <row r="3165" spans="1:9" x14ac:dyDescent="0.35">
      <c r="A3165">
        <v>3164</v>
      </c>
      <c r="B3165" t="s">
        <v>13</v>
      </c>
      <c r="C3165" s="2">
        <v>45263</v>
      </c>
      <c r="D3165">
        <v>2023</v>
      </c>
      <c r="E3165">
        <v>12</v>
      </c>
      <c r="F3165" t="s">
        <v>25</v>
      </c>
      <c r="G3165">
        <v>10</v>
      </c>
      <c r="H3165" s="3">
        <v>10.97</v>
      </c>
      <c r="I3165" s="3">
        <v>109.7</v>
      </c>
    </row>
    <row r="3166" spans="1:9" x14ac:dyDescent="0.35">
      <c r="A3166">
        <v>3165</v>
      </c>
      <c r="B3166" t="s">
        <v>13</v>
      </c>
      <c r="C3166" s="2">
        <v>45230</v>
      </c>
      <c r="D3166">
        <v>2023</v>
      </c>
      <c r="E3166">
        <v>10</v>
      </c>
      <c r="F3166" t="s">
        <v>24</v>
      </c>
      <c r="G3166">
        <v>54</v>
      </c>
      <c r="H3166" s="3">
        <v>13.98</v>
      </c>
      <c r="I3166" s="3">
        <v>754.92000000000007</v>
      </c>
    </row>
    <row r="3167" spans="1:9" x14ac:dyDescent="0.35">
      <c r="A3167">
        <v>3166</v>
      </c>
      <c r="B3167" t="s">
        <v>9</v>
      </c>
      <c r="C3167" s="2">
        <v>45208</v>
      </c>
      <c r="D3167">
        <v>2023</v>
      </c>
      <c r="E3167">
        <v>10</v>
      </c>
      <c r="F3167" t="s">
        <v>23</v>
      </c>
      <c r="G3167">
        <v>40</v>
      </c>
      <c r="H3167" s="3">
        <v>5.47</v>
      </c>
      <c r="I3167" s="3">
        <v>218.79999999999998</v>
      </c>
    </row>
    <row r="3168" spans="1:9" x14ac:dyDescent="0.35">
      <c r="A3168">
        <v>3167</v>
      </c>
      <c r="B3168" t="s">
        <v>21</v>
      </c>
      <c r="C3168" s="2">
        <v>45212</v>
      </c>
      <c r="D3168">
        <v>2023</v>
      </c>
      <c r="E3168">
        <v>10</v>
      </c>
      <c r="F3168" t="s">
        <v>24</v>
      </c>
      <c r="G3168">
        <v>28</v>
      </c>
      <c r="H3168" s="3">
        <v>13.98</v>
      </c>
      <c r="I3168" s="3">
        <v>391.44</v>
      </c>
    </row>
    <row r="3169" spans="1:9" x14ac:dyDescent="0.35">
      <c r="A3169">
        <v>3168</v>
      </c>
      <c r="B3169" t="s">
        <v>11</v>
      </c>
      <c r="C3169" s="2">
        <v>45268</v>
      </c>
      <c r="D3169">
        <v>2023</v>
      </c>
      <c r="E3169">
        <v>12</v>
      </c>
      <c r="F3169" t="s">
        <v>27</v>
      </c>
      <c r="G3169">
        <v>38</v>
      </c>
      <c r="H3169" s="3">
        <v>9.98</v>
      </c>
      <c r="I3169" s="3">
        <v>379.24</v>
      </c>
    </row>
    <row r="3170" spans="1:9" x14ac:dyDescent="0.35">
      <c r="A3170">
        <v>3169</v>
      </c>
      <c r="B3170" t="s">
        <v>11</v>
      </c>
      <c r="C3170" s="2">
        <v>45252</v>
      </c>
      <c r="D3170">
        <v>2023</v>
      </c>
      <c r="E3170">
        <v>11</v>
      </c>
      <c r="F3170" t="s">
        <v>25</v>
      </c>
      <c r="G3170">
        <v>40</v>
      </c>
      <c r="H3170" s="3">
        <v>10.97</v>
      </c>
      <c r="I3170" s="3">
        <v>438.8</v>
      </c>
    </row>
    <row r="3171" spans="1:9" x14ac:dyDescent="0.35">
      <c r="A3171">
        <v>3170</v>
      </c>
      <c r="B3171" t="s">
        <v>17</v>
      </c>
      <c r="C3171" s="2">
        <v>45204</v>
      </c>
      <c r="D3171">
        <v>2023</v>
      </c>
      <c r="E3171">
        <v>10</v>
      </c>
      <c r="F3171" t="s">
        <v>27</v>
      </c>
      <c r="G3171">
        <v>40</v>
      </c>
      <c r="H3171" s="3">
        <v>9.98</v>
      </c>
      <c r="I3171" s="3">
        <v>399.20000000000005</v>
      </c>
    </row>
    <row r="3172" spans="1:9" x14ac:dyDescent="0.35">
      <c r="A3172">
        <v>3171</v>
      </c>
      <c r="B3172" t="s">
        <v>13</v>
      </c>
      <c r="C3172" s="2">
        <v>45219</v>
      </c>
      <c r="D3172">
        <v>2023</v>
      </c>
      <c r="E3172">
        <v>10</v>
      </c>
      <c r="F3172" t="s">
        <v>24</v>
      </c>
      <c r="G3172">
        <v>10</v>
      </c>
      <c r="H3172" s="3">
        <v>13.98</v>
      </c>
      <c r="I3172" s="3">
        <v>139.80000000000001</v>
      </c>
    </row>
    <row r="3173" spans="1:9" x14ac:dyDescent="0.35">
      <c r="A3173">
        <v>3172</v>
      </c>
      <c r="B3173" t="s">
        <v>13</v>
      </c>
      <c r="C3173" s="2">
        <v>45256</v>
      </c>
      <c r="D3173">
        <v>2023</v>
      </c>
      <c r="E3173">
        <v>11</v>
      </c>
      <c r="F3173" t="s">
        <v>26</v>
      </c>
      <c r="G3173">
        <v>28</v>
      </c>
      <c r="H3173" s="3">
        <v>8.98</v>
      </c>
      <c r="I3173" s="3">
        <v>251.44</v>
      </c>
    </row>
    <row r="3174" spans="1:9" x14ac:dyDescent="0.35">
      <c r="A3174">
        <v>3173</v>
      </c>
      <c r="B3174" t="s">
        <v>9</v>
      </c>
      <c r="C3174" s="2">
        <v>45229</v>
      </c>
      <c r="D3174">
        <v>2023</v>
      </c>
      <c r="E3174">
        <v>10</v>
      </c>
      <c r="F3174" t="s">
        <v>26</v>
      </c>
      <c r="G3174">
        <v>30</v>
      </c>
      <c r="H3174" s="3">
        <v>8.98</v>
      </c>
      <c r="I3174" s="3">
        <v>269.40000000000003</v>
      </c>
    </row>
    <row r="3175" spans="1:9" x14ac:dyDescent="0.35">
      <c r="A3175">
        <v>3174</v>
      </c>
      <c r="B3175" t="s">
        <v>17</v>
      </c>
      <c r="C3175" s="2">
        <v>45224</v>
      </c>
      <c r="D3175">
        <v>2023</v>
      </c>
      <c r="E3175">
        <v>10</v>
      </c>
      <c r="F3175" t="s">
        <v>26</v>
      </c>
      <c r="G3175">
        <v>24</v>
      </c>
      <c r="H3175" s="3">
        <v>8.98</v>
      </c>
      <c r="I3175" s="3">
        <v>215.52</v>
      </c>
    </row>
    <row r="3176" spans="1:9" x14ac:dyDescent="0.35">
      <c r="A3176">
        <v>3175</v>
      </c>
      <c r="B3176" t="s">
        <v>17</v>
      </c>
      <c r="C3176" s="2">
        <v>45251</v>
      </c>
      <c r="D3176">
        <v>2023</v>
      </c>
      <c r="E3176">
        <v>11</v>
      </c>
      <c r="F3176" t="s">
        <v>24</v>
      </c>
      <c r="G3176">
        <v>53</v>
      </c>
      <c r="H3176" s="3">
        <v>13.98</v>
      </c>
      <c r="I3176" s="3">
        <v>740.94</v>
      </c>
    </row>
    <row r="3177" spans="1:9" x14ac:dyDescent="0.35">
      <c r="A3177">
        <v>3176</v>
      </c>
      <c r="B3177" t="s">
        <v>21</v>
      </c>
      <c r="C3177" s="2">
        <v>45247</v>
      </c>
      <c r="D3177">
        <v>2023</v>
      </c>
      <c r="E3177">
        <v>11</v>
      </c>
      <c r="F3177" t="s">
        <v>26</v>
      </c>
      <c r="G3177">
        <v>37</v>
      </c>
      <c r="H3177" s="3">
        <v>8.98</v>
      </c>
      <c r="I3177" s="3">
        <v>332.26</v>
      </c>
    </row>
    <row r="3178" spans="1:9" x14ac:dyDescent="0.35">
      <c r="A3178">
        <v>3177</v>
      </c>
      <c r="B3178" t="s">
        <v>11</v>
      </c>
      <c r="C3178" s="2">
        <v>45267</v>
      </c>
      <c r="D3178">
        <v>2023</v>
      </c>
      <c r="E3178">
        <v>12</v>
      </c>
      <c r="F3178" t="s">
        <v>25</v>
      </c>
      <c r="G3178">
        <v>26</v>
      </c>
      <c r="H3178" s="3">
        <v>10.97</v>
      </c>
      <c r="I3178" s="3">
        <v>285.22000000000003</v>
      </c>
    </row>
    <row r="3179" spans="1:9" x14ac:dyDescent="0.35">
      <c r="A3179">
        <v>3178</v>
      </c>
      <c r="B3179" t="s">
        <v>9</v>
      </c>
      <c r="C3179" s="2">
        <v>45274</v>
      </c>
      <c r="D3179">
        <v>2023</v>
      </c>
      <c r="E3179">
        <v>12</v>
      </c>
      <c r="F3179" t="s">
        <v>24</v>
      </c>
      <c r="G3179">
        <v>54</v>
      </c>
      <c r="H3179" s="3">
        <v>13.98</v>
      </c>
      <c r="I3179" s="3">
        <v>754.92000000000007</v>
      </c>
    </row>
    <row r="3180" spans="1:9" x14ac:dyDescent="0.35">
      <c r="A3180">
        <v>3179</v>
      </c>
      <c r="B3180" t="s">
        <v>17</v>
      </c>
      <c r="C3180" s="2">
        <v>45290</v>
      </c>
      <c r="D3180">
        <v>2023</v>
      </c>
      <c r="E3180">
        <v>12</v>
      </c>
      <c r="F3180" t="s">
        <v>25</v>
      </c>
      <c r="G3180">
        <v>28</v>
      </c>
      <c r="H3180" s="3">
        <v>10.97</v>
      </c>
      <c r="I3180" s="3">
        <v>307.16000000000003</v>
      </c>
    </row>
    <row r="3181" spans="1:9" x14ac:dyDescent="0.35">
      <c r="A3181">
        <v>3180</v>
      </c>
      <c r="B3181" t="s">
        <v>17</v>
      </c>
      <c r="C3181" s="2">
        <v>45241</v>
      </c>
      <c r="D3181">
        <v>2023</v>
      </c>
      <c r="E3181">
        <v>11</v>
      </c>
      <c r="F3181" t="s">
        <v>24</v>
      </c>
      <c r="G3181">
        <v>43</v>
      </c>
      <c r="H3181" s="3">
        <v>13.98</v>
      </c>
      <c r="I3181" s="3">
        <v>601.14</v>
      </c>
    </row>
    <row r="3182" spans="1:9" x14ac:dyDescent="0.35">
      <c r="A3182">
        <v>3181</v>
      </c>
      <c r="B3182" t="s">
        <v>9</v>
      </c>
      <c r="C3182" s="2">
        <v>45274</v>
      </c>
      <c r="D3182">
        <v>2023</v>
      </c>
      <c r="E3182">
        <v>12</v>
      </c>
      <c r="F3182" t="s">
        <v>24</v>
      </c>
      <c r="G3182">
        <v>29</v>
      </c>
      <c r="H3182" s="3">
        <v>13.98</v>
      </c>
      <c r="I3182" s="3">
        <v>405.42</v>
      </c>
    </row>
    <row r="3183" spans="1:9" x14ac:dyDescent="0.35">
      <c r="A3183">
        <v>3182</v>
      </c>
      <c r="B3183" t="s">
        <v>21</v>
      </c>
      <c r="C3183" s="2">
        <v>45205</v>
      </c>
      <c r="D3183">
        <v>2023</v>
      </c>
      <c r="E3183">
        <v>10</v>
      </c>
      <c r="F3183" t="s">
        <v>26</v>
      </c>
      <c r="G3183">
        <v>20</v>
      </c>
      <c r="H3183" s="3">
        <v>8.98</v>
      </c>
      <c r="I3183" s="3">
        <v>179.60000000000002</v>
      </c>
    </row>
    <row r="3184" spans="1:9" x14ac:dyDescent="0.35">
      <c r="A3184">
        <v>3183</v>
      </c>
      <c r="B3184" t="s">
        <v>11</v>
      </c>
      <c r="C3184" s="2">
        <v>45208</v>
      </c>
      <c r="D3184">
        <v>2023</v>
      </c>
      <c r="E3184">
        <v>10</v>
      </c>
      <c r="F3184" t="s">
        <v>23</v>
      </c>
      <c r="G3184">
        <v>20</v>
      </c>
      <c r="H3184" s="3">
        <v>5.47</v>
      </c>
      <c r="I3184" s="3">
        <v>109.39999999999999</v>
      </c>
    </row>
    <row r="3185" spans="1:9" x14ac:dyDescent="0.35">
      <c r="A3185">
        <v>3184</v>
      </c>
      <c r="B3185" t="s">
        <v>11</v>
      </c>
      <c r="C3185" s="2">
        <v>45238</v>
      </c>
      <c r="D3185">
        <v>2023</v>
      </c>
      <c r="E3185">
        <v>11</v>
      </c>
      <c r="F3185" t="s">
        <v>23</v>
      </c>
      <c r="G3185">
        <v>27</v>
      </c>
      <c r="H3185" s="3">
        <v>5.47</v>
      </c>
      <c r="I3185" s="3">
        <v>147.69</v>
      </c>
    </row>
    <row r="3186" spans="1:9" x14ac:dyDescent="0.35">
      <c r="A3186">
        <v>3185</v>
      </c>
      <c r="B3186" t="s">
        <v>11</v>
      </c>
      <c r="C3186" s="2">
        <v>45279</v>
      </c>
      <c r="D3186">
        <v>2023</v>
      </c>
      <c r="E3186">
        <v>12</v>
      </c>
      <c r="F3186" t="s">
        <v>23</v>
      </c>
      <c r="G3186">
        <v>39</v>
      </c>
      <c r="H3186" s="3">
        <v>5.47</v>
      </c>
      <c r="I3186" s="3">
        <v>213.32999999999998</v>
      </c>
    </row>
    <row r="3187" spans="1:9" x14ac:dyDescent="0.35">
      <c r="A3187">
        <v>3186</v>
      </c>
      <c r="B3187" t="s">
        <v>9</v>
      </c>
      <c r="C3187" s="2">
        <v>45219</v>
      </c>
      <c r="D3187">
        <v>2023</v>
      </c>
      <c r="E3187">
        <v>10</v>
      </c>
      <c r="F3187" t="s">
        <v>25</v>
      </c>
      <c r="G3187">
        <v>40</v>
      </c>
      <c r="H3187" s="3">
        <v>10.97</v>
      </c>
      <c r="I3187" s="3">
        <v>438.8</v>
      </c>
    </row>
    <row r="3188" spans="1:9" x14ac:dyDescent="0.35">
      <c r="A3188">
        <v>3187</v>
      </c>
      <c r="B3188" t="s">
        <v>9</v>
      </c>
      <c r="C3188" s="2">
        <v>45257</v>
      </c>
      <c r="D3188">
        <v>2023</v>
      </c>
      <c r="E3188">
        <v>11</v>
      </c>
      <c r="F3188" t="s">
        <v>25</v>
      </c>
      <c r="G3188">
        <v>26</v>
      </c>
      <c r="H3188" s="3">
        <v>10.97</v>
      </c>
      <c r="I3188" s="3">
        <v>285.22000000000003</v>
      </c>
    </row>
    <row r="3189" spans="1:9" x14ac:dyDescent="0.35">
      <c r="A3189">
        <v>3188</v>
      </c>
      <c r="B3189" t="s">
        <v>9</v>
      </c>
      <c r="C3189" s="2">
        <v>45239</v>
      </c>
      <c r="D3189">
        <v>2023</v>
      </c>
      <c r="E3189">
        <v>11</v>
      </c>
      <c r="F3189" t="s">
        <v>27</v>
      </c>
      <c r="G3189">
        <v>38</v>
      </c>
      <c r="H3189" s="3">
        <v>9.98</v>
      </c>
      <c r="I3189" s="3">
        <v>379.24</v>
      </c>
    </row>
    <row r="3190" spans="1:9" x14ac:dyDescent="0.35">
      <c r="A3190">
        <v>3189</v>
      </c>
      <c r="B3190" t="s">
        <v>9</v>
      </c>
      <c r="C3190" s="2">
        <v>45207</v>
      </c>
      <c r="D3190">
        <v>2023</v>
      </c>
      <c r="E3190">
        <v>10</v>
      </c>
      <c r="F3190" t="s">
        <v>27</v>
      </c>
      <c r="G3190">
        <v>50</v>
      </c>
      <c r="H3190" s="3">
        <v>9.98</v>
      </c>
      <c r="I3190" s="3">
        <v>499</v>
      </c>
    </row>
    <row r="3191" spans="1:9" x14ac:dyDescent="0.35">
      <c r="A3191">
        <v>3190</v>
      </c>
      <c r="B3191" t="s">
        <v>13</v>
      </c>
      <c r="C3191" s="2">
        <v>45201</v>
      </c>
      <c r="D3191">
        <v>2023</v>
      </c>
      <c r="E3191">
        <v>10</v>
      </c>
      <c r="F3191" t="s">
        <v>27</v>
      </c>
      <c r="G3191">
        <v>50</v>
      </c>
      <c r="H3191" s="3">
        <v>9.98</v>
      </c>
      <c r="I3191" s="3">
        <v>499</v>
      </c>
    </row>
    <row r="3192" spans="1:9" x14ac:dyDescent="0.35">
      <c r="A3192">
        <v>3191</v>
      </c>
      <c r="B3192" t="s">
        <v>13</v>
      </c>
      <c r="C3192" s="2">
        <v>45239</v>
      </c>
      <c r="D3192">
        <v>2023</v>
      </c>
      <c r="E3192">
        <v>11</v>
      </c>
      <c r="F3192" t="s">
        <v>27</v>
      </c>
      <c r="G3192">
        <v>48</v>
      </c>
      <c r="H3192" s="3">
        <v>9.98</v>
      </c>
      <c r="I3192" s="3">
        <v>479.04</v>
      </c>
    </row>
    <row r="3193" spans="1:9" x14ac:dyDescent="0.35">
      <c r="A3193">
        <v>3192</v>
      </c>
      <c r="B3193" t="s">
        <v>13</v>
      </c>
      <c r="C3193" s="2">
        <v>45223</v>
      </c>
      <c r="D3193">
        <v>2023</v>
      </c>
      <c r="E3193">
        <v>10</v>
      </c>
      <c r="F3193" t="s">
        <v>23</v>
      </c>
      <c r="G3193">
        <v>52</v>
      </c>
      <c r="H3193" s="3">
        <v>5.47</v>
      </c>
      <c r="I3193" s="3">
        <v>284.44</v>
      </c>
    </row>
    <row r="3194" spans="1:9" x14ac:dyDescent="0.35">
      <c r="A3194">
        <v>3193</v>
      </c>
      <c r="B3194" t="s">
        <v>21</v>
      </c>
      <c r="C3194" s="2">
        <v>45208</v>
      </c>
      <c r="D3194">
        <v>2023</v>
      </c>
      <c r="E3194">
        <v>10</v>
      </c>
      <c r="F3194" t="s">
        <v>23</v>
      </c>
      <c r="G3194">
        <v>46</v>
      </c>
      <c r="H3194" s="3">
        <v>5.47</v>
      </c>
      <c r="I3194" s="3">
        <v>251.61999999999998</v>
      </c>
    </row>
    <row r="3195" spans="1:9" x14ac:dyDescent="0.35">
      <c r="A3195">
        <v>3194</v>
      </c>
      <c r="B3195" t="s">
        <v>21</v>
      </c>
      <c r="C3195" s="2">
        <v>45232</v>
      </c>
      <c r="D3195">
        <v>2023</v>
      </c>
      <c r="E3195">
        <v>11</v>
      </c>
      <c r="F3195" t="s">
        <v>23</v>
      </c>
      <c r="G3195">
        <v>28</v>
      </c>
      <c r="H3195" s="3">
        <v>5.47</v>
      </c>
      <c r="I3195" s="3">
        <v>153.16</v>
      </c>
    </row>
    <row r="3196" spans="1:9" x14ac:dyDescent="0.35">
      <c r="A3196">
        <v>3195</v>
      </c>
      <c r="B3196" t="s">
        <v>21</v>
      </c>
      <c r="C3196" s="2">
        <v>45238</v>
      </c>
      <c r="D3196">
        <v>2023</v>
      </c>
      <c r="E3196">
        <v>11</v>
      </c>
      <c r="F3196" t="s">
        <v>25</v>
      </c>
      <c r="G3196">
        <v>30</v>
      </c>
      <c r="H3196" s="3">
        <v>10.97</v>
      </c>
      <c r="I3196" s="3">
        <v>329.1</v>
      </c>
    </row>
    <row r="3197" spans="1:9" x14ac:dyDescent="0.35">
      <c r="A3197">
        <v>3196</v>
      </c>
      <c r="B3197" t="s">
        <v>18</v>
      </c>
      <c r="C3197" s="2">
        <v>45200</v>
      </c>
      <c r="D3197">
        <v>2023</v>
      </c>
      <c r="E3197">
        <v>10</v>
      </c>
      <c r="F3197" t="s">
        <v>26</v>
      </c>
      <c r="G3197">
        <v>46</v>
      </c>
      <c r="H3197" s="3">
        <v>8.98</v>
      </c>
      <c r="I3197" s="3">
        <v>413.08000000000004</v>
      </c>
    </row>
    <row r="3198" spans="1:9" x14ac:dyDescent="0.35">
      <c r="A3198">
        <v>3197</v>
      </c>
      <c r="B3198" t="s">
        <v>18</v>
      </c>
      <c r="C3198" s="2">
        <v>45268</v>
      </c>
      <c r="D3198">
        <v>2023</v>
      </c>
      <c r="E3198">
        <v>12</v>
      </c>
      <c r="F3198" t="s">
        <v>25</v>
      </c>
      <c r="G3198">
        <v>28</v>
      </c>
      <c r="H3198" s="3">
        <v>10.97</v>
      </c>
      <c r="I3198" s="3">
        <v>307.16000000000003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8B098-D275-4623-9AF1-D1EAD6739087}">
  <sheetPr codeName="Sheet4"/>
  <dimension ref="B2:AU84"/>
  <sheetViews>
    <sheetView topLeftCell="AM66" zoomScale="88" zoomScaleNormal="88" workbookViewId="0">
      <selection activeCell="AU76" sqref="AU76"/>
    </sheetView>
  </sheetViews>
  <sheetFormatPr defaultRowHeight="14.5" x14ac:dyDescent="0.35"/>
  <cols>
    <col min="2" max="2" width="12.7265625" bestFit="1" customWidth="1"/>
    <col min="3" max="3" width="11.36328125" bestFit="1" customWidth="1"/>
    <col min="4" max="4" width="6.453125" bestFit="1" customWidth="1"/>
    <col min="5" max="16" width="10.7265625" bestFit="1" customWidth="1"/>
    <col min="46" max="46" width="12.7265625" bestFit="1" customWidth="1"/>
    <col min="47" max="47" width="11.36328125" bestFit="1" customWidth="1"/>
  </cols>
  <sheetData>
    <row r="2" spans="2:25" x14ac:dyDescent="0.35">
      <c r="B2" s="8" t="s">
        <v>5</v>
      </c>
      <c r="C2" t="s">
        <v>23</v>
      </c>
    </row>
    <row r="4" spans="2:25" x14ac:dyDescent="0.35">
      <c r="B4" s="8" t="s">
        <v>65</v>
      </c>
      <c r="C4" s="8" t="s">
        <v>60</v>
      </c>
    </row>
    <row r="5" spans="2:25" x14ac:dyDescent="0.35">
      <c r="B5" s="8" t="s">
        <v>59</v>
      </c>
      <c r="C5" t="s">
        <v>10</v>
      </c>
      <c r="D5" t="s">
        <v>15</v>
      </c>
      <c r="W5" t="s">
        <v>59</v>
      </c>
      <c r="X5" t="s">
        <v>10</v>
      </c>
      <c r="Y5" t="s">
        <v>15</v>
      </c>
    </row>
    <row r="6" spans="2:25" x14ac:dyDescent="0.35">
      <c r="B6" s="9" t="s">
        <v>63</v>
      </c>
      <c r="C6" s="10">
        <v>19892.448109400237</v>
      </c>
      <c r="D6" s="10">
        <v>36922.696884809775</v>
      </c>
      <c r="W6" t="s">
        <v>36</v>
      </c>
      <c r="X6" s="10">
        <v>19892.448109400237</v>
      </c>
      <c r="Y6" s="10">
        <v>36922.696884809775</v>
      </c>
    </row>
    <row r="7" spans="2:25" x14ac:dyDescent="0.35">
      <c r="B7" s="9" t="s">
        <v>64</v>
      </c>
      <c r="C7" s="10">
        <v>16857.856274416172</v>
      </c>
      <c r="D7" s="10">
        <v>34065.549222471171</v>
      </c>
      <c r="W7" t="s">
        <v>37</v>
      </c>
      <c r="X7" s="10">
        <v>16857.856274416172</v>
      </c>
      <c r="Y7" s="10">
        <v>34065.549222471171</v>
      </c>
    </row>
    <row r="8" spans="2:25" x14ac:dyDescent="0.35">
      <c r="B8" s="9" t="s">
        <v>61</v>
      </c>
      <c r="C8" s="10">
        <v>36904.463500203288</v>
      </c>
      <c r="D8" s="10">
        <v>15092.983713218284</v>
      </c>
      <c r="W8" t="s">
        <v>38</v>
      </c>
      <c r="X8" s="10">
        <v>36904.463500203288</v>
      </c>
      <c r="Y8" s="10">
        <v>15092.983713218284</v>
      </c>
    </row>
    <row r="9" spans="2:25" x14ac:dyDescent="0.35">
      <c r="B9" s="9" t="s">
        <v>62</v>
      </c>
      <c r="C9" s="10">
        <v>108486.31769839313</v>
      </c>
      <c r="D9" s="10">
        <v>31522.414835674615</v>
      </c>
      <c r="W9" t="s">
        <v>39</v>
      </c>
      <c r="X9" s="10">
        <v>108486.31769839313</v>
      </c>
      <c r="Y9" s="10">
        <v>31522.414835674615</v>
      </c>
    </row>
    <row r="28" spans="2:25" x14ac:dyDescent="0.35">
      <c r="B28" s="8" t="s">
        <v>5</v>
      </c>
      <c r="C28" t="s">
        <v>23</v>
      </c>
    </row>
    <row r="30" spans="2:25" x14ac:dyDescent="0.35">
      <c r="B30" s="8" t="s">
        <v>65</v>
      </c>
      <c r="C30" s="8" t="s">
        <v>60</v>
      </c>
    </row>
    <row r="31" spans="2:25" x14ac:dyDescent="0.35">
      <c r="B31" s="8" t="s">
        <v>59</v>
      </c>
      <c r="C31" t="s">
        <v>10</v>
      </c>
      <c r="D31" t="s">
        <v>15</v>
      </c>
      <c r="W31" t="s">
        <v>59</v>
      </c>
      <c r="X31" t="s">
        <v>10</v>
      </c>
      <c r="Y31" t="s">
        <v>15</v>
      </c>
    </row>
    <row r="32" spans="2:25" x14ac:dyDescent="0.35">
      <c r="B32" s="9" t="s">
        <v>63</v>
      </c>
      <c r="C32" s="11"/>
      <c r="D32" s="11"/>
      <c r="W32" t="s">
        <v>37</v>
      </c>
      <c r="X32" s="11">
        <v>-0.15254994349086975</v>
      </c>
      <c r="Y32" s="11">
        <v>-7.7381878990373867E-2</v>
      </c>
    </row>
    <row r="33" spans="2:25" x14ac:dyDescent="0.35">
      <c r="B33" s="9" t="s">
        <v>64</v>
      </c>
      <c r="C33" s="11">
        <v>-0.15254994349086975</v>
      </c>
      <c r="D33" s="11">
        <v>-7.7381878990373867E-2</v>
      </c>
      <c r="W33" t="s">
        <v>38</v>
      </c>
      <c r="X33" s="11">
        <v>1.1891551867250321</v>
      </c>
      <c r="Y33" s="11">
        <v>-0.55694289222666427</v>
      </c>
    </row>
    <row r="34" spans="2:25" x14ac:dyDescent="0.35">
      <c r="B34" s="9" t="s">
        <v>61</v>
      </c>
      <c r="C34" s="11">
        <v>1.1891551867250321</v>
      </c>
      <c r="D34" s="11">
        <v>-0.55694289222666427</v>
      </c>
      <c r="W34" t="s">
        <v>39</v>
      </c>
      <c r="X34" s="11">
        <v>1.9396530232120983</v>
      </c>
      <c r="Y34" s="11">
        <v>1.0885475950038692</v>
      </c>
    </row>
    <row r="35" spans="2:25" x14ac:dyDescent="0.35">
      <c r="B35" s="9" t="s">
        <v>62</v>
      </c>
      <c r="C35" s="11">
        <v>1.9396530232120983</v>
      </c>
      <c r="D35" s="11">
        <v>1.0885475950038692</v>
      </c>
    </row>
    <row r="40" spans="2:25" x14ac:dyDescent="0.35">
      <c r="B40" t="s">
        <v>67</v>
      </c>
    </row>
    <row r="42" spans="2:25" x14ac:dyDescent="0.35">
      <c r="B42" s="8" t="s">
        <v>1</v>
      </c>
      <c r="C42" t="s">
        <v>10</v>
      </c>
    </row>
    <row r="44" spans="2:25" x14ac:dyDescent="0.35">
      <c r="B44" s="8" t="s">
        <v>59</v>
      </c>
      <c r="C44" t="s">
        <v>65</v>
      </c>
    </row>
    <row r="45" spans="2:25" x14ac:dyDescent="0.35">
      <c r="B45" s="9" t="s">
        <v>26</v>
      </c>
      <c r="C45" s="11">
        <v>7.4463840151838226E-2</v>
      </c>
      <c r="W45" t="s">
        <v>26</v>
      </c>
      <c r="X45" s="11">
        <v>7.4463840151838226E-2</v>
      </c>
    </row>
    <row r="46" spans="2:25" x14ac:dyDescent="0.35">
      <c r="B46" s="9" t="s">
        <v>24</v>
      </c>
      <c r="C46" s="11">
        <v>0.17423717556710447</v>
      </c>
      <c r="W46" t="s">
        <v>24</v>
      </c>
      <c r="X46" s="11">
        <v>0.17423717556710447</v>
      </c>
    </row>
    <row r="47" spans="2:25" x14ac:dyDescent="0.35">
      <c r="B47" s="9" t="s">
        <v>23</v>
      </c>
      <c r="C47" s="11">
        <v>0.63030870820828966</v>
      </c>
      <c r="W47" t="s">
        <v>23</v>
      </c>
      <c r="X47" s="11">
        <v>0.63030870820828966</v>
      </c>
    </row>
    <row r="48" spans="2:25" x14ac:dyDescent="0.35">
      <c r="B48" s="9" t="s">
        <v>25</v>
      </c>
      <c r="C48" s="11">
        <v>5.8463422032434395E-3</v>
      </c>
      <c r="W48" t="s">
        <v>25</v>
      </c>
      <c r="X48" s="11">
        <v>5.8463422032434395E-3</v>
      </c>
    </row>
    <row r="49" spans="2:24" x14ac:dyDescent="0.35">
      <c r="B49" s="9" t="s">
        <v>27</v>
      </c>
      <c r="C49" s="11">
        <v>0.11514393386952426</v>
      </c>
      <c r="W49" t="s">
        <v>27</v>
      </c>
      <c r="X49" s="11">
        <v>0.11514393386952426</v>
      </c>
    </row>
    <row r="55" spans="2:24" x14ac:dyDescent="0.35">
      <c r="B55" t="s">
        <v>68</v>
      </c>
    </row>
    <row r="60" spans="2:24" x14ac:dyDescent="0.35">
      <c r="B60" s="8" t="s">
        <v>1</v>
      </c>
      <c r="C60" t="s">
        <v>15</v>
      </c>
    </row>
    <row r="62" spans="2:24" x14ac:dyDescent="0.35">
      <c r="B62" s="8" t="s">
        <v>59</v>
      </c>
      <c r="C62" t="s">
        <v>65</v>
      </c>
    </row>
    <row r="63" spans="2:24" x14ac:dyDescent="0.35">
      <c r="B63" s="9" t="s">
        <v>26</v>
      </c>
      <c r="C63" s="11">
        <v>0.19920517463056286</v>
      </c>
      <c r="W63" t="s">
        <v>26</v>
      </c>
      <c r="X63" s="11">
        <v>0.19920517463056286</v>
      </c>
    </row>
    <row r="64" spans="2:24" x14ac:dyDescent="0.35">
      <c r="B64" s="9" t="s">
        <v>24</v>
      </c>
      <c r="C64" s="11">
        <v>0.18920389913654745</v>
      </c>
      <c r="W64" t="s">
        <v>24</v>
      </c>
      <c r="X64" s="11">
        <v>0.18920389913654745</v>
      </c>
    </row>
    <row r="65" spans="2:47" x14ac:dyDescent="0.35">
      <c r="B65" s="9" t="s">
        <v>23</v>
      </c>
      <c r="C65" s="11">
        <v>0.17958394935683719</v>
      </c>
      <c r="W65" t="s">
        <v>23</v>
      </c>
      <c r="X65" s="11">
        <v>0.17958394935683719</v>
      </c>
    </row>
    <row r="66" spans="2:47" x14ac:dyDescent="0.35">
      <c r="B66" s="9" t="s">
        <v>25</v>
      </c>
      <c r="C66" s="11">
        <v>0.15528971063858238</v>
      </c>
      <c r="W66" t="s">
        <v>25</v>
      </c>
      <c r="X66" s="11">
        <v>0.15528971063858238</v>
      </c>
    </row>
    <row r="67" spans="2:47" x14ac:dyDescent="0.35">
      <c r="B67" s="9" t="s">
        <v>27</v>
      </c>
      <c r="C67" s="11">
        <v>0.27671726623747006</v>
      </c>
      <c r="W67" t="s">
        <v>27</v>
      </c>
      <c r="X67" s="11">
        <v>0.27671726623747006</v>
      </c>
    </row>
    <row r="70" spans="2:47" x14ac:dyDescent="0.35">
      <c r="AT70" t="s">
        <v>69</v>
      </c>
    </row>
    <row r="73" spans="2:47" x14ac:dyDescent="0.35">
      <c r="AT73" s="8" t="s">
        <v>5</v>
      </c>
      <c r="AU73" t="s">
        <v>23</v>
      </c>
    </row>
    <row r="75" spans="2:47" x14ac:dyDescent="0.35">
      <c r="AT75" s="8" t="s">
        <v>59</v>
      </c>
      <c r="AU75" t="s">
        <v>65</v>
      </c>
    </row>
    <row r="76" spans="2:47" x14ac:dyDescent="0.35">
      <c r="AP76" t="s">
        <v>11</v>
      </c>
      <c r="AQ76" s="11">
        <v>1.4999375591612687E-3</v>
      </c>
      <c r="AT76" s="9" t="s">
        <v>11</v>
      </c>
      <c r="AU76" s="11">
        <v>1.4999375591612687E-3</v>
      </c>
    </row>
    <row r="77" spans="2:47" x14ac:dyDescent="0.35">
      <c r="AP77" t="s">
        <v>9</v>
      </c>
      <c r="AQ77" s="11">
        <v>9.54469689258131E-2</v>
      </c>
      <c r="AT77" s="9" t="s">
        <v>9</v>
      </c>
      <c r="AU77" s="11">
        <v>9.54469689258131E-2</v>
      </c>
    </row>
    <row r="78" spans="2:47" x14ac:dyDescent="0.35">
      <c r="AP78" t="s">
        <v>17</v>
      </c>
      <c r="AQ78" s="11">
        <v>6.8213480104214186E-2</v>
      </c>
      <c r="AT78" s="9" t="s">
        <v>17</v>
      </c>
      <c r="AU78" s="11">
        <v>6.8213480104214186E-2</v>
      </c>
    </row>
    <row r="79" spans="2:47" x14ac:dyDescent="0.35">
      <c r="AP79" t="s">
        <v>13</v>
      </c>
      <c r="AQ79" s="11">
        <v>9.5586667848317194E-2</v>
      </c>
      <c r="AT79" s="9" t="s">
        <v>13</v>
      </c>
      <c r="AU79" s="11">
        <v>9.5586667848317194E-2</v>
      </c>
    </row>
    <row r="80" spans="2:47" x14ac:dyDescent="0.35">
      <c r="AP80" t="s">
        <v>14</v>
      </c>
      <c r="AQ80" s="11">
        <v>1.7547779659136564E-2</v>
      </c>
      <c r="AT80" s="9" t="s">
        <v>14</v>
      </c>
      <c r="AU80" s="11">
        <v>1.7547779659136564E-2</v>
      </c>
    </row>
    <row r="81" spans="42:47" x14ac:dyDescent="0.35">
      <c r="AP81" t="s">
        <v>15</v>
      </c>
      <c r="AQ81" s="11">
        <v>0.10413256245783753</v>
      </c>
      <c r="AT81" s="9" t="s">
        <v>15</v>
      </c>
      <c r="AU81" s="11">
        <v>0.10413256245783753</v>
      </c>
    </row>
    <row r="82" spans="42:47" x14ac:dyDescent="0.35">
      <c r="AP82" t="s">
        <v>10</v>
      </c>
      <c r="AQ82" s="11">
        <v>0.35837857957391356</v>
      </c>
      <c r="AT82" s="9" t="s">
        <v>10</v>
      </c>
      <c r="AU82" s="11">
        <v>0.35837857957391356</v>
      </c>
    </row>
    <row r="83" spans="42:47" x14ac:dyDescent="0.35">
      <c r="AP83" t="s">
        <v>16</v>
      </c>
      <c r="AQ83" s="11">
        <v>0.15517591937034422</v>
      </c>
      <c r="AT83" s="9" t="s">
        <v>16</v>
      </c>
      <c r="AU83" s="11">
        <v>0.15517591937034422</v>
      </c>
    </row>
    <row r="84" spans="42:47" x14ac:dyDescent="0.35">
      <c r="AP84" t="s">
        <v>12</v>
      </c>
      <c r="AQ84" s="11">
        <v>0.10401810450126249</v>
      </c>
      <c r="AT84" s="9" t="s">
        <v>12</v>
      </c>
      <c r="AU84" s="11">
        <v>0.10401810450126249</v>
      </c>
    </row>
  </sheetData>
  <sortState xmlns:xlrd2="http://schemas.microsoft.com/office/spreadsheetml/2017/richdata2" ref="B30:D35">
    <sortCondition ref="B32" customList="Qtr3,Qtr4,Qtr1,Qtr2"/>
  </sortState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F809-57FF-40D7-BE1B-575149AA45AF}">
  <sheetPr codeName="Sheet2"/>
  <dimension ref="A1:JU90"/>
  <sheetViews>
    <sheetView showGridLines="0" topLeftCell="D1" zoomScale="92" zoomScaleNormal="92" workbookViewId="0">
      <selection activeCell="EN17" sqref="EN17"/>
    </sheetView>
  </sheetViews>
  <sheetFormatPr defaultRowHeight="14.5" x14ac:dyDescent="0.35"/>
  <sheetData>
    <row r="1" spans="1:144" x14ac:dyDescent="0.35">
      <c r="A1" s="17" t="s">
        <v>55</v>
      </c>
      <c r="B1" s="17"/>
      <c r="C1" s="17"/>
      <c r="E1" s="17" t="s">
        <v>56</v>
      </c>
      <c r="F1" s="17"/>
      <c r="G1" s="17"/>
      <c r="BW1" t="s">
        <v>28</v>
      </c>
      <c r="BZ1">
        <v>2004</v>
      </c>
      <c r="CA1">
        <v>2005</v>
      </c>
      <c r="CB1">
        <v>2006</v>
      </c>
      <c r="CC1">
        <v>2020</v>
      </c>
      <c r="CD1">
        <v>2021</v>
      </c>
      <c r="CE1">
        <v>2022</v>
      </c>
      <c r="CF1">
        <v>2022</v>
      </c>
      <c r="CG1">
        <v>2022</v>
      </c>
      <c r="CH1">
        <v>2023</v>
      </c>
    </row>
    <row r="2" spans="1:144" x14ac:dyDescent="0.35">
      <c r="A2" s="17"/>
      <c r="B2" s="17"/>
      <c r="C2" s="17"/>
      <c r="E2" s="17"/>
      <c r="F2" s="17"/>
      <c r="G2" s="17"/>
      <c r="BW2" cm="1">
        <f t="array" ref="BW2:BW8">_xlfn.UNIQUE(ProductLine[[Year]:[Year]])</f>
        <v>2004</v>
      </c>
      <c r="BZ2" t="s">
        <v>29</v>
      </c>
      <c r="CA2" t="s">
        <v>30</v>
      </c>
      <c r="CB2" t="s">
        <v>30</v>
      </c>
      <c r="CC2" t="s">
        <v>29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</row>
    <row r="3" spans="1:144" x14ac:dyDescent="0.35">
      <c r="B3" s="4">
        <v>2005</v>
      </c>
      <c r="F3" s="5" t="s">
        <v>29</v>
      </c>
      <c r="BW3">
        <v>2005</v>
      </c>
      <c r="CA3" t="s">
        <v>31</v>
      </c>
      <c r="CB3" t="s">
        <v>31</v>
      </c>
      <c r="CD3" t="s">
        <v>31</v>
      </c>
      <c r="CE3" t="s">
        <v>31</v>
      </c>
      <c r="CF3" t="s">
        <v>31</v>
      </c>
      <c r="CG3" t="s">
        <v>31</v>
      </c>
      <c r="CH3" t="s">
        <v>31</v>
      </c>
    </row>
    <row r="4" spans="1:144" x14ac:dyDescent="0.35">
      <c r="BW4">
        <v>2006</v>
      </c>
      <c r="CA4" t="s">
        <v>32</v>
      </c>
      <c r="CB4" t="s">
        <v>32</v>
      </c>
      <c r="CD4" t="s">
        <v>32</v>
      </c>
      <c r="CE4" t="s">
        <v>32</v>
      </c>
      <c r="CF4" t="s">
        <v>32</v>
      </c>
      <c r="CG4" t="s">
        <v>32</v>
      </c>
      <c r="CH4" t="s">
        <v>32</v>
      </c>
    </row>
    <row r="5" spans="1:144" x14ac:dyDescent="0.35">
      <c r="A5" s="17" t="s">
        <v>57</v>
      </c>
      <c r="B5" s="17"/>
      <c r="C5" s="17"/>
      <c r="E5" s="17" t="s">
        <v>66</v>
      </c>
      <c r="F5" s="17"/>
      <c r="G5" s="17"/>
      <c r="BW5">
        <v>2020</v>
      </c>
      <c r="CA5" t="s">
        <v>29</v>
      </c>
      <c r="CB5" t="s">
        <v>29</v>
      </c>
      <c r="CD5" t="s">
        <v>29</v>
      </c>
      <c r="CE5" t="s">
        <v>29</v>
      </c>
      <c r="CF5" t="s">
        <v>29</v>
      </c>
      <c r="CG5" t="s">
        <v>29</v>
      </c>
      <c r="CH5" t="s">
        <v>29</v>
      </c>
    </row>
    <row r="6" spans="1:144" x14ac:dyDescent="0.35">
      <c r="A6" s="17"/>
      <c r="B6" s="17"/>
      <c r="C6" s="17"/>
      <c r="E6" s="17"/>
      <c r="F6" s="17"/>
      <c r="G6" s="17"/>
      <c r="I6" s="16" t="s">
        <v>58</v>
      </c>
      <c r="J6" s="16"/>
      <c r="K6" s="16"/>
      <c r="L6" s="16"/>
      <c r="BW6">
        <v>2021</v>
      </c>
    </row>
    <row r="7" spans="1:144" x14ac:dyDescent="0.35">
      <c r="B7" s="7" t="s">
        <v>17</v>
      </c>
      <c r="F7" s="12" t="s">
        <v>9</v>
      </c>
      <c r="J7" s="7" t="s">
        <v>24</v>
      </c>
      <c r="BW7">
        <v>2022</v>
      </c>
    </row>
    <row r="8" spans="1:144" x14ac:dyDescent="0.35">
      <c r="BW8">
        <v>2023</v>
      </c>
    </row>
    <row r="9" spans="1:144" ht="24.5" customHeight="1" x14ac:dyDescent="0.35"/>
    <row r="13" spans="1:144" x14ac:dyDescent="0.35">
      <c r="EN13" t="s">
        <v>25</v>
      </c>
    </row>
    <row r="14" spans="1:144" x14ac:dyDescent="0.35">
      <c r="BX14" s="6" t="str">
        <f>B3&amp;"_"&amp;F3</f>
        <v>2005_Q4</v>
      </c>
      <c r="EN14" t="s">
        <v>23</v>
      </c>
    </row>
    <row r="15" spans="1:144" x14ac:dyDescent="0.35">
      <c r="EN15" t="s">
        <v>26</v>
      </c>
    </row>
    <row r="16" spans="1:144" x14ac:dyDescent="0.35">
      <c r="EN16" t="s">
        <v>24</v>
      </c>
    </row>
    <row r="17" spans="144:144" x14ac:dyDescent="0.35">
      <c r="EN17" t="s">
        <v>27</v>
      </c>
    </row>
    <row r="83" spans="281:281" x14ac:dyDescent="0.35">
      <c r="JU83" t="str" cm="1">
        <f t="array" aca="1" ref="JU83:JU90" ca="1">_xlfn._xlws.FILTER(OFFSET(Lookup_Sheet1!$A$1,1,MATCH($BX$14,my_range2,0)-1,COUNTA(OFFSET(Lookup_Sheet1!$A$1,0,MATCH($BX$14,my_range2,0)-1,15,1))-1,1),EXACT(OFFSET(Lookup_Sheet1!$A$1,1,MATCH($BX$14,my_range2,0)-1,COUNTA(OFFSET(Lookup_Sheet1!$A$1,0,MATCH($BX$14,my_range2,0)-1,15,1))-1,1),B7)&lt;&gt;TRUE)</f>
        <v>Ashley</v>
      </c>
    </row>
    <row r="84" spans="281:281" x14ac:dyDescent="0.35">
      <c r="JU84" t="str">
        <f ca="1"/>
        <v>Betsy</v>
      </c>
    </row>
    <row r="85" spans="281:281" x14ac:dyDescent="0.35">
      <c r="JU85" t="str">
        <f ca="1"/>
        <v>Colleen</v>
      </c>
    </row>
    <row r="86" spans="281:281" x14ac:dyDescent="0.35">
      <c r="JU86" t="str">
        <f ca="1"/>
        <v>Cristina</v>
      </c>
    </row>
    <row r="87" spans="281:281" x14ac:dyDescent="0.35">
      <c r="JU87" t="str">
        <f ca="1"/>
        <v>Emilee</v>
      </c>
    </row>
    <row r="88" spans="281:281" x14ac:dyDescent="0.35">
      <c r="JU88" t="str">
        <f ca="1"/>
        <v>Hallagan</v>
      </c>
    </row>
    <row r="89" spans="281:281" x14ac:dyDescent="0.35">
      <c r="JU89" t="str">
        <f ca="1"/>
        <v>Jen</v>
      </c>
    </row>
    <row r="90" spans="281:281" x14ac:dyDescent="0.35">
      <c r="JU90" t="str">
        <f ca="1"/>
        <v>Zaret</v>
      </c>
    </row>
  </sheetData>
  <mergeCells count="5">
    <mergeCell ref="I6:L6"/>
    <mergeCell ref="A1:C2"/>
    <mergeCell ref="E1:G2"/>
    <mergeCell ref="A5:C6"/>
    <mergeCell ref="E5:G6"/>
  </mergeCells>
  <conditionalFormatting sqref="F3">
    <cfRule type="expression" dxfId="2" priority="5">
      <formula>COUNTIF(OFFSET($BZ$1,1,MATCH($B$3,my_range1,0)-1,COUNTA(OFFSET($BZ$1,1,MATCH($B$3,my_range1,0)-1,5,1)),1),$F$3)=0</formula>
    </cfRule>
  </conditionalFormatting>
  <dataValidations count="4">
    <dataValidation type="list" allowBlank="1" showInputMessage="1" showErrorMessage="1" sqref="B3" xr:uid="{C70D18E0-FAD8-4FE2-8672-F325A1C2B732}">
      <formula1>Yrs</formula1>
    </dataValidation>
    <dataValidation type="list" allowBlank="1" showInputMessage="1" showErrorMessage="1" sqref="F3" xr:uid="{B69F7801-2CC2-4FE2-B849-748ABC1590C4}">
      <formula1>OFFSET($BZ$1,1,MATCH($B$3,my_range1,0)-1,COUNTA(OFFSET($BZ$1,1,MATCH($B$3,my_range1,0)-1,5,1)),1)</formula1>
    </dataValidation>
    <dataValidation type="list" allowBlank="1" showInputMessage="1" showErrorMessage="1" sqref="F7" xr:uid="{AA2B115E-9DB4-434B-A5B7-788694779F61}">
      <formula1>my_range4</formula1>
    </dataValidation>
    <dataValidation type="list" allowBlank="1" showInputMessage="1" showErrorMessage="1" sqref="J7" xr:uid="{359DFEF7-154B-4294-8E97-9AAD3D1EF607}">
      <formula1>EN$13:EN$17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_chart">
                <anchor moveWithCells="1" sizeWithCells="1">
                  <from>
                    <xdr:col>21</xdr:col>
                    <xdr:colOff>120650</xdr:colOff>
                    <xdr:row>0</xdr:row>
                    <xdr:rowOff>107950</xdr:rowOff>
                  </from>
                  <to>
                    <xdr:col>24</xdr:col>
                    <xdr:colOff>76200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enlarge_X">
                <anchor moveWithCells="1" sizeWithCells="1">
                  <from>
                    <xdr:col>18</xdr:col>
                    <xdr:colOff>25400</xdr:colOff>
                    <xdr:row>0</xdr:row>
                    <xdr:rowOff>107950</xdr:rowOff>
                  </from>
                  <to>
                    <xdr:col>20</xdr:col>
                    <xdr:colOff>590550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chk_data">
                <anchor moveWithCells="1" sizeWithCells="1">
                  <from>
                    <xdr:col>14</xdr:col>
                    <xdr:colOff>565150</xdr:colOff>
                    <xdr:row>0</xdr:row>
                    <xdr:rowOff>120650</xdr:rowOff>
                  </from>
                  <to>
                    <xdr:col>17</xdr:col>
                    <xdr:colOff>520700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D9FB80D-1F6B-4263-909F-74FB1AD42CE4}">
            <xm:f>IFERROR(COUNTIF(OFFSET(Lookup_Sheet1!$A$1,1,MATCH($BX$14,my_range2,0)-1,COUNTA(OFFSET(Lookup_Sheet1!$A$1,0,MATCH($BX$14,my_range2,0)-1,15,1))-1,1),$B$7),0)=0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B7</xm:sqref>
        </x14:conditionalFormatting>
        <x14:conditionalFormatting xmlns:xm="http://schemas.microsoft.com/office/excel/2006/main">
          <x14:cfRule type="expression" priority="1" id="{6721FE80-CFF6-45D4-9BFE-AFCE04487099}">
            <xm:f>IFERROR(COUNTIF(OFFSET(Lookup_Sheet1!$A$1,1,MATCH($BX$14,my_range2,0)-1,COUNTA(OFFSET(Lookup_Sheet1!$A$1,0,MATCH($BX$14,my_range2,0)-1,15,1))-1,1),$F$7),0)=0</xm:f>
            <x14:dxf>
              <font>
                <strike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F7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A31A8-AD4F-4C6F-98D0-7E7DF73E8AEA}">
          <x14:formula1>
            <xm:f>OFFSET(Lookup_Sheet1!$A$1,1,MATCH($BX$14,my_range2,0)-1,COUNTA(OFFSET(Lookup_Sheet1!$A$1,0,MATCH($BX$14,my_range2,0)-1,15,1))-1,1)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1A8C-DC6A-490F-95C5-F7A427473E0B}">
  <sheetPr codeName="Sheet3"/>
  <dimension ref="A1:CU38"/>
  <sheetViews>
    <sheetView zoomScale="86" zoomScaleNormal="86" workbookViewId="0">
      <selection activeCell="CJ27" sqref="CJ27:CJ38"/>
    </sheetView>
  </sheetViews>
  <sheetFormatPr defaultRowHeight="14.5" x14ac:dyDescent="0.35"/>
  <sheetData>
    <row r="1" spans="1:30" x14ac:dyDescent="0.35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47</v>
      </c>
      <c r="T1" t="s">
        <v>48</v>
      </c>
      <c r="U1" t="s">
        <v>49</v>
      </c>
      <c r="V1" t="s">
        <v>50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</row>
    <row r="2" spans="1:30" x14ac:dyDescent="0.35">
      <c r="A2" t="s">
        <v>11</v>
      </c>
      <c r="B2" t="s">
        <v>11</v>
      </c>
      <c r="C2" t="s">
        <v>11</v>
      </c>
      <c r="D2" t="s">
        <v>11</v>
      </c>
      <c r="E2" t="s">
        <v>11</v>
      </c>
      <c r="F2" t="s">
        <v>11</v>
      </c>
      <c r="G2" t="s">
        <v>11</v>
      </c>
      <c r="H2" t="s">
        <v>11</v>
      </c>
      <c r="I2" t="s">
        <v>11</v>
      </c>
      <c r="J2" t="s">
        <v>11</v>
      </c>
      <c r="K2" t="s">
        <v>11</v>
      </c>
      <c r="L2" t="s">
        <v>11</v>
      </c>
      <c r="M2" t="s">
        <v>11</v>
      </c>
      <c r="N2" t="s">
        <v>11</v>
      </c>
      <c r="O2" t="s">
        <v>11</v>
      </c>
      <c r="P2" t="s">
        <v>11</v>
      </c>
      <c r="Q2" t="s">
        <v>11</v>
      </c>
      <c r="R2" t="s">
        <v>11</v>
      </c>
      <c r="S2" t="s">
        <v>11</v>
      </c>
      <c r="T2" t="s">
        <v>11</v>
      </c>
      <c r="U2" t="s">
        <v>11</v>
      </c>
      <c r="V2" t="s">
        <v>11</v>
      </c>
      <c r="W2" t="s">
        <v>11</v>
      </c>
      <c r="X2" t="s">
        <v>11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</row>
    <row r="3" spans="1:30" x14ac:dyDescent="0.35">
      <c r="A3" t="s">
        <v>9</v>
      </c>
      <c r="B3" t="s">
        <v>9</v>
      </c>
      <c r="C3" t="s">
        <v>9</v>
      </c>
      <c r="D3" t="s">
        <v>9</v>
      </c>
      <c r="E3" t="s">
        <v>9</v>
      </c>
      <c r="F3" t="s">
        <v>9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</row>
    <row r="4" spans="1:30" x14ac:dyDescent="0.35">
      <c r="A4" t="s">
        <v>17</v>
      </c>
      <c r="B4" t="s">
        <v>17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</row>
    <row r="5" spans="1:30" x14ac:dyDescent="0.35">
      <c r="A5" t="s">
        <v>13</v>
      </c>
      <c r="B5" t="s">
        <v>13</v>
      </c>
      <c r="C5" t="s">
        <v>13</v>
      </c>
      <c r="D5" t="s">
        <v>13</v>
      </c>
      <c r="E5" t="s">
        <v>13</v>
      </c>
      <c r="F5" t="s">
        <v>13</v>
      </c>
      <c r="G5" t="s">
        <v>13</v>
      </c>
      <c r="H5" t="s">
        <v>13</v>
      </c>
      <c r="I5" t="s">
        <v>13</v>
      </c>
      <c r="J5" t="s">
        <v>13</v>
      </c>
      <c r="K5" t="s">
        <v>13</v>
      </c>
      <c r="L5" t="s">
        <v>13</v>
      </c>
      <c r="M5" t="s">
        <v>13</v>
      </c>
      <c r="N5" t="s">
        <v>13</v>
      </c>
      <c r="O5" t="s">
        <v>13</v>
      </c>
      <c r="P5" t="s">
        <v>13</v>
      </c>
      <c r="Q5" t="s">
        <v>13</v>
      </c>
      <c r="R5" t="s">
        <v>13</v>
      </c>
      <c r="S5" t="s">
        <v>13</v>
      </c>
      <c r="T5" t="s">
        <v>13</v>
      </c>
      <c r="U5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13</v>
      </c>
      <c r="AC5" t="s">
        <v>13</v>
      </c>
      <c r="AD5" t="s">
        <v>13</v>
      </c>
    </row>
    <row r="6" spans="1:30" x14ac:dyDescent="0.35">
      <c r="A6" t="s">
        <v>14</v>
      </c>
      <c r="B6" t="s">
        <v>14</v>
      </c>
      <c r="C6" t="s">
        <v>14</v>
      </c>
      <c r="D6" t="s">
        <v>14</v>
      </c>
      <c r="E6" t="s">
        <v>14</v>
      </c>
      <c r="F6" t="s">
        <v>14</v>
      </c>
      <c r="G6" t="s">
        <v>14</v>
      </c>
      <c r="H6" t="s">
        <v>14</v>
      </c>
      <c r="I6" t="s">
        <v>14</v>
      </c>
      <c r="J6" t="s">
        <v>14</v>
      </c>
      <c r="K6" t="s">
        <v>14</v>
      </c>
      <c r="L6" t="s">
        <v>14</v>
      </c>
      <c r="M6" t="s">
        <v>14</v>
      </c>
      <c r="N6" t="s">
        <v>14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</row>
    <row r="7" spans="1:30" x14ac:dyDescent="0.35">
      <c r="A7" t="s">
        <v>15</v>
      </c>
      <c r="B7" t="s">
        <v>15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19</v>
      </c>
      <c r="K7" t="s">
        <v>19</v>
      </c>
      <c r="L7" t="s">
        <v>19</v>
      </c>
      <c r="M7" t="s">
        <v>19</v>
      </c>
      <c r="N7" t="s">
        <v>19</v>
      </c>
      <c r="R7" t="s">
        <v>21</v>
      </c>
      <c r="V7" t="s">
        <v>21</v>
      </c>
      <c r="Z7" t="s">
        <v>21</v>
      </c>
      <c r="AA7" t="s">
        <v>21</v>
      </c>
      <c r="AB7" t="s">
        <v>21</v>
      </c>
      <c r="AC7" t="s">
        <v>21</v>
      </c>
      <c r="AD7" t="s">
        <v>21</v>
      </c>
    </row>
    <row r="8" spans="1:30" x14ac:dyDescent="0.35">
      <c r="A8" t="s">
        <v>10</v>
      </c>
      <c r="B8" t="s">
        <v>10</v>
      </c>
      <c r="C8" t="s">
        <v>10</v>
      </c>
      <c r="D8" t="s">
        <v>10</v>
      </c>
      <c r="E8" t="s">
        <v>10</v>
      </c>
      <c r="F8" t="s">
        <v>10</v>
      </c>
      <c r="G8" t="s">
        <v>10</v>
      </c>
      <c r="H8" t="s">
        <v>10</v>
      </c>
      <c r="I8" t="s">
        <v>10</v>
      </c>
      <c r="J8" t="s">
        <v>18</v>
      </c>
      <c r="K8" t="s">
        <v>18</v>
      </c>
      <c r="L8" t="s">
        <v>18</v>
      </c>
      <c r="M8" t="s">
        <v>18</v>
      </c>
      <c r="N8" t="s">
        <v>18</v>
      </c>
    </row>
    <row r="9" spans="1:30" x14ac:dyDescent="0.35">
      <c r="A9" t="s">
        <v>16</v>
      </c>
      <c r="B9" t="s">
        <v>16</v>
      </c>
      <c r="C9" t="s">
        <v>16</v>
      </c>
      <c r="D9" t="s">
        <v>16</v>
      </c>
      <c r="E9" t="s">
        <v>16</v>
      </c>
      <c r="F9" t="s">
        <v>16</v>
      </c>
      <c r="G9" t="s">
        <v>16</v>
      </c>
      <c r="H9" t="s">
        <v>16</v>
      </c>
      <c r="I9" t="s">
        <v>16</v>
      </c>
      <c r="N9" t="s">
        <v>20</v>
      </c>
    </row>
    <row r="10" spans="1:30" x14ac:dyDescent="0.35">
      <c r="A10" t="s">
        <v>12</v>
      </c>
      <c r="B10" t="s">
        <v>12</v>
      </c>
      <c r="C10" t="s">
        <v>12</v>
      </c>
      <c r="D10" t="s">
        <v>12</v>
      </c>
      <c r="E10" t="s">
        <v>12</v>
      </c>
      <c r="F10" t="s">
        <v>12</v>
      </c>
      <c r="G10" t="s">
        <v>12</v>
      </c>
      <c r="H10" t="s">
        <v>12</v>
      </c>
      <c r="I10" t="s">
        <v>12</v>
      </c>
    </row>
    <row r="27" spans="85:99" x14ac:dyDescent="0.35">
      <c r="CG27" t="s">
        <v>11</v>
      </c>
      <c r="CJ27">
        <v>1</v>
      </c>
      <c r="CM27">
        <v>1</v>
      </c>
      <c r="CO27" t="s">
        <v>54</v>
      </c>
      <c r="CQ27" t="s">
        <v>53</v>
      </c>
      <c r="CS27" t="s">
        <v>52</v>
      </c>
      <c r="CU27" t="s">
        <v>51</v>
      </c>
    </row>
    <row r="28" spans="85:99" x14ac:dyDescent="0.35">
      <c r="CG28" t="s">
        <v>9</v>
      </c>
      <c r="CJ28">
        <v>2</v>
      </c>
      <c r="CM28">
        <v>2</v>
      </c>
      <c r="CO28" t="s">
        <v>11</v>
      </c>
      <c r="CQ28" t="s">
        <v>11</v>
      </c>
      <c r="CS28" t="s">
        <v>11</v>
      </c>
      <c r="CU28" t="s">
        <v>11</v>
      </c>
    </row>
    <row r="29" spans="85:99" x14ac:dyDescent="0.35">
      <c r="CG29" t="s">
        <v>17</v>
      </c>
      <c r="CJ29">
        <v>3</v>
      </c>
      <c r="CM29">
        <v>3</v>
      </c>
      <c r="CO29" t="s">
        <v>9</v>
      </c>
      <c r="CQ29" t="s">
        <v>9</v>
      </c>
      <c r="CS29" t="s">
        <v>9</v>
      </c>
      <c r="CU29" t="s">
        <v>9</v>
      </c>
    </row>
    <row r="30" spans="85:99" x14ac:dyDescent="0.35">
      <c r="CG30" t="s">
        <v>13</v>
      </c>
      <c r="CJ30">
        <v>4</v>
      </c>
      <c r="CM30">
        <v>4</v>
      </c>
      <c r="CO30" t="s">
        <v>17</v>
      </c>
      <c r="CQ30" t="s">
        <v>17</v>
      </c>
      <c r="CS30" t="s">
        <v>17</v>
      </c>
      <c r="CU30" t="s">
        <v>17</v>
      </c>
    </row>
    <row r="31" spans="85:99" x14ac:dyDescent="0.35">
      <c r="CG31" t="s">
        <v>18</v>
      </c>
      <c r="CJ31">
        <v>5</v>
      </c>
      <c r="CM31">
        <v>5</v>
      </c>
      <c r="CO31" t="s">
        <v>13</v>
      </c>
      <c r="CQ31" t="s">
        <v>13</v>
      </c>
      <c r="CS31" t="s">
        <v>13</v>
      </c>
      <c r="CU31" t="s">
        <v>13</v>
      </c>
    </row>
    <row r="32" spans="85:99" x14ac:dyDescent="0.35">
      <c r="CG32" t="s">
        <v>21</v>
      </c>
      <c r="CJ32">
        <v>6</v>
      </c>
      <c r="CM32">
        <v>6</v>
      </c>
      <c r="CO32" t="s">
        <v>18</v>
      </c>
      <c r="CQ32" t="s">
        <v>18</v>
      </c>
      <c r="CS32" t="s">
        <v>18</v>
      </c>
      <c r="CU32" t="s">
        <v>18</v>
      </c>
    </row>
    <row r="33" spans="88:99" x14ac:dyDescent="0.35">
      <c r="CJ33">
        <v>7</v>
      </c>
      <c r="CM33">
        <v>7</v>
      </c>
      <c r="CO33" t="s">
        <v>21</v>
      </c>
      <c r="CQ33" t="s">
        <v>21</v>
      </c>
      <c r="CS33" t="s">
        <v>21</v>
      </c>
      <c r="CU33" t="s">
        <v>21</v>
      </c>
    </row>
    <row r="34" spans="88:99" x14ac:dyDescent="0.35">
      <c r="CJ34">
        <v>8</v>
      </c>
      <c r="CM34">
        <v>8</v>
      </c>
    </row>
    <row r="35" spans="88:99" x14ac:dyDescent="0.35">
      <c r="CJ35">
        <v>9</v>
      </c>
      <c r="CM35">
        <v>9</v>
      </c>
    </row>
    <row r="36" spans="88:99" x14ac:dyDescent="0.35">
      <c r="CJ36">
        <v>10</v>
      </c>
      <c r="CM36">
        <v>10</v>
      </c>
    </row>
    <row r="37" spans="88:99" x14ac:dyDescent="0.35">
      <c r="CJ37">
        <v>11</v>
      </c>
      <c r="CM37">
        <v>11</v>
      </c>
    </row>
    <row r="38" spans="88:99" x14ac:dyDescent="0.35">
      <c r="CJ38">
        <v>12</v>
      </c>
      <c r="CM38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Sheet1</vt:lpstr>
      <vt:lpstr>Lookup_Sheet1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ANEEK BANDYOPADHYAY</dc:creator>
  <cp:lastModifiedBy>ANEEK BANDYOPADHYAY</cp:lastModifiedBy>
  <dcterms:created xsi:type="dcterms:W3CDTF">2025-01-15T11:40:32Z</dcterms:created>
  <dcterms:modified xsi:type="dcterms:W3CDTF">2025-11-24T11:35:27Z</dcterms:modified>
</cp:coreProperties>
</file>