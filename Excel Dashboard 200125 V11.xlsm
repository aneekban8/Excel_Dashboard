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Upwork\Excel dashboard\Dashboard 150125\"/>
    </mc:Choice>
  </mc:AlternateContent>
  <xr:revisionPtr revIDLastSave="0" documentId="13_ncr:1_{29E93ABF-BEC6-4C80-B97E-5AF7B1992D7B}" xr6:coauthVersionLast="47" xr6:coauthVersionMax="47" xr10:uidLastSave="{00000000-0000-0000-0000-000000000000}"/>
  <bookViews>
    <workbookView xWindow="-110" yWindow="-110" windowWidth="19420" windowHeight="10300" activeTab="2" xr2:uid="{5E2C4857-7039-425F-8F73-FB7F2FD980D6}"/>
  </bookViews>
  <sheets>
    <sheet name="Data" sheetId="1" r:id="rId1"/>
    <sheet name="Sheet2" sheetId="245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10" r:id="rId5"/>
    <pivotCache cacheId="16" r:id="rId6"/>
    <pivotCache cacheId="22" r:id="rId7"/>
    <pivotCache cacheId="28" r:id="rId8"/>
    <pivotCache cacheId="3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<sst xmlns="http://schemas.openxmlformats.org/spreadsheetml/2006/main" count="6804" uniqueCount="70">
  <si>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</si>
  <si>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</si>
  <si>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</si>
  <si>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</si>
  <si>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</si>
  <si>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</si>
  <si>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</si>
  <si>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</si>
  <si>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</si>
  <si>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</si>
  <si>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</si>
  <si>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</si>
  <si>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</si>
  <si>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</si>
  <si>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</si>
  <si>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</si>
  <si>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</si>
  <si>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</si>
  <si>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</si>
  <si>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</si>
  <si>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</si>
  <si>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</si>
  <si>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</si>
  <si>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</si>
  <si>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</si>
  <si>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</si>
  <si>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</si>
  <si>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</si>
  <si>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</si>
  <si>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</si>
  <si>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</si>
  <si>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</si>
  <si>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</si>
  <si>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</si>
  <si>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</si>
  <si>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</si>
  <si>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</si>
  <si>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</si>
  <si>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</si>
  <si>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</si>
  <si>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</si>
  <si>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</si>
  <si>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</si>
  <si>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</si>
  <si>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</si>
  <si>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</si>
  <si>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</si>
  <si>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</si>
  <si>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</si>
  <si>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</si>
  <si>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</si>
  <si>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</si>
  <si>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</si>
  <si>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</si>
  <si>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</si>
  <si>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</si>
  <si>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</si>
  <si>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</si>
  <si>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</si>
  <si>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</si>
  <si>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</si>
  <si>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</si>
  <si>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</si>
  <si>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</si>
  <si>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</si>
  <si>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</si>
  <si>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</si>
  <si>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Hallagan 2006_Q2</t>
  </si>
  <si>
    <t>Emilee 2006_Q2</t>
  </si>
  <si>
    <t>2006_Q2 lip gloss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</si>
</sst>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&amp; Emilee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Hallagan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-0.15254994349086975</c:v>
                </c:pt>
                <c:pt idx="1">
                  <c:v>1.1891551867250321</c:v>
                </c:pt>
                <c:pt idx="2">
                  <c:v>1.9396530232120983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2-4776-A6B5-5951EE030C4E}"/>
            </c:ext>
          </c:extLst>
        </c:ser>
        <c:ser>
          <c:idx val="1"/>
          <c:order val="1"/>
          <c:tx>
            <c:v>Emilee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-7.7381878990373867E-2</c:v>
                </c:pt>
                <c:pt idx="1">
                  <c:v>-0.55694289222666427</c:v>
                </c:pt>
                <c:pt idx="2">
                  <c:v>1.0885475950038692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F2-4776-A6B5-5951EE03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7227551"/>
        <c:axId val="1447238111"/>
      </c:barChart>
      <c:lineChart>
        <c:grouping val="standard"/>
        <c:varyColors val="0"/>
        <c:ser>
          <c:idx val="2"/>
          <c:order val="2"/>
          <c:tx>
            <c:v>Hallagan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16857.856274416172</c:v>
                </c:pt>
                <c:pt idx="1">
                  <c:v>36904.463500203288</c:v>
                </c:pt>
                <c:pt idx="2">
                  <c:v>108486.31769839313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2-4776-A6B5-5951EE030C4E}"/>
            </c:ext>
          </c:extLst>
        </c:ser>
        <c:ser>
          <c:idx val="3"/>
          <c:order val="3"/>
          <c:tx>
            <c:v>Emilee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34065.549222471171</c:v>
                </c:pt>
                <c:pt idx="1">
                  <c:v>15092.983713218284</c:v>
                </c:pt>
                <c:pt idx="2">
                  <c:v>31522.414835674615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F2-4776-A6B5-5951EE03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228511"/>
        <c:axId val="1447238591"/>
      </c:lineChart>
      <c:catAx>
        <c:axId val="144722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38111"/>
        <c:crosses val="autoZero"/>
        <c:auto val="1"/>
        <c:lblAlgn val="ctr"/>
        <c:lblOffset val="100"/>
        <c:noMultiLvlLbl val="0"/>
      </c:catAx>
      <c:valAx>
        <c:axId val="14472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7551"/>
        <c:crosses val="autoZero"/>
        <c:crossBetween val="between"/>
      </c:valAx>
      <c:valAx>
        <c:axId val="14472385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8511"/>
        <c:crosses val="max"/>
        <c:crossBetween val="between"/>
      </c:valAx>
      <c:catAx>
        <c:axId val="1447228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2385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2-4406-94CC-3AD1CE7D61F4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7.4463840151838226E-2</c:v>
                </c:pt>
                <c:pt idx="1">
                  <c:v>0.17423717556710447</c:v>
                </c:pt>
                <c:pt idx="2">
                  <c:v>0.63030870820828966</c:v>
                </c:pt>
                <c:pt idx="3">
                  <c:v>5.8463422032434395E-3</c:v>
                </c:pt>
                <c:pt idx="4">
                  <c:v>0.11514393386952426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2-4406-94CC-3AD1CE7D6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Emilee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BD-4ECF-9F0D-3FDBC2935356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0.19920517463056286</c:v>
                </c:pt>
                <c:pt idx="1">
                  <c:v>0.18920389913654745</c:v>
                </c:pt>
                <c:pt idx="2">
                  <c:v>0.17958394935683719</c:v>
                </c:pt>
                <c:pt idx="3">
                  <c:v>0.15528971063858238</c:v>
                </c:pt>
                <c:pt idx="4">
                  <c:v>0.27671726623747006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D-4ECF-9F0D-3FDBC2935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2006_Q2 lip gloss</a:t>
            </a:r>
          </a:p>
          <a:p>
            <a:pPr>
              <a:defRPr sz="900"/>
            </a:pPr>
            <a:r>
              <a:rPr lang="en-US" sz="900"/>
              <a:t>
Total sales: $302714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986-470B-8810-878BA98211B7}"/>
              </c:ext>
            </c:extLst>
          </c:dPt>
          <c:dPt>
            <c:idx val="6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86-470B-8810-878BA98211B7}"/>
              </c:ext>
            </c:extLst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1.4999375591612687E-3</c:v>
                </c:pt>
                <c:pt idx="1">
                  <c:v>9.54469689258131E-2</c:v>
                </c:pt>
                <c:pt idx="2">
                  <c:v>6.8213480104214186E-2</c:v>
                </c:pt>
                <c:pt idx="3">
                  <c:v>9.5586667848317194E-2</c:v>
                </c:pt>
                <c:pt idx="4">
                  <c:v>1.7547779659136564E-2</c:v>
                </c:pt>
                <c:pt idx="5">
                  <c:v>0.10413256245783753</c:v>
                </c:pt>
                <c:pt idx="6">
                  <c:v>0.35837857957391356</c:v>
                </c:pt>
                <c:pt idx="7">
                  <c:v>0.15517591937034422</c:v>
                </c:pt>
                <c:pt idx="8">
                  <c:v>0.10401810450126249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86-470B-8810-878BA982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&amp; Emilee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Hallagan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-0.15254994349086975</c:v>
                </c:pt>
                <c:pt idx="1">
                  <c:v>1.1891551867250321</c:v>
                </c:pt>
                <c:pt idx="2">
                  <c:v>1.9396530232120983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1-48AB-AAF2-47327C293F23}"/>
            </c:ext>
          </c:extLst>
        </c:ser>
        <c:ser>
          <c:idx val="1"/>
          <c:order val="1"/>
          <c:tx>
            <c:v>Emilee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-7.7381878990373867E-2</c:v>
                </c:pt>
                <c:pt idx="1">
                  <c:v>-0.55694289222666427</c:v>
                </c:pt>
                <c:pt idx="2">
                  <c:v>1.0885475950038692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1-48AB-AAF2-47327C29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7227551"/>
        <c:axId val="1447238111"/>
      </c:barChart>
      <c:lineChart>
        <c:grouping val="standard"/>
        <c:varyColors val="0"/>
        <c:ser>
          <c:idx val="2"/>
          <c:order val="2"/>
          <c:tx>
            <c:v>Hallagan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16857.856274416172</c:v>
                </c:pt>
                <c:pt idx="1">
                  <c:v>36904.463500203288</c:v>
                </c:pt>
                <c:pt idx="2">
                  <c:v>108486.31769839313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71-48AB-AAF2-47327C293F23}"/>
            </c:ext>
          </c:extLst>
        </c:ser>
        <c:ser>
          <c:idx val="3"/>
          <c:order val="3"/>
          <c:tx>
            <c:v>Emilee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34065.549222471171</c:v>
                </c:pt>
                <c:pt idx="1">
                  <c:v>15092.983713218284</c:v>
                </c:pt>
                <c:pt idx="2">
                  <c:v>31522.414835674615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71-48AB-AAF2-47327C29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228511"/>
        <c:axId val="1447238591"/>
      </c:lineChart>
      <c:catAx>
        <c:axId val="144722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38111"/>
        <c:crosses val="autoZero"/>
        <c:auto val="1"/>
        <c:lblAlgn val="ctr"/>
        <c:lblOffset val="100"/>
        <c:noMultiLvlLbl val="0"/>
      </c:catAx>
      <c:valAx>
        <c:axId val="14472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7551"/>
        <c:crosses val="autoZero"/>
        <c:crossBetween val="between"/>
      </c:valAx>
      <c:valAx>
        <c:axId val="14472385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8511"/>
        <c:crosses val="max"/>
        <c:crossBetween val="between"/>
      </c:valAx>
      <c:catAx>
        <c:axId val="1447228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23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66-446F-9989-E02EF2EADC64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66-446F-9989-E02EF2EADC64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66-446F-9989-E02EF2EADC64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66-446F-9989-E02EF2EADC64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66-446F-9989-E02EF2EADC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7.4463840151838226E-2</c:v>
                </c:pt>
                <c:pt idx="1">
                  <c:v>0.17423717556710447</c:v>
                </c:pt>
                <c:pt idx="2">
                  <c:v>0.63030870820828966</c:v>
                </c:pt>
                <c:pt idx="3">
                  <c:v>5.8463422032434395E-3</c:v>
                </c:pt>
                <c:pt idx="4">
                  <c:v>0.11514393386952426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66-446F-9989-E02EF2EAD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Emilee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FB-47D9-8275-9C672782260B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FB-47D9-8275-9C672782260B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FB-47D9-8275-9C672782260B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CFB-47D9-8275-9C672782260B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CFB-47D9-8275-9C67278226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0.19920517463056286</c:v>
                </c:pt>
                <c:pt idx="1">
                  <c:v>0.18920389913654745</c:v>
                </c:pt>
                <c:pt idx="2">
                  <c:v>0.17958394935683719</c:v>
                </c:pt>
                <c:pt idx="3">
                  <c:v>0.15528971063858238</c:v>
                </c:pt>
                <c:pt idx="4">
                  <c:v>0.27671726623747006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FB-47D9-8275-9C6727822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2006_Q2 lip gloss</a:t>
            </a:r>
          </a:p>
          <a:p>
            <a:pPr>
              <a:defRPr sz="900"/>
            </a:pPr>
            <a:r>
              <a:rPr lang="en-US" sz="900"/>
              <a:t>
Total sales: $302714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AA-4473-A80B-78FDF7B49C0C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AA-4473-A80B-78FDF7B49C0C}"/>
              </c:ext>
            </c:extLst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AA-4473-A80B-78FDF7B49C0C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AA-4473-A80B-78FDF7B49C0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AA-4473-A80B-78FDF7B49C0C}"/>
              </c:ext>
            </c:extLst>
          </c:dPt>
          <c:dPt>
            <c:idx val="5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FAA-4473-A80B-78FDF7B49C0C}"/>
              </c:ext>
            </c:extLst>
          </c:dPt>
          <c:dPt>
            <c:idx val="6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FAA-4473-A80B-78FDF7B49C0C}"/>
              </c:ext>
            </c:extLst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FAA-4473-A80B-78FDF7B49C0C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FAA-4473-A80B-78FDF7B49C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1.4999375591612687E-3</c:v>
                </c:pt>
                <c:pt idx="1">
                  <c:v>9.54469689258131E-2</c:v>
                </c:pt>
                <c:pt idx="2">
                  <c:v>6.8213480104214186E-2</c:v>
                </c:pt>
                <c:pt idx="3">
                  <c:v>9.5586667848317194E-2</c:v>
                </c:pt>
                <c:pt idx="4">
                  <c:v>1.7547779659136564E-2</c:v>
                </c:pt>
                <c:pt idx="5">
                  <c:v>0.10413256245783753</c:v>
                </c:pt>
                <c:pt idx="6">
                  <c:v>0.35837857957391356</c:v>
                </c:pt>
                <c:pt idx="7">
                  <c:v>0.15517591937034422</c:v>
                </c:pt>
                <c:pt idx="8">
                  <c:v>0.10401810450126249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FAA-4473-A80B-78FDF7B49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633557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7A58E034-A405-606C-A25F-345D5C8E81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581602</xdr:colOff>
      <xdr:row>10</xdr:row>
      <xdr:rowOff>117764</xdr:rowOff>
    </xdr:from>
    <xdr:to>
      <xdr:col>12</xdr:col>
      <xdr:colOff>163079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04B40D4C-3A98-E072-57B6-449B3B418C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7795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603250</xdr:colOff>
      <xdr:row>23</xdr:row>
      <xdr:rowOff>19050</xdr:rowOff>
    </xdr:from>
    <xdr:to>
      <xdr:col>10</xdr:col>
      <xdr:colOff>298450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737BD7-424D-2FF8-921E-001741307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316634</xdr:colOff>
      <xdr:row>10</xdr:row>
      <xdr:rowOff>117764</xdr:rowOff>
    </xdr:from>
    <xdr:to>
      <xdr:col>17</xdr:col>
      <xdr:colOff>42430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5DD83A85-8765-B620-E33E-A986C95559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51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622300</xdr:colOff>
      <xdr:row>37</xdr:row>
      <xdr:rowOff>171450</xdr:rowOff>
    </xdr:from>
    <xdr:to>
      <xdr:col>10</xdr:col>
      <xdr:colOff>317500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55A5AB-A095-8CC0-D71E-2B93B3CD3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353580</xdr:colOff>
      <xdr:row>10</xdr:row>
      <xdr:rowOff>117764</xdr:rowOff>
    </xdr:from>
    <xdr:to>
      <xdr:col>23</xdr:col>
      <xdr:colOff>50511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EE6E3875-BE3A-1C14-89EC-8134A95A8D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23</xdr:row>
      <xdr:rowOff>69850</xdr:rowOff>
    </xdr:from>
    <xdr:to>
      <xdr:col>16</xdr:col>
      <xdr:colOff>139700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FCB6213-82B4-C4D3-44DE-1C2862306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272761</xdr:colOff>
      <xdr:row>10</xdr:row>
      <xdr:rowOff>117764</xdr:rowOff>
    </xdr:from>
    <xdr:to>
      <xdr:col>28</xdr:col>
      <xdr:colOff>575830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568DF886-509A-79F3-944F-F934352574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38</xdr:row>
      <xdr:rowOff>139700</xdr:rowOff>
    </xdr:from>
    <xdr:to>
      <xdr:col>16</xdr:col>
      <xdr:colOff>139700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37942DA-76B2-C37F-A259-6069336DE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5F43FF-A129-4EAD-832E-AE924528E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553580</xdr:colOff>
      <xdr:row>23</xdr:row>
      <xdr:rowOff>109932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4ECB02-8E10-4EBF-90B2-F6BF6F466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45CC1C-FAA3-4CAE-BBB1-47ED6581D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0F61746-3A79-47E1-83A1-84222C5E9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74768516" createdVersion="8" refreshedVersion="8" minRefreshableVersion="3" recordCount="3197" xr:uid="{C5D119EB-7454-4796-A9EB-1112116FA8E9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44894056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76620371" createdVersion="8" refreshedVersion="8" minRefreshableVersion="3" recordCount="3197" xr:uid="{0A714363-B4AE-4F3D-9A6A-4FAB1706E7D7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33772226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84953707" createdVersion="8" refreshedVersion="8" minRefreshableVersion="3" recordCount="3197" xr:uid="{C8EF72CC-9B7E-45E1-93E2-840BAD8C6571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40664081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90046295" createdVersion="8" refreshedVersion="8" minRefreshableVersion="3" recordCount="3197" xr:uid="{77C184EB-3275-4155-9355-6BF191460A4E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71544076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97106485" createdVersion="8" refreshedVersion="8" minRefreshableVersion="3" recordCount="3197" xr:uid="{95F4365A-CBB0-4CC5-8FB9-C9218BE12923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8592428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94418E-841E-4D3E-985D-9A15253E215D}" name="MY_PIVOT5" cacheId="3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4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2"/>
    </i>
  </rowItems>
  <colItems count="1">
    <i/>
  </colItems>
  <pageFields count="1">
    <pageField fld="5" item="2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08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0E49B-C362-4C7E-A0C1-3D3192DEA758}" name="MY_PIVOT4" cacheId="28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5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08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AC228E-D985-4150-8FD6-EA9F17450DBC}" name="MY_PIVOT3" cacheId="2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7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08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E62B26-CDFE-4A7F-9F43-E5EA28A18CB0}" name="MY_PIVOT2" cacheId="1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x="1"/>
        <item h="1" x="10"/>
        <item x="6"/>
        <item h="1" x="5"/>
        <item h="1" x="4"/>
        <item h="1" x="8"/>
        <item h="1" x="0"/>
        <item h="1"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3"/>
        <item sd="0" x="4"/>
        <item sd="0" x="1"/>
        <item sd="0" x="2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5"/>
    </i>
    <i>
      <x v="7"/>
    </i>
  </colItems>
  <pageFields count="1">
    <pageField fld="5" item="2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534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BEDAB-D350-48B3-9924-2BEB80081F96}" name="MY_PIVOT1" cacheId="1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x="1"/>
        <item h="1" x="10"/>
        <item x="6"/>
        <item h="1" x="5"/>
        <item h="1" x="4"/>
        <item h="1" x="8"/>
        <item h="1" x="0"/>
        <item h="1"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3"/>
        <item sd="0" x="4"/>
        <item sd="0" x="1"/>
        <item sd="0" x="2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5"/>
    </i>
    <i>
      <x v="7"/>
    </i>
  </colItems>
  <pageFields count="1">
    <pageField fld="5" item="2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534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10"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9"/>
    <tableColumn id="4" xr3:uid="{1B8B7ED9-D645-4CFF-8A2E-1F89A9FDB89A}" name="Year" dataDxfId="8">
      <calculatedColumnFormula>YEAR(ProductLine[[#This Row],[Date]])</calculatedColumnFormula>
    </tableColumn>
    <tableColumn id="5" xr3:uid="{E7E792B0-B651-4C16-9465-006459C8F099}" name="Month" dataDxfId="7">
      <calculatedColumnFormula>MONTH(ProductLine[[#This Row],[Date]])</calculatedColumnFormula>
    </tableColumn>
    <tableColumn id="6" xr3:uid="{50F678B5-DF1B-4F3E-BACA-642D91C2060A}" name="Product" dataDxfId="6"/>
    <tableColumn id="7" xr3:uid="{00D43F39-5E9C-4522-A648-718C9001AA3E}" name="Units" dataDxfId="5"/>
    <tableColumn id="8" xr3:uid="{30EB9277-C616-47D3-85DC-89F35E3929D9}" name="Dollars" dataDxfId="4"/>
    <tableColumn id="9" xr3:uid="{5140CBA0-4073-48D5-BBE3-A0D78E284C2F}" name="Total" data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43B6BA7E-6FDE-4570-8F00-75A55A832FBA}" sourceName="Date">
  <pivotTables>
    <pivotTable tabId="245" name="MY_PIVOT1"/>
  </pivotTables>
  <state minimalRefreshVersion="6" lastRefreshVersion="6" pivotCacheId="448940566" filterType="dateBetween">
    <selection startDate="2005-07-01T00:00:00" endDate="2006-06-30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4759B855-1053-4ABA-B804-E5F4ACD4032D}" sourceName="Date">
  <pivotTables>
    <pivotTable tabId="245" name="MY_PIVOT2"/>
  </pivotTables>
  <state minimalRefreshVersion="6" lastRefreshVersion="6" pivotCacheId="1337722268" filterType="dateBetween">
    <selection startDate="2005-07-01T00:00:00" endDate="2006-06-30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14FC38DF-6026-42F4-9B3C-3A6545624536}" sourceName="Date">
  <pivotTables>
    <pivotTable tabId="245" name="MY_PIVOT3"/>
  </pivotTables>
  <state minimalRefreshVersion="6" lastRefreshVersion="6" pivotCacheId="406640814" filterType="dateBetween">
    <selection startDate="2006-04-01T00:00:00" endDate="2006-06-30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9BDFD65A-0E3C-4B79-8378-B561DD93B5C8}" sourceName="Date">
  <pivotTables>
    <pivotTable tabId="245" name="MY_PIVOT4"/>
  </pivotTables>
  <state minimalRefreshVersion="6" lastRefreshVersion="6" pivotCacheId="1715440765" filterType="dateBetween">
    <selection startDate="2006-04-01T00:00:00" endDate="2006-06-30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831B618C-6489-4858-A766-871D355CE6E9}" sourceName="Date">
  <pivotTables>
    <pivotTable tabId="245" name="MY_PIVOT5"/>
  </pivotTables>
  <state minimalRefreshVersion="6" lastRefreshVersion="6" pivotCacheId="859242849" filterType="dateBetween">
    <selection startDate="2006-04-01T00:00:00" endDate="2006-06-30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C46A55DE-1A51-4275-A1AD-CF5EAF2FF7BF}" cache="NativeTimeline_Date" caption="Date" level="1" selectionLevel="1" scrollPosition="2004-10-14T00:00:00"/>
  <timeline name="Date2" xr10:uid="{F611AAEB-CA09-4E59-BC41-55E30B520E9F}" cache="Date2" caption="Date2" level="1" selectionLevel="1" scrollPosition="2004-10-14T00:00:00"/>
  <timeline name="Date3" xr10:uid="{A8A3D23C-A0EC-49CF-9220-DE57951C0EE5}" cache="Date3" caption="Date3" level="1" selectionLevel="1" scrollPosition="2005-02-28T00:00:00"/>
  <timeline name="Date4" xr10:uid="{3F6F52AD-1363-4E89-8FE2-2AF927587FC5}" cache="Date4" caption="Date4" level="1" selectionLevel="1" scrollPosition="2005-03-01T00:00:00"/>
  <timeline name="Date5" xr10:uid="{AFC11E07-47BA-4652-B19A-16B039633DCE}" cache="Date5" caption="Date5" level="1" selectionLevel="1" scrollPosition="2005-02-28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workbookViewId="0">
      <selection activeCell="I1" sqref="I1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8B098-D275-4623-9AF1-D1EAD6739087}">
  <dimension ref="B2:AU84"/>
  <sheetViews>
    <sheetView topLeftCell="AM66" zoomScale="88" zoomScaleNormal="88" workbookViewId="0">
      <selection activeCell="AU76" sqref="AU76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6.453125" bestFit="1" customWidth="1"/>
    <col min="5" max="16" width="10.7265625" bestFit="1" customWidth="1"/>
    <col min="46" max="46" width="12.7265625" bestFit="1" customWidth="1"/>
    <col min="47" max="47" width="11.36328125" bestFit="1" customWidth="1"/>
  </cols>
  <sheetData>
    <row r="2" spans="2:25" x14ac:dyDescent="0.35">
      <c r="B2" s="8" t="s">
        <v>5</v>
      </c>
      <c r="C2" t="s">
        <v>23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10</v>
      </c>
      <c r="D5" t="s">
        <v>15</v>
      </c>
      <c r="W5" t="s">
        <v>59</v>
      </c>
      <c r="X5" t="s">
        <v>10</v>
      </c>
      <c r="Y5" t="s">
        <v>15</v>
      </c>
    </row>
    <row r="6" spans="2:25" x14ac:dyDescent="0.35">
      <c r="B6" s="9" t="s">
        <v>63</v>
      </c>
      <c r="C6" s="10">
        <v>19892.448109400237</v>
      </c>
      <c r="D6" s="10">
        <v>36922.696884809775</v>
      </c>
      <c r="W6" t="s">
        <v>36</v>
      </c>
      <c r="X6" s="10">
        <v>19892.448109400237</v>
      </c>
      <c r="Y6" s="10">
        <v>36922.696884809775</v>
      </c>
    </row>
    <row r="7" spans="2:25" x14ac:dyDescent="0.35">
      <c r="B7" s="9" t="s">
        <v>64</v>
      </c>
      <c r="C7" s="10">
        <v>16857.856274416172</v>
      </c>
      <c r="D7" s="10">
        <v>34065.549222471171</v>
      </c>
      <c r="W7" t="s">
        <v>37</v>
      </c>
      <c r="X7" s="10">
        <v>16857.856274416172</v>
      </c>
      <c r="Y7" s="10">
        <v>34065.549222471171</v>
      </c>
    </row>
    <row r="8" spans="2:25" x14ac:dyDescent="0.35">
      <c r="B8" s="9" t="s">
        <v>61</v>
      </c>
      <c r="C8" s="10">
        <v>36904.463500203288</v>
      </c>
      <c r="D8" s="10">
        <v>15092.983713218284</v>
      </c>
      <c r="W8" t="s">
        <v>38</v>
      </c>
      <c r="X8" s="10">
        <v>36904.463500203288</v>
      </c>
      <c r="Y8" s="10">
        <v>15092.983713218284</v>
      </c>
    </row>
    <row r="9" spans="2:25" x14ac:dyDescent="0.35">
      <c r="B9" s="9" t="s">
        <v>62</v>
      </c>
      <c r="C9" s="10">
        <v>108486.31769839313</v>
      </c>
      <c r="D9" s="10">
        <v>31522.414835674615</v>
      </c>
      <c r="W9" t="s">
        <v>39</v>
      </c>
      <c r="X9" s="10">
        <v>108486.31769839313</v>
      </c>
      <c r="Y9" s="10">
        <v>31522.414835674615</v>
      </c>
    </row>
    <row r="28" spans="2:25" x14ac:dyDescent="0.35">
      <c r="B28" s="8" t="s">
        <v>5</v>
      </c>
      <c r="C28" t="s">
        <v>23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10</v>
      </c>
      <c r="D31" t="s">
        <v>15</v>
      </c>
      <c r="W31" t="s">
        <v>59</v>
      </c>
      <c r="X31" t="s">
        <v>10</v>
      </c>
      <c r="Y31" t="s">
        <v>15</v>
      </c>
    </row>
    <row r="32" spans="2:25" x14ac:dyDescent="0.35">
      <c r="B32" s="9" t="s">
        <v>63</v>
      </c>
      <c r="C32" s="11"/>
      <c r="D32" s="11"/>
      <c r="W32" t="s">
        <v>37</v>
      </c>
      <c r="X32" s="11">
        <v>-0.15254994349086975</v>
      </c>
      <c r="Y32" s="11">
        <v>-7.7381878990373867E-2</v>
      </c>
    </row>
    <row r="33" spans="2:25" x14ac:dyDescent="0.35">
      <c r="B33" s="9" t="s">
        <v>64</v>
      </c>
      <c r="C33" s="11">
        <v>-0.15254994349086975</v>
      </c>
      <c r="D33" s="11">
        <v>-7.7381878990373867E-2</v>
      </c>
      <c r="W33" t="s">
        <v>38</v>
      </c>
      <c r="X33" s="11">
        <v>1.1891551867250321</v>
      </c>
      <c r="Y33" s="11">
        <v>-0.55694289222666427</v>
      </c>
    </row>
    <row r="34" spans="2:25" x14ac:dyDescent="0.35">
      <c r="B34" s="9" t="s">
        <v>61</v>
      </c>
      <c r="C34" s="11">
        <v>1.1891551867250321</v>
      </c>
      <c r="D34" s="11">
        <v>-0.55694289222666427</v>
      </c>
      <c r="W34" t="s">
        <v>39</v>
      </c>
      <c r="X34" s="11">
        <v>1.9396530232120983</v>
      </c>
      <c r="Y34" s="11">
        <v>1.0885475950038692</v>
      </c>
    </row>
    <row r="35" spans="2:25" x14ac:dyDescent="0.35">
      <c r="B35" s="9" t="s">
        <v>62</v>
      </c>
      <c r="C35" s="11">
        <v>1.9396530232120983</v>
      </c>
      <c r="D35" s="11">
        <v>1.0885475950038692</v>
      </c>
    </row>
    <row r="40" spans="2:25" x14ac:dyDescent="0.35">
      <c r="B40" t="s">
        <v>67</v>
      </c>
    </row>
    <row r="42" spans="2:25" x14ac:dyDescent="0.35">
      <c r="B42" s="8" t="s">
        <v>1</v>
      </c>
      <c r="C42" t="s">
        <v>10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7.4463840151838226E-2</v>
      </c>
      <c r="W45" t="s">
        <v>26</v>
      </c>
      <c r="X45" s="11">
        <v>7.4463840151838226E-2</v>
      </c>
    </row>
    <row r="46" spans="2:25" x14ac:dyDescent="0.35">
      <c r="B46" s="9" t="s">
        <v>24</v>
      </c>
      <c r="C46" s="11">
        <v>0.17423717556710447</v>
      </c>
      <c r="W46" t="s">
        <v>24</v>
      </c>
      <c r="X46" s="11">
        <v>0.17423717556710447</v>
      </c>
    </row>
    <row r="47" spans="2:25" x14ac:dyDescent="0.35">
      <c r="B47" s="9" t="s">
        <v>23</v>
      </c>
      <c r="C47" s="11">
        <v>0.63030870820828966</v>
      </c>
      <c r="W47" t="s">
        <v>23</v>
      </c>
      <c r="X47" s="11">
        <v>0.63030870820828966</v>
      </c>
    </row>
    <row r="48" spans="2:25" x14ac:dyDescent="0.35">
      <c r="B48" s="9" t="s">
        <v>25</v>
      </c>
      <c r="C48" s="11">
        <v>5.8463422032434395E-3</v>
      </c>
      <c r="W48" t="s">
        <v>25</v>
      </c>
      <c r="X48" s="11">
        <v>5.8463422032434395E-3</v>
      </c>
    </row>
    <row r="49" spans="2:24" x14ac:dyDescent="0.35">
      <c r="B49" s="9" t="s">
        <v>27</v>
      </c>
      <c r="C49" s="11">
        <v>0.11514393386952426</v>
      </c>
      <c r="W49" t="s">
        <v>27</v>
      </c>
      <c r="X49" s="11">
        <v>0.11514393386952426</v>
      </c>
    </row>
    <row r="55" spans="2:24" x14ac:dyDescent="0.35">
      <c r="B55" t="s">
        <v>68</v>
      </c>
    </row>
    <row r="60" spans="2:24" x14ac:dyDescent="0.35">
      <c r="B60" s="8" t="s">
        <v>1</v>
      </c>
      <c r="C60" t="s">
        <v>15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0.19920517463056286</v>
      </c>
      <c r="W63" t="s">
        <v>26</v>
      </c>
      <c r="X63" s="11">
        <v>0.19920517463056286</v>
      </c>
    </row>
    <row r="64" spans="2:24" x14ac:dyDescent="0.35">
      <c r="B64" s="9" t="s">
        <v>24</v>
      </c>
      <c r="C64" s="11">
        <v>0.18920389913654745</v>
      </c>
      <c r="W64" t="s">
        <v>24</v>
      </c>
      <c r="X64" s="11">
        <v>0.18920389913654745</v>
      </c>
    </row>
    <row r="65" spans="2:47" x14ac:dyDescent="0.35">
      <c r="B65" s="9" t="s">
        <v>23</v>
      </c>
      <c r="C65" s="11">
        <v>0.17958394935683719</v>
      </c>
      <c r="W65" t="s">
        <v>23</v>
      </c>
      <c r="X65" s="11">
        <v>0.17958394935683719</v>
      </c>
    </row>
    <row r="66" spans="2:47" x14ac:dyDescent="0.35">
      <c r="B66" s="9" t="s">
        <v>25</v>
      </c>
      <c r="C66" s="11">
        <v>0.15528971063858238</v>
      </c>
      <c r="W66" t="s">
        <v>25</v>
      </c>
      <c r="X66" s="11">
        <v>0.15528971063858238</v>
      </c>
    </row>
    <row r="67" spans="2:47" x14ac:dyDescent="0.35">
      <c r="B67" s="9" t="s">
        <v>27</v>
      </c>
      <c r="C67" s="11">
        <v>0.27671726623747006</v>
      </c>
      <c r="W67" t="s">
        <v>27</v>
      </c>
      <c r="X67" s="11">
        <v>0.27671726623747006</v>
      </c>
    </row>
    <row r="70" spans="2:47" x14ac:dyDescent="0.35">
      <c r="AT70" t="s">
        <v>69</v>
      </c>
    </row>
    <row r="73" spans="2:47" x14ac:dyDescent="0.35">
      <c r="AT73" s="8" t="s">
        <v>5</v>
      </c>
      <c r="AU73" t="s">
        <v>23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1.4999375591612687E-3</v>
      </c>
      <c r="AT76" s="9" t="s">
        <v>11</v>
      </c>
      <c r="AU76" s="11">
        <v>1.4999375591612687E-3</v>
      </c>
    </row>
    <row r="77" spans="2:47" x14ac:dyDescent="0.35">
      <c r="AP77" t="s">
        <v>9</v>
      </c>
      <c r="AQ77" s="11">
        <v>9.54469689258131E-2</v>
      </c>
      <c r="AT77" s="9" t="s">
        <v>9</v>
      </c>
      <c r="AU77" s="11">
        <v>9.54469689258131E-2</v>
      </c>
    </row>
    <row r="78" spans="2:47" x14ac:dyDescent="0.35">
      <c r="AP78" t="s">
        <v>17</v>
      </c>
      <c r="AQ78" s="11">
        <v>6.8213480104214186E-2</v>
      </c>
      <c r="AT78" s="9" t="s">
        <v>17</v>
      </c>
      <c r="AU78" s="11">
        <v>6.8213480104214186E-2</v>
      </c>
    </row>
    <row r="79" spans="2:47" x14ac:dyDescent="0.35">
      <c r="AP79" t="s">
        <v>13</v>
      </c>
      <c r="AQ79" s="11">
        <v>9.5586667848317194E-2</v>
      </c>
      <c r="AT79" s="9" t="s">
        <v>13</v>
      </c>
      <c r="AU79" s="11">
        <v>9.5586667848317194E-2</v>
      </c>
    </row>
    <row r="80" spans="2:47" x14ac:dyDescent="0.35">
      <c r="AP80" t="s">
        <v>14</v>
      </c>
      <c r="AQ80" s="11">
        <v>1.7547779659136564E-2</v>
      </c>
      <c r="AT80" s="9" t="s">
        <v>14</v>
      </c>
      <c r="AU80" s="11">
        <v>1.7547779659136564E-2</v>
      </c>
    </row>
    <row r="81" spans="42:47" x14ac:dyDescent="0.35">
      <c r="AP81" t="s">
        <v>15</v>
      </c>
      <c r="AQ81" s="11">
        <v>0.10413256245783753</v>
      </c>
      <c r="AT81" s="9" t="s">
        <v>15</v>
      </c>
      <c r="AU81" s="11">
        <v>0.10413256245783753</v>
      </c>
    </row>
    <row r="82" spans="42:47" x14ac:dyDescent="0.35">
      <c r="AP82" t="s">
        <v>10</v>
      </c>
      <c r="AQ82" s="11">
        <v>0.35837857957391356</v>
      </c>
      <c r="AT82" s="9" t="s">
        <v>10</v>
      </c>
      <c r="AU82" s="11">
        <v>0.35837857957391356</v>
      </c>
    </row>
    <row r="83" spans="42:47" x14ac:dyDescent="0.35">
      <c r="AP83" t="s">
        <v>16</v>
      </c>
      <c r="AQ83" s="11">
        <v>0.15517591937034422</v>
      </c>
      <c r="AT83" s="9" t="s">
        <v>16</v>
      </c>
      <c r="AU83" s="11">
        <v>0.15517591937034422</v>
      </c>
    </row>
    <row r="84" spans="42:47" x14ac:dyDescent="0.35">
      <c r="AP84" t="s">
        <v>12</v>
      </c>
      <c r="AQ84" s="11">
        <v>0.10401810450126249</v>
      </c>
      <c r="AT84" s="9" t="s">
        <v>12</v>
      </c>
      <c r="AU84" s="11">
        <v>0.10401810450126249</v>
      </c>
    </row>
  </sheetData>
  <sortState xmlns:xlrd2="http://schemas.microsoft.com/office/spreadsheetml/2017/richdata2" ref="B30:D35">
    <sortCondition ref="B32" customList="Qtr3,Qtr4,Qtr1,Qtr2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90"/>
  <sheetViews>
    <sheetView showGridLines="0" tabSelected="1" topLeftCell="A10" zoomScale="92" zoomScaleNormal="92" workbookViewId="0">
      <selection activeCell="G7" sqref="G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2022</v>
      </c>
      <c r="CG1">
        <v>2022</v>
      </c>
      <c r="CH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</row>
    <row r="3" spans="1:144" x14ac:dyDescent="0.35">
      <c r="B3" s="4">
        <v>2006</v>
      </c>
      <c r="F3" s="5" t="s">
        <v>31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  <c r="CG3" t="s">
        <v>31</v>
      </c>
      <c r="CH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  <c r="CG4" t="s">
        <v>32</v>
      </c>
      <c r="CH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  <c r="CG5" t="s">
        <v>29</v>
      </c>
      <c r="CH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10</v>
      </c>
      <c r="F7" s="12" t="s">
        <v>15</v>
      </c>
      <c r="J7" s="7" t="s">
        <v>23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2006_Q2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90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Cici</v>
      </c>
    </row>
    <row r="86" spans="281:281" x14ac:dyDescent="0.35">
      <c r="JU86" t="str">
        <f ca="1"/>
        <v>Colleen</v>
      </c>
    </row>
    <row r="87" spans="281:281" x14ac:dyDescent="0.35">
      <c r="JU87" t="str">
        <f ca="1"/>
        <v>Cristina</v>
      </c>
    </row>
    <row r="88" spans="281:281" x14ac:dyDescent="0.35">
      <c r="JU88" t="str">
        <f ca="1"/>
        <v>Emilee</v>
      </c>
    </row>
    <row r="89" spans="281:281" x14ac:dyDescent="0.35">
      <c r="JU89" t="str">
        <f ca="1"/>
        <v>Jen</v>
      </c>
    </row>
    <row r="90" spans="281:281" x14ac:dyDescent="0.35">
      <c r="JU90" t="str">
        <f ca="1"/>
        <v>Zaret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2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zoomScale="86" zoomScaleNormal="86" workbookViewId="0">
      <selection activeCell="CO27" sqref="CO27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2025-02-09T12:09:30Z</dcterms:modified>
</cp:coreProperties>
</file>