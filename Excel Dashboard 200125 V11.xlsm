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Upwork\Excel dashboard\Dashboard 150125\"/>
    </mc:Choice>
  </mc:AlternateContent>
  <xr:revisionPtr revIDLastSave="0" documentId="13_ncr:1_{989576E6-641B-4B00-8D34-3603FB63824E}" xr6:coauthVersionLast="47" xr6:coauthVersionMax="47" xr10:uidLastSave="{00000000-0000-0000-0000-000000000000}"/>
  <bookViews>
    <workbookView xWindow="-110" yWindow="-110" windowWidth="19420" windowHeight="10300" activeTab="2" xr2:uid="{5E2C4857-7039-425F-8F73-FB7F2FD980D6}"/>
  </bookViews>
  <sheets>
    <sheet name="Data" sheetId="1" r:id="rId1"/>
    <sheet name="Sheet2" sheetId="244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310" r:id="rId5"/>
    <pivotCache cacheId="316" r:id="rId6"/>
    <pivotCache cacheId="322" r:id="rId7"/>
    <pivotCache cacheId="328" r:id="rId8"/>
    <pivotCache cacheId="33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<sst xmlns="http://schemas.openxmlformats.org/spreadsheetml/2006/main" count="6804" uniqueCount="73">
  <si>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</si>
  <si>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</si>
  <si>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</si>
  <si>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</si>
  <si>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</si>
  <si>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</si>
  <si>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</si>
  <si>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</si>
  <si>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</si>
  <si>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</si>
  <si>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</si>
  <si>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</si>
  <si>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</si>
  <si>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</si>
  <si>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</si>
  <si>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</si>
  <si>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</si>
  <si>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</si>
  <si>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</si>
  <si>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</si>
  <si>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</si>
  <si>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</si>
  <si>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</si>
  <si>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</si>
  <si>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</si>
  <si>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</si>
  <si>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</si>
  <si>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</si>
  <si>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</si>
  <si>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</si>
  <si>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</si>
  <si>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</si>
  <si>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</si>
  <si>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</si>
  <si>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</si>
  <si>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</si>
  <si>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</si>
  <si>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</si>
  <si>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</si>
  <si>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</si>
  <si>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</si>
  <si>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</si>
  <si>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</si>
  <si>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</si>
  <si>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</si>
  <si>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</si>
  <si>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</si>
  <si>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</si>
  <si>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</si>
  <si>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</si>
  <si>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</si>
  <si>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</si>
  <si>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</si>
  <si>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</si>
  <si>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</si>
  <si>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</si>
  <si>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</si>
  <si>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</si>
  <si>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</si>
  <si>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</si>
  <si>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</si>
  <si>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</si>
  <si>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</si>
  <si>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</si>
  <si>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</si>
  <si>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</si>
  <si>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</si>
  <si>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2004_Q3</t>
  </si>
  <si>
    <t>2004_Q2</t>
  </si>
  <si>
    <t>2004_Q1</t>
  </si>
  <si>
    <t>Colleen 2004_Q4</t>
  </si>
  <si>
    <t>Jen 2004_Q4</t>
  </si>
  <si>
    <t>2004_Q4 foundation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</si>
</sst>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&amp; Jen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Colleen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4.6760413936431071</c:v>
                </c:pt>
                <c:pt idx="1">
                  <c:v>-6.6502592486943124E-2</c:v>
                </c:pt>
                <c:pt idx="2">
                  <c:v>-0.76656904624748101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8B-4335-8BDA-CD5476BB0944}"/>
            </c:ext>
          </c:extLst>
        </c:ser>
        <c:ser>
          <c:idx val="1"/>
          <c:order val="1"/>
          <c:tx>
            <c:v>Jen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-0.52626648507490448</c:v>
                </c:pt>
                <c:pt idx="1">
                  <c:v>-0.99879024062554411</c:v>
                </c:pt>
                <c:pt idx="2">
                  <c:v>268.96501910559817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8B-4335-8BDA-CD5476BB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2206255"/>
        <c:axId val="1612211055"/>
      </c:barChart>
      <c:lineChart>
        <c:grouping val="standard"/>
        <c:varyColors val="0"/>
        <c:ser>
          <c:idx val="2"/>
          <c:order val="2"/>
          <c:tx>
            <c:v>Colleen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71090.722630264485</c:v>
                </c:pt>
                <c:pt idx="1">
                  <c:v>66363.005273581701</c:v>
                </c:pt>
                <c:pt idx="2">
                  <c:v>15491.179614895618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8B-4335-8BDA-CD5476BB0944}"/>
            </c:ext>
          </c:extLst>
        </c:ser>
        <c:ser>
          <c:idx val="3"/>
          <c:order val="3"/>
          <c:tx>
            <c:v>Jen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18474.032675015573</c:v>
                </c:pt>
                <c:pt idx="1">
                  <c:v>22.349134212601786</c:v>
                </c:pt>
                <c:pt idx="2">
                  <c:v>6033.484444698619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8B-4335-8BDA-CD5476BB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206735"/>
        <c:axId val="1612200015"/>
      </c:lineChart>
      <c:catAx>
        <c:axId val="161220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11055"/>
        <c:crosses val="autoZero"/>
        <c:auto val="1"/>
        <c:lblAlgn val="ctr"/>
        <c:lblOffset val="100"/>
        <c:noMultiLvlLbl val="0"/>
      </c:catAx>
      <c:valAx>
        <c:axId val="161221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06255"/>
        <c:crosses val="autoZero"/>
        <c:crossBetween val="between"/>
      </c:valAx>
      <c:valAx>
        <c:axId val="161220001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06735"/>
        <c:crosses val="max"/>
        <c:crossBetween val="between"/>
      </c:valAx>
      <c:catAx>
        <c:axId val="1612206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1220001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2004_Q4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5C-4F6F-8288-0F21BA7C4FA0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0.26235304556280531</c:v>
                </c:pt>
                <c:pt idx="1">
                  <c:v>0.11090387292762285</c:v>
                </c:pt>
                <c:pt idx="2">
                  <c:v>0.33941731878475462</c:v>
                </c:pt>
                <c:pt idx="3">
                  <c:v>1.4903582729704497E-2</c:v>
                </c:pt>
                <c:pt idx="4">
                  <c:v>0.27242217999511253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C-4F6F-8288-0F21BA7C4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Jen 2004_Q4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39-46E7-AD7A-B6DF3F4C37F6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0.39064541464767238</c:v>
                </c:pt>
                <c:pt idx="1">
                  <c:v>4.221472826322905E-2</c:v>
                </c:pt>
                <c:pt idx="2">
                  <c:v>4.0184710603606886E-4</c:v>
                </c:pt>
                <c:pt idx="3">
                  <c:v>0.25063210892719873</c:v>
                </c:pt>
                <c:pt idx="4">
                  <c:v>0.31610590105586361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39-46E7-AD7A-B6DF3F4C3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2004_Q4 foundation</a:t>
            </a:r>
          </a:p>
          <a:p>
            <a:pPr>
              <a:defRPr sz="900"/>
            </a:pPr>
            <a:r>
              <a:rPr lang="en-US" sz="900"/>
              <a:t>
Total sales: $338365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35-4B74-9C44-D3DC31261D66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035-4B74-9C44-D3DC31261D66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0.13347512435534314</c:v>
                </c:pt>
                <c:pt idx="1">
                  <c:v>4.3108713835712513E-2</c:v>
                </c:pt>
                <c:pt idx="2">
                  <c:v>0.13036480381390914</c:v>
                </c:pt>
                <c:pt idx="3">
                  <c:v>4.5782433563954159E-2</c:v>
                </c:pt>
                <c:pt idx="4">
                  <c:v>7.2703152665297491E-2</c:v>
                </c:pt>
                <c:pt idx="5">
                  <c:v>0.16727012309378292</c:v>
                </c:pt>
                <c:pt idx="6">
                  <c:v>0.23951257234517095</c:v>
                </c:pt>
                <c:pt idx="7">
                  <c:v>1.7831282550165348E-2</c:v>
                </c:pt>
                <c:pt idx="8">
                  <c:v>0.14995179377666429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5-4B74-9C44-D3DC31261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&amp; Jen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Colleen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4.6760413936431071</c:v>
                </c:pt>
                <c:pt idx="1">
                  <c:v>-6.6502592486943124E-2</c:v>
                </c:pt>
                <c:pt idx="2">
                  <c:v>-0.76656904624748101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C-447E-8CE0-8DB842E652B2}"/>
            </c:ext>
          </c:extLst>
        </c:ser>
        <c:ser>
          <c:idx val="1"/>
          <c:order val="1"/>
          <c:tx>
            <c:v>Jen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-0.52626648507490448</c:v>
                </c:pt>
                <c:pt idx="1">
                  <c:v>-0.99879024062554411</c:v>
                </c:pt>
                <c:pt idx="2">
                  <c:v>268.96501910559817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C-447E-8CE0-8DB842E65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2206255"/>
        <c:axId val="1612211055"/>
      </c:barChart>
      <c:lineChart>
        <c:grouping val="standard"/>
        <c:varyColors val="0"/>
        <c:ser>
          <c:idx val="2"/>
          <c:order val="2"/>
          <c:tx>
            <c:v>Colleen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71090.722630264485</c:v>
                </c:pt>
                <c:pt idx="1">
                  <c:v>66363.005273581701</c:v>
                </c:pt>
                <c:pt idx="2">
                  <c:v>15491.179614895618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4C-447E-8CE0-8DB842E652B2}"/>
            </c:ext>
          </c:extLst>
        </c:ser>
        <c:ser>
          <c:idx val="3"/>
          <c:order val="3"/>
          <c:tx>
            <c:v>Jen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2004_Q2</c:v>
                </c:pt>
                <c:pt idx="1">
                  <c:v>2004_Q3</c:v>
                </c:pt>
                <c:pt idx="2">
                  <c:v>2004_Q4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18474.032675015573</c:v>
                </c:pt>
                <c:pt idx="1">
                  <c:v>22.349134212601786</c:v>
                </c:pt>
                <c:pt idx="2">
                  <c:v>6033.484444698619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4C-447E-8CE0-8DB842E65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206735"/>
        <c:axId val="1612200015"/>
      </c:lineChart>
      <c:catAx>
        <c:axId val="161220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11055"/>
        <c:crosses val="autoZero"/>
        <c:auto val="1"/>
        <c:lblAlgn val="ctr"/>
        <c:lblOffset val="100"/>
        <c:noMultiLvlLbl val="0"/>
      </c:catAx>
      <c:valAx>
        <c:axId val="161221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06255"/>
        <c:crosses val="autoZero"/>
        <c:crossBetween val="between"/>
      </c:valAx>
      <c:valAx>
        <c:axId val="161220001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06735"/>
        <c:crosses val="max"/>
        <c:crossBetween val="between"/>
      </c:valAx>
      <c:catAx>
        <c:axId val="1612206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122000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Colleen 2004_Q4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3-4BE9-97AA-294198CE86E2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3-4BE9-97AA-294198CE86E2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3-4BE9-97AA-294198CE86E2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A3-4BE9-97AA-294198CE86E2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A3-4BE9-97AA-294198CE8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0.26235304556280531</c:v>
                </c:pt>
                <c:pt idx="1">
                  <c:v>0.11090387292762285</c:v>
                </c:pt>
                <c:pt idx="2">
                  <c:v>0.33941731878475462</c:v>
                </c:pt>
                <c:pt idx="3">
                  <c:v>1.4903582729704497E-2</c:v>
                </c:pt>
                <c:pt idx="4">
                  <c:v>0.27242217999511253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A3-4BE9-97AA-294198CE8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Jen 2004_Q4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6-4384-A162-3AA39EE7AEC8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6-4384-A162-3AA39EE7AEC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6-4384-A162-3AA39EE7AEC8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66-4384-A162-3AA39EE7AEC8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66-4384-A162-3AA39EE7AE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0.39064541464767238</c:v>
                </c:pt>
                <c:pt idx="1">
                  <c:v>4.221472826322905E-2</c:v>
                </c:pt>
                <c:pt idx="2">
                  <c:v>4.0184710603606886E-4</c:v>
                </c:pt>
                <c:pt idx="3">
                  <c:v>0.25063210892719873</c:v>
                </c:pt>
                <c:pt idx="4">
                  <c:v>0.31610590105586361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66-4384-A162-3AA39EE7A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2004_Q4 foundation</a:t>
            </a:r>
          </a:p>
          <a:p>
            <a:pPr>
              <a:defRPr sz="900"/>
            </a:pPr>
            <a:r>
              <a:rPr lang="en-US" sz="900"/>
              <a:t>
Total sales: $338365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BB-4B1D-9604-E1F51189F3AF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BB-4B1D-9604-E1F51189F3AF}"/>
              </c:ext>
            </c:extLst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BB-4B1D-9604-E1F51189F3AF}"/>
              </c:ext>
            </c:extLst>
          </c:dPt>
          <c:dPt>
            <c:idx val="3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4BB-4B1D-9604-E1F51189F3A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4BB-4B1D-9604-E1F51189F3AF}"/>
              </c:ext>
            </c:extLst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4BB-4B1D-9604-E1F51189F3AF}"/>
              </c:ext>
            </c:extLst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4BB-4B1D-9604-E1F51189F3AF}"/>
              </c:ext>
            </c:extLst>
          </c:dPt>
          <c:dPt>
            <c:idx val="7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4BB-4B1D-9604-E1F51189F3AF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4BB-4B1D-9604-E1F51189F3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0.13347512435534314</c:v>
                </c:pt>
                <c:pt idx="1">
                  <c:v>4.3108713835712513E-2</c:v>
                </c:pt>
                <c:pt idx="2">
                  <c:v>0.13036480381390914</c:v>
                </c:pt>
                <c:pt idx="3">
                  <c:v>4.5782433563954159E-2</c:v>
                </c:pt>
                <c:pt idx="4">
                  <c:v>7.2703152665297491E-2</c:v>
                </c:pt>
                <c:pt idx="5">
                  <c:v>0.16727012309378292</c:v>
                </c:pt>
                <c:pt idx="6">
                  <c:v>0.23951257234517095</c:v>
                </c:pt>
                <c:pt idx="7">
                  <c:v>1.7831282550165348E-2</c:v>
                </c:pt>
                <c:pt idx="8">
                  <c:v>0.14995179377666429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4BB-4B1D-9604-E1F51189F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554182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F7030674-924B-77FC-FC3E-FE1BD2576F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646545</xdr:colOff>
      <xdr:row>10</xdr:row>
      <xdr:rowOff>117764</xdr:rowOff>
    </xdr:from>
    <xdr:to>
      <xdr:col>12</xdr:col>
      <xdr:colOff>228022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1BED03D5-E2B2-F12C-3D9B-50E38733A7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2113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527050</xdr:colOff>
      <xdr:row>23</xdr:row>
      <xdr:rowOff>19050</xdr:rowOff>
    </xdr:from>
    <xdr:to>
      <xdr:col>10</xdr:col>
      <xdr:colOff>222250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C77DC5-9208-E4BA-EF5F-E8F5DF439D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237259</xdr:colOff>
      <xdr:row>10</xdr:row>
      <xdr:rowOff>117764</xdr:rowOff>
    </xdr:from>
    <xdr:to>
      <xdr:col>16</xdr:col>
      <xdr:colOff>569191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29543C73-D2D2-A679-2DA4-6E601DB9BA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51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546100</xdr:colOff>
      <xdr:row>37</xdr:row>
      <xdr:rowOff>171450</xdr:rowOff>
    </xdr:from>
    <xdr:to>
      <xdr:col>10</xdr:col>
      <xdr:colOff>241300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6635D3-6FA0-3C21-FD74-A297E13C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274205</xdr:colOff>
      <xdr:row>10</xdr:row>
      <xdr:rowOff>117764</xdr:rowOff>
    </xdr:from>
    <xdr:to>
      <xdr:col>22</xdr:col>
      <xdr:colOff>577273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AB2DC616-C668-A95B-5170-93E736F34D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368300</xdr:colOff>
      <xdr:row>23</xdr:row>
      <xdr:rowOff>69850</xdr:rowOff>
    </xdr:from>
    <xdr:to>
      <xdr:col>16</xdr:col>
      <xdr:colOff>63500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F8DCA18-7877-187D-DE45-022D8F2DD5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193386</xdr:colOff>
      <xdr:row>10</xdr:row>
      <xdr:rowOff>117764</xdr:rowOff>
    </xdr:from>
    <xdr:to>
      <xdr:col>28</xdr:col>
      <xdr:colOff>496455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04068B18-20DC-79CB-1D37-24D0FE960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368300</xdr:colOff>
      <xdr:row>38</xdr:row>
      <xdr:rowOff>139700</xdr:rowOff>
    </xdr:from>
    <xdr:to>
      <xdr:col>16</xdr:col>
      <xdr:colOff>63500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429B149-BA4C-BDDF-B996-0DEECB0DC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3C206303-F654-40A5-854A-78564FDB4B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553580</xdr:colOff>
      <xdr:row>23</xdr:row>
      <xdr:rowOff>109932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AADC854-49FC-4619-BB78-AD23AC389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5FFAB1E-0AB9-409C-9EB9-A2CDE15BF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B164A1A4-C1CC-4000-8F4F-9F63CA9D05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624398148146" createdVersion="8" refreshedVersion="8" minRefreshableVersion="3" recordCount="3197" xr:uid="{8BEF8AE3-5A3E-4FBD-8EA7-039D424BEB95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69365127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624399652777" createdVersion="8" refreshedVersion="8" minRefreshableVersion="3" recordCount="3197" xr:uid="{219D9782-E895-4219-892B-5617DA1F1B8E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74658126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624406365743" createdVersion="8" refreshedVersion="8" minRefreshableVersion="3" recordCount="3197" xr:uid="{61FEF370-5C28-4098-BBAD-149EC0C3F6D8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212986742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624411689816" createdVersion="8" refreshedVersion="8" minRefreshableVersion="3" recordCount="3197" xr:uid="{488F083E-708F-486E-AB5B-0B41DA678E03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74260420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624418634259" createdVersion="8" refreshedVersion="8" minRefreshableVersion="3" recordCount="3197" xr:uid="{7099A36D-202B-4323-ADA5-18EDAD831782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6564784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0CB0A9-ABFB-4931-90D9-7EC2BAEA58BB}" name="MY_PIVOT5" cacheId="33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4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2"/>
    </i>
  </rowItems>
  <colItems count="1">
    <i/>
  </colItems>
  <pageFields count="1">
    <pageField fld="5" item="1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261"/>
            <customFilter operator="lessThanOrEqual" val="3835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AD5EF7-3374-4B6E-BD2B-42ACA7F53BE5}" name="MY_PIVOT4" cacheId="328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8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261"/>
            <customFilter operator="lessThanOrEqual" val="3835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5DB29-3811-4EC6-A6AC-2E6C02481AAF}" name="MY_PIVOT3" cacheId="32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3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261"/>
            <customFilter operator="lessThanOrEqual" val="3835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33BED4-E3EC-4A15-886A-82720395C6E5}" name="MY_PIVOT2" cacheId="31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>
      <items count="14">
        <item h="1" x="2"/>
        <item h="1" x="0"/>
        <item h="1" x="8"/>
        <item x="4"/>
        <item h="1" x="5"/>
        <item h="1" x="6"/>
        <item h="1" x="10"/>
        <item h="1" x="1"/>
        <item x="7"/>
        <item h="1" x="9"/>
        <item h="1" x="11"/>
        <item h="1" x="12"/>
        <item h="1"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1"/>
        <item sd="0" x="2"/>
        <item sd="0" x="3"/>
        <item sd="0" x="4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3"/>
    </i>
    <i>
      <x v="8"/>
    </i>
  </colItems>
  <pageFields count="1">
    <pageField fld="5" item="1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7987"/>
            <customFilter operator="lessThanOrEqual" val="3835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AB649-9810-4EA5-BF5A-7AF1578D1F10}" name="MY_PIVOT1" cacheId="31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>
      <items count="14">
        <item h="1" x="2"/>
        <item h="1" x="0"/>
        <item h="1" x="8"/>
        <item x="4"/>
        <item h="1" x="5"/>
        <item h="1" x="6"/>
        <item h="1" x="10"/>
        <item h="1" x="1"/>
        <item x="7"/>
        <item h="1" x="9"/>
        <item h="1" x="11"/>
        <item h="1" x="12"/>
        <item h="1"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1"/>
        <item sd="0" x="2"/>
        <item sd="0" x="3"/>
        <item sd="0" x="4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3"/>
    </i>
    <i>
      <x v="8"/>
    </i>
  </colItems>
  <pageFields count="1">
    <pageField fld="5" item="1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7987"/>
            <customFilter operator="lessThanOrEqual" val="3835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10"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9"/>
    <tableColumn id="4" xr3:uid="{1B8B7ED9-D645-4CFF-8A2E-1F89A9FDB89A}" name="Year" dataDxfId="8">
      <calculatedColumnFormula>YEAR(ProductLine[[#This Row],[Date]])</calculatedColumnFormula>
    </tableColumn>
    <tableColumn id="5" xr3:uid="{E7E792B0-B651-4C16-9465-006459C8F099}" name="Month" dataDxfId="7">
      <calculatedColumnFormula>MONTH(ProductLine[[#This Row],[Date]])</calculatedColumnFormula>
    </tableColumn>
    <tableColumn id="6" xr3:uid="{50F678B5-DF1B-4F3E-BACA-642D91C2060A}" name="Product" dataDxfId="6"/>
    <tableColumn id="7" xr3:uid="{00D43F39-5E9C-4522-A648-718C9001AA3E}" name="Units" dataDxfId="5"/>
    <tableColumn id="8" xr3:uid="{30EB9277-C616-47D3-85DC-89F35E3929D9}" name="Dollars" dataDxfId="4"/>
    <tableColumn id="9" xr3:uid="{5140CBA0-4073-48D5-BBE3-A0D78E284C2F}" name="Total" data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20D259E-6432-4CE1-978D-64307AC12E67}" sourceName="Date">
  <pivotTables>
    <pivotTable tabId="244" name="MY_PIVOT1"/>
  </pivotTables>
  <state minimalRefreshVersion="6" lastRefreshVersion="6" pivotCacheId="1693651270" filterType="dateBetween">
    <selection startDate="2004-01-01T00:00:00" endDate="2004-12-31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BFD78631-F272-4D0A-86D6-ABB95F14D419}" sourceName="Date">
  <pivotTables>
    <pivotTable tabId="244" name="MY_PIVOT2"/>
  </pivotTables>
  <state minimalRefreshVersion="6" lastRefreshVersion="6" pivotCacheId="1746581269" filterType="dateBetween">
    <selection startDate="2004-01-01T00:00:00" endDate="2004-12-31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05D372CF-E680-4768-BA6D-DA328D16E40D}" sourceName="Date">
  <pivotTables>
    <pivotTable tabId="244" name="MY_PIVOT3"/>
  </pivotTables>
  <state minimalRefreshVersion="6" lastRefreshVersion="6" pivotCacheId="2129867427" filterType="dateBetween">
    <selection startDate="2004-10-01T00:00:00" endDate="2004-12-31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B594EEDE-7E28-4D03-9212-6A3A47D3BAA4}" sourceName="Date">
  <pivotTables>
    <pivotTable tabId="244" name="MY_PIVOT4"/>
  </pivotTables>
  <state minimalRefreshVersion="6" lastRefreshVersion="6" pivotCacheId="1742604206" filterType="dateBetween">
    <selection startDate="2004-10-01T00:00:00" endDate="2004-12-31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890E4074-24AF-4833-B0B4-1A53992E2783}" sourceName="Date">
  <pivotTables>
    <pivotTable tabId="244" name="MY_PIVOT5"/>
  </pivotTables>
  <state minimalRefreshVersion="6" lastRefreshVersion="6" pivotCacheId="1656478414" filterType="dateBetween">
    <selection startDate="2004-10-01T00:00:00" endDate="2004-12-31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E804408-51BF-49AA-BA99-5FD9911F99A5}" cache="NativeTimeline_Date" caption="Date" level="1" selectionLevel="0" scrollPosition="2004-01-01T00:00:00"/>
  <timeline name="Date2" xr10:uid="{A006345F-2675-404D-A2A6-6DB9ECF0DBDE}" cache="Date2" caption="Date2" level="1" selectionLevel="0" scrollPosition="2004-01-01T00:00:00"/>
  <timeline name="Date3" xr10:uid="{4D09225B-A39C-49F2-A0F0-76D02B8D0CC2}" cache="Date3" caption="Date3" level="1" selectionLevel="1" scrollPosition="2004-01-01T00:00:00"/>
  <timeline name="Date4" xr10:uid="{9C67CBFE-A31C-4D66-8CEB-3FBCD4814132}" cache="Date4" caption="Date4" level="1" selectionLevel="1" scrollPosition="2004-01-01T00:00:00"/>
  <timeline name="Date5" xr10:uid="{EB08108C-5049-40AB-8472-35FAEFD1AB15}" cache="Date5" caption="Date5" level="1" selectionLevel="1" scrollPosition="200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workbookViewId="0">
      <selection activeCell="E1" sqref="E1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AD748-5FEA-4E70-8EA8-D199C3DC0F08}">
  <dimension ref="B2:AU84"/>
  <sheetViews>
    <sheetView topLeftCell="AM66" zoomScale="88" zoomScaleNormal="88" workbookViewId="0">
      <selection activeCell="AU76" sqref="AU76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7.54296875" bestFit="1" customWidth="1"/>
    <col min="5" max="16" width="10.7265625" bestFit="1" customWidth="1"/>
    <col min="46" max="46" width="12.7265625" bestFit="1" customWidth="1"/>
    <col min="47" max="47" width="12.36328125" bestFit="1" customWidth="1"/>
  </cols>
  <sheetData>
    <row r="2" spans="2:25" x14ac:dyDescent="0.35">
      <c r="B2" s="8" t="s">
        <v>5</v>
      </c>
      <c r="C2" t="s">
        <v>24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13</v>
      </c>
      <c r="D5" t="s">
        <v>16</v>
      </c>
      <c r="W5" t="s">
        <v>59</v>
      </c>
      <c r="X5" t="s">
        <v>13</v>
      </c>
      <c r="Y5" t="s">
        <v>16</v>
      </c>
    </row>
    <row r="6" spans="2:25" x14ac:dyDescent="0.35">
      <c r="B6" s="9" t="s">
        <v>61</v>
      </c>
      <c r="C6" s="10">
        <v>12524.701231016861</v>
      </c>
      <c r="D6" s="10">
        <v>38996.676597678757</v>
      </c>
      <c r="W6" t="s">
        <v>69</v>
      </c>
      <c r="X6" s="10">
        <v>12524.701231016861</v>
      </c>
      <c r="Y6" s="10">
        <v>38996.676597678757</v>
      </c>
    </row>
    <row r="7" spans="2:25" x14ac:dyDescent="0.35">
      <c r="B7" s="9" t="s">
        <v>62</v>
      </c>
      <c r="C7" s="10">
        <v>71090.722630264485</v>
      </c>
      <c r="D7" s="10">
        <v>18474.032675015573</v>
      </c>
      <c r="W7" t="s">
        <v>68</v>
      </c>
      <c r="X7" s="10">
        <v>71090.722630264485</v>
      </c>
      <c r="Y7" s="10">
        <v>18474.032675015573</v>
      </c>
    </row>
    <row r="8" spans="2:25" x14ac:dyDescent="0.35">
      <c r="B8" s="9" t="s">
        <v>63</v>
      </c>
      <c r="C8" s="10">
        <v>66363.005273581701</v>
      </c>
      <c r="D8" s="10">
        <v>22.349134212601786</v>
      </c>
      <c r="W8" t="s">
        <v>67</v>
      </c>
      <c r="X8" s="10">
        <v>66363.005273581701</v>
      </c>
      <c r="Y8" s="10">
        <v>22.349134212601786</v>
      </c>
    </row>
    <row r="9" spans="2:25" x14ac:dyDescent="0.35">
      <c r="B9" s="9" t="s">
        <v>64</v>
      </c>
      <c r="C9" s="10">
        <v>15491.179614895618</v>
      </c>
      <c r="D9" s="10">
        <v>6033.484444698619</v>
      </c>
      <c r="W9" t="s">
        <v>33</v>
      </c>
      <c r="X9" s="10">
        <v>15491.179614895618</v>
      </c>
      <c r="Y9" s="10">
        <v>6033.484444698619</v>
      </c>
    </row>
    <row r="28" spans="2:25" x14ac:dyDescent="0.35">
      <c r="B28" s="8" t="s">
        <v>5</v>
      </c>
      <c r="C28" t="s">
        <v>24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13</v>
      </c>
      <c r="D31" t="s">
        <v>16</v>
      </c>
      <c r="W31" t="s">
        <v>59</v>
      </c>
      <c r="X31" t="s">
        <v>13</v>
      </c>
      <c r="Y31" t="s">
        <v>16</v>
      </c>
    </row>
    <row r="32" spans="2:25" x14ac:dyDescent="0.35">
      <c r="B32" s="9" t="s">
        <v>61</v>
      </c>
      <c r="C32" s="11"/>
      <c r="D32" s="11"/>
      <c r="W32" t="s">
        <v>68</v>
      </c>
      <c r="X32" s="11">
        <v>4.6760413936431071</v>
      </c>
      <c r="Y32" s="11">
        <v>-0.52626648507490448</v>
      </c>
    </row>
    <row r="33" spans="2:25" x14ac:dyDescent="0.35">
      <c r="B33" s="9" t="s">
        <v>62</v>
      </c>
      <c r="C33" s="11">
        <v>4.6760413936431071</v>
      </c>
      <c r="D33" s="11">
        <v>-0.52626648507490448</v>
      </c>
      <c r="W33" t="s">
        <v>67</v>
      </c>
      <c r="X33" s="11">
        <v>-6.6502592486943124E-2</v>
      </c>
      <c r="Y33" s="11">
        <v>-0.99879024062554411</v>
      </c>
    </row>
    <row r="34" spans="2:25" x14ac:dyDescent="0.35">
      <c r="B34" s="9" t="s">
        <v>63</v>
      </c>
      <c r="C34" s="11">
        <v>-6.6502592486943124E-2</v>
      </c>
      <c r="D34" s="11">
        <v>-0.99879024062554411</v>
      </c>
      <c r="W34" t="s">
        <v>33</v>
      </c>
      <c r="X34" s="11">
        <v>-0.76656904624748101</v>
      </c>
      <c r="Y34" s="11">
        <v>268.96501910559817</v>
      </c>
    </row>
    <row r="35" spans="2:25" x14ac:dyDescent="0.35">
      <c r="B35" s="9" t="s">
        <v>64</v>
      </c>
      <c r="C35" s="11">
        <v>-0.76656904624748101</v>
      </c>
      <c r="D35" s="11">
        <v>268.96501910559817</v>
      </c>
    </row>
    <row r="40" spans="2:25" x14ac:dyDescent="0.35">
      <c r="B40" t="s">
        <v>70</v>
      </c>
    </row>
    <row r="42" spans="2:25" x14ac:dyDescent="0.35">
      <c r="B42" s="8" t="s">
        <v>1</v>
      </c>
      <c r="C42" t="s">
        <v>13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0.26235304556280531</v>
      </c>
      <c r="W45" t="s">
        <v>26</v>
      </c>
      <c r="X45" s="11">
        <v>0.26235304556280531</v>
      </c>
    </row>
    <row r="46" spans="2:25" x14ac:dyDescent="0.35">
      <c r="B46" s="9" t="s">
        <v>24</v>
      </c>
      <c r="C46" s="11">
        <v>0.11090387292762285</v>
      </c>
      <c r="W46" t="s">
        <v>24</v>
      </c>
      <c r="X46" s="11">
        <v>0.11090387292762285</v>
      </c>
    </row>
    <row r="47" spans="2:25" x14ac:dyDescent="0.35">
      <c r="B47" s="9" t="s">
        <v>23</v>
      </c>
      <c r="C47" s="11">
        <v>0.33941731878475462</v>
      </c>
      <c r="W47" t="s">
        <v>23</v>
      </c>
      <c r="X47" s="11">
        <v>0.33941731878475462</v>
      </c>
    </row>
    <row r="48" spans="2:25" x14ac:dyDescent="0.35">
      <c r="B48" s="9" t="s">
        <v>25</v>
      </c>
      <c r="C48" s="11">
        <v>1.4903582729704497E-2</v>
      </c>
      <c r="W48" t="s">
        <v>25</v>
      </c>
      <c r="X48" s="11">
        <v>1.4903582729704497E-2</v>
      </c>
    </row>
    <row r="49" spans="2:24" x14ac:dyDescent="0.35">
      <c r="B49" s="9" t="s">
        <v>27</v>
      </c>
      <c r="C49" s="11">
        <v>0.27242217999511253</v>
      </c>
      <c r="W49" t="s">
        <v>27</v>
      </c>
      <c r="X49" s="11">
        <v>0.27242217999511253</v>
      </c>
    </row>
    <row r="55" spans="2:24" x14ac:dyDescent="0.35">
      <c r="B55" t="s">
        <v>71</v>
      </c>
    </row>
    <row r="60" spans="2:24" x14ac:dyDescent="0.35">
      <c r="B60" s="8" t="s">
        <v>1</v>
      </c>
      <c r="C60" t="s">
        <v>16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0.39064541464767238</v>
      </c>
      <c r="W63" t="s">
        <v>26</v>
      </c>
      <c r="X63" s="11">
        <v>0.39064541464767238</v>
      </c>
    </row>
    <row r="64" spans="2:24" x14ac:dyDescent="0.35">
      <c r="B64" s="9" t="s">
        <v>24</v>
      </c>
      <c r="C64" s="11">
        <v>4.221472826322905E-2</v>
      </c>
      <c r="W64" t="s">
        <v>24</v>
      </c>
      <c r="X64" s="11">
        <v>4.221472826322905E-2</v>
      </c>
    </row>
    <row r="65" spans="2:47" x14ac:dyDescent="0.35">
      <c r="B65" s="9" t="s">
        <v>23</v>
      </c>
      <c r="C65" s="11">
        <v>4.0184710603606886E-4</v>
      </c>
      <c r="W65" t="s">
        <v>23</v>
      </c>
      <c r="X65" s="11">
        <v>4.0184710603606886E-4</v>
      </c>
    </row>
    <row r="66" spans="2:47" x14ac:dyDescent="0.35">
      <c r="B66" s="9" t="s">
        <v>25</v>
      </c>
      <c r="C66" s="11">
        <v>0.25063210892719873</v>
      </c>
      <c r="W66" t="s">
        <v>25</v>
      </c>
      <c r="X66" s="11">
        <v>0.25063210892719873</v>
      </c>
    </row>
    <row r="67" spans="2:47" x14ac:dyDescent="0.35">
      <c r="B67" s="9" t="s">
        <v>27</v>
      </c>
      <c r="C67" s="11">
        <v>0.31610590105586361</v>
      </c>
      <c r="W67" t="s">
        <v>27</v>
      </c>
      <c r="X67" s="11">
        <v>0.31610590105586361</v>
      </c>
    </row>
    <row r="70" spans="2:47" x14ac:dyDescent="0.35">
      <c r="AT70" t="s">
        <v>72</v>
      </c>
    </row>
    <row r="73" spans="2:47" x14ac:dyDescent="0.35">
      <c r="AT73" s="8" t="s">
        <v>5</v>
      </c>
      <c r="AU73" t="s">
        <v>24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0.13347512435534314</v>
      </c>
      <c r="AT76" s="9" t="s">
        <v>11</v>
      </c>
      <c r="AU76" s="11">
        <v>0.13347512435534314</v>
      </c>
    </row>
    <row r="77" spans="2:47" x14ac:dyDescent="0.35">
      <c r="AP77" t="s">
        <v>9</v>
      </c>
      <c r="AQ77" s="11">
        <v>4.3108713835712513E-2</v>
      </c>
      <c r="AT77" s="9" t="s">
        <v>9</v>
      </c>
      <c r="AU77" s="11">
        <v>4.3108713835712513E-2</v>
      </c>
    </row>
    <row r="78" spans="2:47" x14ac:dyDescent="0.35">
      <c r="AP78" t="s">
        <v>17</v>
      </c>
      <c r="AQ78" s="11">
        <v>0.13036480381390914</v>
      </c>
      <c r="AT78" s="9" t="s">
        <v>17</v>
      </c>
      <c r="AU78" s="11">
        <v>0.13036480381390914</v>
      </c>
    </row>
    <row r="79" spans="2:47" x14ac:dyDescent="0.35">
      <c r="AP79" t="s">
        <v>13</v>
      </c>
      <c r="AQ79" s="11">
        <v>4.5782433563954159E-2</v>
      </c>
      <c r="AT79" s="9" t="s">
        <v>13</v>
      </c>
      <c r="AU79" s="11">
        <v>4.5782433563954159E-2</v>
      </c>
    </row>
    <row r="80" spans="2:47" x14ac:dyDescent="0.35">
      <c r="AP80" t="s">
        <v>14</v>
      </c>
      <c r="AQ80" s="11">
        <v>7.2703152665297491E-2</v>
      </c>
      <c r="AT80" s="9" t="s">
        <v>14</v>
      </c>
      <c r="AU80" s="11">
        <v>7.2703152665297491E-2</v>
      </c>
    </row>
    <row r="81" spans="42:47" x14ac:dyDescent="0.35">
      <c r="AP81" t="s">
        <v>15</v>
      </c>
      <c r="AQ81" s="11">
        <v>0.16727012309378292</v>
      </c>
      <c r="AT81" s="9" t="s">
        <v>15</v>
      </c>
      <c r="AU81" s="11">
        <v>0.16727012309378292</v>
      </c>
    </row>
    <row r="82" spans="42:47" x14ac:dyDescent="0.35">
      <c r="AP82" t="s">
        <v>10</v>
      </c>
      <c r="AQ82" s="11">
        <v>0.23951257234517095</v>
      </c>
      <c r="AT82" s="9" t="s">
        <v>10</v>
      </c>
      <c r="AU82" s="11">
        <v>0.23951257234517095</v>
      </c>
    </row>
    <row r="83" spans="42:47" x14ac:dyDescent="0.35">
      <c r="AP83" t="s">
        <v>16</v>
      </c>
      <c r="AQ83" s="11">
        <v>1.7831282550165348E-2</v>
      </c>
      <c r="AT83" s="9" t="s">
        <v>16</v>
      </c>
      <c r="AU83" s="11">
        <v>1.7831282550165348E-2</v>
      </c>
    </row>
    <row r="84" spans="42:47" x14ac:dyDescent="0.35">
      <c r="AP84" t="s">
        <v>12</v>
      </c>
      <c r="AQ84" s="11">
        <v>0.14995179377666429</v>
      </c>
      <c r="AT84" s="9" t="s">
        <v>12</v>
      </c>
      <c r="AU84" s="11">
        <v>0.14995179377666429</v>
      </c>
    </row>
  </sheetData>
  <sortState xmlns:xlrd2="http://schemas.microsoft.com/office/spreadsheetml/2017/richdata2" ref="B30:D35">
    <sortCondition ref="B32" customList="Qtr1,Qtr2,Qtr3,Qtr4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90"/>
  <sheetViews>
    <sheetView showGridLines="0" tabSelected="1" zoomScale="92" zoomScaleNormal="92" workbookViewId="0">
      <selection activeCell="C27" sqref="C2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2022</v>
      </c>
      <c r="CG1">
        <v>2022</v>
      </c>
      <c r="CH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</row>
    <row r="3" spans="1:144" x14ac:dyDescent="0.35">
      <c r="B3" s="4">
        <v>2004</v>
      </c>
      <c r="F3" s="5" t="s">
        <v>29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  <c r="CG3" t="s">
        <v>31</v>
      </c>
      <c r="CH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  <c r="CG4" t="s">
        <v>32</v>
      </c>
      <c r="CH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  <c r="CG5" t="s">
        <v>29</v>
      </c>
      <c r="CH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13</v>
      </c>
      <c r="F7" s="12" t="s">
        <v>16</v>
      </c>
      <c r="J7" s="7" t="s">
        <v>24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2004_Q4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90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Cici</v>
      </c>
    </row>
    <row r="86" spans="281:281" x14ac:dyDescent="0.35">
      <c r="JU86" t="str">
        <f ca="1"/>
        <v>Cristina</v>
      </c>
    </row>
    <row r="87" spans="281:281" x14ac:dyDescent="0.35">
      <c r="JU87" t="str">
        <f ca="1"/>
        <v>Emilee</v>
      </c>
    </row>
    <row r="88" spans="281:281" x14ac:dyDescent="0.35">
      <c r="JU88" t="str">
        <f ca="1"/>
        <v>Hallagan</v>
      </c>
    </row>
    <row r="89" spans="281:281" x14ac:dyDescent="0.35">
      <c r="JU89" t="str">
        <f ca="1"/>
        <v>Jen</v>
      </c>
    </row>
    <row r="90" spans="281:281" x14ac:dyDescent="0.35">
      <c r="JU90" t="str">
        <f ca="1"/>
        <v>Zaret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2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zoomScale="86" zoomScaleNormal="86" workbookViewId="0">
      <selection activeCell="CO27" sqref="CO27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2025-02-09T09:46:25Z</dcterms:modified>
</cp:coreProperties>
</file>