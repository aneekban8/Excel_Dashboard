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Dashboard 150125\"/>
    </mc:Choice>
  </mc:AlternateContent>
  <xr:revisionPtr revIDLastSave="0" documentId="13_ncr:1_{72A7B378-E61D-49F8-BFC0-F52FEC680C48}" xr6:coauthVersionLast="47" xr6:coauthVersionMax="47" xr10:uidLastSave="{00000000-0000-0000-0000-000000000000}"/>
  <bookViews>
    <workbookView xWindow="-110" yWindow="-110" windowWidth="19420" windowHeight="10300" activeTab="2" xr2:uid="{5E2C4857-7039-425F-8F73-FB7F2FD980D6}"/>
  </bookViews>
  <sheets>
    <sheet name="Data" sheetId="1" r:id="rId1"/>
    <sheet name="Sheet2" sheetId="247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10" r:id="rId5"/>
    <pivotCache cacheId="16" r:id="rId6"/>
    <pivotCache cacheId="22" r:id="rId7"/>
    <pivotCache cacheId="28" r:id="rId8"/>
    <pivotCache cacheId="3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<sst xmlns="http://schemas.openxmlformats.org/spreadsheetml/2006/main" count="6816" uniqueCount="70">
  <si>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</si>
  <si>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</si>
  <si>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</si>
  <si>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</si>
  <si>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</si>
  <si>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</si>
  <si>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</si>
  <si>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</si>
  <si>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</si>
  <si>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</si>
  <si>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</si>
  <si>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</si>
  <si>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</si>
  <si>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</si>
  <si>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</si>
  <si>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</si>
  <si>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</si>
  <si>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</si>
  <si>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</si>
  <si>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</si>
  <si>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</si>
  <si>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</si>
  <si>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</si>
  <si>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</si>
  <si>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</si>
  <si>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</si>
  <si>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</si>
  <si>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</si>
  <si>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</si>
  <si>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</si>
  <si>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</si>
  <si>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</si>
  <si>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</si>
  <si>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</si>
  <si>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</si>
  <si>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</si>
  <si>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</si>
  <si>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</si>
  <si>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</si>
  <si>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</si>
  <si>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</si>
  <si>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</si>
  <si>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</si>
  <si>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</si>
  <si>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</si>
  <si>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</si>
  <si>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</si>
  <si>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</si>
  <si>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</si>
  <si>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</si>
  <si>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</si>
  <si>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</si>
  <si>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</si>
  <si>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</si>
  <si>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</si>
  <si>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</si>
  <si>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</si>
  <si>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</si>
  <si>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</si>
  <si>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</si>
  <si>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</si>
  <si>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</si>
  <si>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</si>
  <si>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</si>
  <si>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</si>
  <si>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</si>
  <si>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</si>
  <si>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Cristina 2006_Q3</t>
  </si>
  <si>
    <t>Jen 2006_Q3</t>
  </si>
  <si>
    <t>2006_Q3 foundation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</si>
</sst>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Cristina &amp; Jen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Cristina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-0.52391097812272902</c:v>
                </c:pt>
                <c:pt idx="1">
                  <c:v>-0.4771020692802862</c:v>
                </c:pt>
                <c:pt idx="2">
                  <c:v>-0.35412639543543417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E-449E-9F43-C417B7C61F87}"/>
            </c:ext>
          </c:extLst>
        </c:ser>
        <c:ser>
          <c:idx val="1"/>
          <c:order val="1"/>
          <c:tx>
            <c:v>Jen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0.74769447407185796</c:v>
                </c:pt>
                <c:pt idx="1">
                  <c:v>-0.74506471818775932</c:v>
                </c:pt>
                <c:pt idx="2">
                  <c:v>1.7469586333143468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DE-449E-9F43-C417B7C61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6138783"/>
        <c:axId val="1176142623"/>
      </c:barChart>
      <c:lineChart>
        <c:grouping val="standard"/>
        <c:varyColors val="0"/>
        <c:ser>
          <c:idx val="2"/>
          <c:order val="2"/>
          <c:tx>
            <c:v>Cristina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35204.996412901186</c:v>
                </c:pt>
                <c:pt idx="1">
                  <c:v>18408.619775300976</c:v>
                </c:pt>
                <c:pt idx="2">
                  <c:v>11889.64160933219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DE-449E-9F43-C417B7C61F87}"/>
            </c:ext>
          </c:extLst>
        </c:ser>
        <c:ser>
          <c:idx val="3"/>
          <c:order val="3"/>
          <c:tx>
            <c:v>Jen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34780.227529294898</c:v>
                </c:pt>
                <c:pt idx="1">
                  <c:v>8866.7071066746466</c:v>
                </c:pt>
                <c:pt idx="2">
                  <c:v>24356.477635749594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DE-449E-9F43-C417B7C61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139743"/>
        <c:axId val="1176148383"/>
      </c:lineChart>
      <c:catAx>
        <c:axId val="117613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142623"/>
        <c:crosses val="autoZero"/>
        <c:auto val="1"/>
        <c:lblAlgn val="ctr"/>
        <c:lblOffset val="100"/>
        <c:noMultiLvlLbl val="0"/>
      </c:catAx>
      <c:valAx>
        <c:axId val="117614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138783"/>
        <c:crosses val="autoZero"/>
        <c:crossBetween val="between"/>
      </c:valAx>
      <c:valAx>
        <c:axId val="11761483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139743"/>
        <c:crosses val="max"/>
        <c:crossBetween val="between"/>
      </c:valAx>
      <c:catAx>
        <c:axId val="1176139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614838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Cristina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E1-4598-9A05-C340510163AD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1.1568768016566507E-2</c:v>
                </c:pt>
                <c:pt idx="1">
                  <c:v>0.13155989897704548</c:v>
                </c:pt>
                <c:pt idx="2">
                  <c:v>0.5061887083522506</c:v>
                </c:pt>
                <c:pt idx="3">
                  <c:v>1.9936886643038634E-2</c:v>
                </c:pt>
                <c:pt idx="4">
                  <c:v>0.33074573801109886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1-4598-9A05-C34051016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Jen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5E-41BF-AEC6-B53910ADCCA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0.65241107002586651</c:v>
                </c:pt>
                <c:pt idx="1">
                  <c:v>0.17197599417227574</c:v>
                </c:pt>
                <c:pt idx="2">
                  <c:v>0.1465802022861637</c:v>
                </c:pt>
                <c:pt idx="3">
                  <c:v>2.6296026931857418E-2</c:v>
                </c:pt>
                <c:pt idx="4">
                  <c:v>2.736706583836567E-3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E-41BF-AEC6-B53910ADC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2006_Q3 foundation</a:t>
            </a:r>
          </a:p>
          <a:p>
            <a:pPr>
              <a:defRPr sz="900"/>
            </a:pPr>
            <a:r>
              <a:rPr lang="en-US" sz="900"/>
              <a:t>
Total sales: $268462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29-4247-9F0A-99D2A0D1A0F6}"/>
              </c:ext>
            </c:extLst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929-4247-9F0A-99D2A0D1A0F6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6.8958677060221964E-3</c:v>
                </c:pt>
                <c:pt idx="1">
                  <c:v>0.13646941134487969</c:v>
                </c:pt>
                <c:pt idx="2">
                  <c:v>3.8935281799775817E-2</c:v>
                </c:pt>
                <c:pt idx="3">
                  <c:v>0.11070102071061126</c:v>
                </c:pt>
                <c:pt idx="4">
                  <c:v>4.4287975433786091E-2</c:v>
                </c:pt>
                <c:pt idx="5">
                  <c:v>0.12977947953323696</c:v>
                </c:pt>
                <c:pt idx="6">
                  <c:v>0.28858905856845035</c:v>
                </c:pt>
                <c:pt idx="7">
                  <c:v>9.0725954459297292E-2</c:v>
                </c:pt>
                <c:pt idx="8">
                  <c:v>0.15361595044394027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9-4247-9F0A-99D2A0D1A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Cristina &amp; Jen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Cristina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-0.52391097812272902</c:v>
                </c:pt>
                <c:pt idx="1">
                  <c:v>-0.4771020692802862</c:v>
                </c:pt>
                <c:pt idx="2">
                  <c:v>-0.35412639543543417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5-4B13-AEF1-C0A84D8E12F7}"/>
            </c:ext>
          </c:extLst>
        </c:ser>
        <c:ser>
          <c:idx val="1"/>
          <c:order val="1"/>
          <c:tx>
            <c:v>Jen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0.74769447407185796</c:v>
                </c:pt>
                <c:pt idx="1">
                  <c:v>-0.74506471818775932</c:v>
                </c:pt>
                <c:pt idx="2">
                  <c:v>1.7469586333143468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5-4B13-AEF1-C0A84D8E1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6138783"/>
        <c:axId val="1176142623"/>
      </c:barChart>
      <c:lineChart>
        <c:grouping val="standard"/>
        <c:varyColors val="0"/>
        <c:ser>
          <c:idx val="2"/>
          <c:order val="2"/>
          <c:tx>
            <c:v>Cristina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35204.996412901186</c:v>
                </c:pt>
                <c:pt idx="1">
                  <c:v>18408.619775300976</c:v>
                </c:pt>
                <c:pt idx="2">
                  <c:v>11889.64160933219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15-4B13-AEF1-C0A84D8E12F7}"/>
            </c:ext>
          </c:extLst>
        </c:ser>
        <c:ser>
          <c:idx val="3"/>
          <c:order val="3"/>
          <c:tx>
            <c:v>Jen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2006_Q1</c:v>
                </c:pt>
                <c:pt idx="1">
                  <c:v>2006_Q2</c:v>
                </c:pt>
                <c:pt idx="2">
                  <c:v>2006_Q3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34780.227529294898</c:v>
                </c:pt>
                <c:pt idx="1">
                  <c:v>8866.7071066746466</c:v>
                </c:pt>
                <c:pt idx="2">
                  <c:v>24356.477635749594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15-4B13-AEF1-C0A84D8E1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139743"/>
        <c:axId val="1176148383"/>
      </c:lineChart>
      <c:catAx>
        <c:axId val="117613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142623"/>
        <c:crosses val="autoZero"/>
        <c:auto val="1"/>
        <c:lblAlgn val="ctr"/>
        <c:lblOffset val="100"/>
        <c:noMultiLvlLbl val="0"/>
      </c:catAx>
      <c:valAx>
        <c:axId val="117614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138783"/>
        <c:crosses val="autoZero"/>
        <c:crossBetween val="between"/>
      </c:valAx>
      <c:valAx>
        <c:axId val="11761483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139743"/>
        <c:crosses val="max"/>
        <c:crossBetween val="between"/>
      </c:valAx>
      <c:catAx>
        <c:axId val="1176139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61483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Cristina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6D-448B-8DDC-2FCCE89A8BE1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6D-448B-8DDC-2FCCE89A8BE1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6D-448B-8DDC-2FCCE89A8BE1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6D-448B-8DDC-2FCCE89A8BE1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6D-448B-8DDC-2FCCE89A8B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1.1568768016566507E-2</c:v>
                </c:pt>
                <c:pt idx="1">
                  <c:v>0.13155989897704548</c:v>
                </c:pt>
                <c:pt idx="2">
                  <c:v>0.5061887083522506</c:v>
                </c:pt>
                <c:pt idx="3">
                  <c:v>1.9936886643038634E-2</c:v>
                </c:pt>
                <c:pt idx="4">
                  <c:v>0.33074573801109886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6D-448B-8DDC-2FCCE89A8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Jen 2006_Q3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58-4E25-B969-1CF4E83F1F83}"/>
              </c:ext>
            </c:extLst>
          </c:dPt>
          <c:dPt>
            <c:idx val="1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58-4E25-B969-1CF4E83F1F8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58-4E25-B969-1CF4E83F1F83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58-4E25-B969-1CF4E83F1F83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58-4E25-B969-1CF4E83F1F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0.65241107002586651</c:v>
                </c:pt>
                <c:pt idx="1">
                  <c:v>0.17197599417227574</c:v>
                </c:pt>
                <c:pt idx="2">
                  <c:v>0.1465802022861637</c:v>
                </c:pt>
                <c:pt idx="3">
                  <c:v>2.6296026931857418E-2</c:v>
                </c:pt>
                <c:pt idx="4">
                  <c:v>2.736706583836567E-3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58-4E25-B969-1CF4E83F1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2006_Q3 foundation</a:t>
            </a:r>
          </a:p>
          <a:p>
            <a:pPr>
              <a:defRPr sz="900"/>
            </a:pPr>
            <a:r>
              <a:rPr lang="en-US" sz="900"/>
              <a:t>
Total sales: $268462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72-4815-B9B5-EFB2BD4D6092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72-4815-B9B5-EFB2BD4D6092}"/>
              </c:ext>
            </c:extLst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72-4815-B9B5-EFB2BD4D6092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72-4815-B9B5-EFB2BD4D6092}"/>
              </c:ext>
            </c:extLst>
          </c:dPt>
          <c:dPt>
            <c:idx val="4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72-4815-B9B5-EFB2BD4D6092}"/>
              </c:ext>
            </c:extLst>
          </c:dPt>
          <c:dPt>
            <c:idx val="5"/>
            <c:bubble3D val="0"/>
            <c:spPr>
              <a:solidFill>
                <a:schemeClr val="accent4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B72-4815-B9B5-EFB2BD4D6092}"/>
              </c:ext>
            </c:extLst>
          </c:dPt>
          <c:dPt>
            <c:idx val="6"/>
            <c:bubble3D val="0"/>
            <c:spPr>
              <a:solidFill>
                <a:schemeClr val="accent4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B72-4815-B9B5-EFB2BD4D6092}"/>
              </c:ext>
            </c:extLst>
          </c:dPt>
          <c:dPt>
            <c:idx val="7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B72-4815-B9B5-EFB2BD4D6092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B72-4815-B9B5-EFB2BD4D60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6.8958677060221964E-3</c:v>
                </c:pt>
                <c:pt idx="1">
                  <c:v>0.13646941134487969</c:v>
                </c:pt>
                <c:pt idx="2">
                  <c:v>3.8935281799775817E-2</c:v>
                </c:pt>
                <c:pt idx="3">
                  <c:v>0.11070102071061126</c:v>
                </c:pt>
                <c:pt idx="4">
                  <c:v>4.4287975433786091E-2</c:v>
                </c:pt>
                <c:pt idx="5">
                  <c:v>0.12977947953323696</c:v>
                </c:pt>
                <c:pt idx="6">
                  <c:v>0.28858905856845035</c:v>
                </c:pt>
                <c:pt idx="7">
                  <c:v>9.0725954459297292E-2</c:v>
                </c:pt>
                <c:pt idx="8">
                  <c:v>0.15361595044394027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72-4815-B9B5-EFB2BD4D6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698500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D6186A97-EF7E-F6AF-E7A2-93ED79A15B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675409</xdr:colOff>
      <xdr:row>10</xdr:row>
      <xdr:rowOff>117764</xdr:rowOff>
    </xdr:from>
    <xdr:to>
      <xdr:col>12</xdr:col>
      <xdr:colOff>256886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E8CBDBF7-B839-5B74-70AF-01AD8C4AB1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6659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673100</xdr:colOff>
      <xdr:row>23</xdr:row>
      <xdr:rowOff>19050</xdr:rowOff>
    </xdr:from>
    <xdr:to>
      <xdr:col>10</xdr:col>
      <xdr:colOff>368300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507D7B-91D2-8ADD-C36F-18D1819B55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381577</xdr:colOff>
      <xdr:row>10</xdr:row>
      <xdr:rowOff>117764</xdr:rowOff>
    </xdr:from>
    <xdr:to>
      <xdr:col>17</xdr:col>
      <xdr:colOff>107373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4D270D16-D9B9-CD95-0FC0-796A4252C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51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692150</xdr:colOff>
      <xdr:row>37</xdr:row>
      <xdr:rowOff>171450</xdr:rowOff>
    </xdr:from>
    <xdr:to>
      <xdr:col>10</xdr:col>
      <xdr:colOff>387350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F001343-59EB-FC0B-CE6A-715C052B8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418523</xdr:colOff>
      <xdr:row>10</xdr:row>
      <xdr:rowOff>117764</xdr:rowOff>
    </xdr:from>
    <xdr:to>
      <xdr:col>23</xdr:col>
      <xdr:colOff>115455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9DB3657C-A09D-B7BA-1560-656599C275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514350</xdr:colOff>
      <xdr:row>23</xdr:row>
      <xdr:rowOff>69850</xdr:rowOff>
    </xdr:from>
    <xdr:to>
      <xdr:col>16</xdr:col>
      <xdr:colOff>209550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59FEFC-BC39-2D89-447B-8C6BE9AC4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337705</xdr:colOff>
      <xdr:row>10</xdr:row>
      <xdr:rowOff>117764</xdr:rowOff>
    </xdr:from>
    <xdr:to>
      <xdr:col>29</xdr:col>
      <xdr:colOff>34636</xdr:colOff>
      <xdr:row>17</xdr:row>
      <xdr:rowOff>176068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CDBBC01F-F9D6-B701-746D-2585827A1D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514350</xdr:colOff>
      <xdr:row>38</xdr:row>
      <xdr:rowOff>139700</xdr:rowOff>
    </xdr:from>
    <xdr:to>
      <xdr:col>16</xdr:col>
      <xdr:colOff>209550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C56F3C0-FF5C-F86C-55FD-0A7164B45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DA2EF7-7C8F-4CAC-B941-5715E4CAD4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553581</xdr:colOff>
      <xdr:row>23</xdr:row>
      <xdr:rowOff>109932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A3806-783F-4DF9-983A-F4E66FA670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D126C7-08A1-4E66-A4DA-512FC779C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12078F-0DD7-4053-ACB1-5D4C08F8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4.368400115738" createdVersion="8" refreshedVersion="8" minRefreshableVersion="3" recordCount="3197" xr:uid="{53E15069-A4F1-4A53-A33D-D6D3C99DD947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03938351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4.368401967593" createdVersion="8" refreshedVersion="8" minRefreshableVersion="3" recordCount="3197" xr:uid="{3B5C2FE5-332E-4A6A-B18F-E0088AAD8AE2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54960804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4.368411574076" createdVersion="8" refreshedVersion="8" minRefreshableVersion="3" recordCount="3197" xr:uid="{4A217697-634A-4326-8A2C-52F036C87BC7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55999106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4.36841747685" createdVersion="8" refreshedVersion="8" minRefreshableVersion="3" recordCount="3197" xr:uid="{B5B1D9F4-4F87-4092-99FB-FBFA5E314750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14700899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6054.368425462962" createdVersion="8" refreshedVersion="8" minRefreshableVersion="3" recordCount="3197" xr:uid="{6883C47C-7829-4DE4-9AA9-1C9702D38EDA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489993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96AB6-EA92-4D7A-86F0-EE7132FB61B8}" name="MY_PIVOT5" cacheId="3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4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2"/>
    </i>
  </rowItems>
  <colItems count="1">
    <i/>
  </colItems>
  <pageFields count="1">
    <pageField fld="5" item="1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99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04AE4-F77E-4D91-8302-FA537765DA79}" name="MY_PIVOT4" cacheId="28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8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99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BEE95-88C0-482E-AB67-F16E856D7025}" name="MY_PIVOT3" cacheId="2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4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99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53A263-4FF4-4823-BE84-F806E266D760}" name="MY_PIVOT2" cacheId="1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>
      <items count="14">
        <item h="1" x="2"/>
        <item h="1" x="0"/>
        <item h="1" x="8"/>
        <item h="1" x="4"/>
        <item x="5"/>
        <item h="1" x="6"/>
        <item h="1" x="10"/>
        <item h="1" x="1"/>
        <item x="7"/>
        <item h="1" x="9"/>
        <item h="1" x="11"/>
        <item h="1" x="12"/>
        <item h="1"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4"/>
        <item sd="0" x="1"/>
        <item sd="0" x="2"/>
        <item sd="0" x="3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4"/>
    </i>
    <i>
      <x v="8"/>
    </i>
  </colItems>
  <pageFields count="1">
    <pageField fld="5" item="1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0A0E1-CEC5-4589-866D-A8C6977479DE}" name="MY_PIVOT1" cacheId="1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>
      <items count="14">
        <item h="1" x="2"/>
        <item h="1" x="0"/>
        <item h="1" x="8"/>
        <item h="1" x="4"/>
        <item x="5"/>
        <item h="1" x="6"/>
        <item h="1" x="10"/>
        <item h="1" x="1"/>
        <item x="7"/>
        <item h="1" x="9"/>
        <item h="1" x="11"/>
        <item h="1" x="12"/>
        <item h="1"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4"/>
        <item sd="0" x="1"/>
        <item sd="0" x="2"/>
        <item sd="0" x="3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4"/>
    </i>
    <i>
      <x v="8"/>
    </i>
  </colItems>
  <pageFields count="1">
    <pageField fld="5" item="1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626"/>
            <customFilter operator="lessThanOrEqual" val="389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10">
  <autoFilter ref="A1:I3198" xr:uid="{2EF43F73-F655-48D5-B6D2-98F4865F6804}"/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9"/>
    <tableColumn id="4" xr3:uid="{1B8B7ED9-D645-4CFF-8A2E-1F89A9FDB89A}" name="Year" dataDxfId="8">
      <calculatedColumnFormula>YEAR(ProductLine[[#This Row],[Date]])</calculatedColumnFormula>
    </tableColumn>
    <tableColumn id="5" xr3:uid="{E7E792B0-B651-4C16-9465-006459C8F099}" name="Month" dataDxfId="7">
      <calculatedColumnFormula>MONTH(ProductLine[[#This Row],[Date]])</calculatedColumnFormula>
    </tableColumn>
    <tableColumn id="6" xr3:uid="{50F678B5-DF1B-4F3E-BACA-642D91C2060A}" name="Product" dataDxfId="6"/>
    <tableColumn id="7" xr3:uid="{00D43F39-5E9C-4522-A648-718C9001AA3E}" name="Units" dataDxfId="5"/>
    <tableColumn id="8" xr3:uid="{30EB9277-C616-47D3-85DC-89F35E3929D9}" name="Dollars" dataDxfId="4"/>
    <tableColumn id="9" xr3:uid="{5140CBA0-4073-48D5-BBE3-A0D78E284C2F}" name="Total" data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771CC219-16BC-4421-875A-83AE458B1F16}" sourceName="Date">
  <pivotTables>
    <pivotTable tabId="247" name="MY_PIVOT1"/>
  </pivotTables>
  <state minimalRefreshVersion="6" lastRefreshVersion="6" pivotCacheId="1039383517" filterType="dateBetween">
    <selection startDate="2005-10-01T00:00:00" endDate="2006-09-30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82BFFF96-7FCB-4F21-B1A7-34ACF3806FBE}" sourceName="Date">
  <pivotTables>
    <pivotTable tabId="247" name="MY_PIVOT2"/>
  </pivotTables>
  <state minimalRefreshVersion="6" lastRefreshVersion="6" pivotCacheId="1549608045" filterType="dateBetween">
    <selection startDate="2005-10-01T00:00:00" endDate="2006-09-30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8E1605B8-C366-4BAF-83AA-4884155FC43D}" sourceName="Date">
  <pivotTables>
    <pivotTable tabId="247" name="MY_PIVOT3"/>
  </pivotTables>
  <state minimalRefreshVersion="6" lastRefreshVersion="6" pivotCacheId="559991066" filterType="dateBetween">
    <selection startDate="2006-07-01T00:00:00" endDate="2006-09-30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D2A6DAAD-10B6-4249-8C09-AAA52F258F0A}" sourceName="Date">
  <pivotTables>
    <pivotTable tabId="247" name="MY_PIVOT4"/>
  </pivotTables>
  <state minimalRefreshVersion="6" lastRefreshVersion="6" pivotCacheId="1147008991" filterType="dateBetween">
    <selection startDate="2006-07-01T00:00:00" endDate="2006-09-30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A4DD0FB1-2CC7-44FF-AAB4-6FAEE1A8BBB2}" sourceName="Date">
  <pivotTables>
    <pivotTable tabId="247" name="MY_PIVOT5"/>
  </pivotTables>
  <state minimalRefreshVersion="6" lastRefreshVersion="6" pivotCacheId="489993065" filterType="dateBetween">
    <selection startDate="2006-07-01T00:00:00" endDate="2006-09-30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0F6BE0CC-3B7B-4833-A9DB-D853071FDFDF}" cache="NativeTimeline_Date" caption="Date" level="1" selectionLevel="1" scrollPosition="2005-01-14T00:00:00"/>
  <timeline name="Date2" xr10:uid="{C313D4BE-4233-4F25-BA5F-81D76D361DC4}" cache="Date2" caption="Date2" level="1" selectionLevel="1" scrollPosition="2005-01-14T00:00:00"/>
  <timeline name="Date3" xr10:uid="{0FB1594C-7613-48CD-9723-029C413CF1E9}" cache="Date3" caption="Date3" level="1" selectionLevel="1" scrollPosition="2005-05-31T00:00:00"/>
  <timeline name="Date4" xr10:uid="{986A96BF-4A52-46C2-93BC-2398F0026685}" cache="Date4" caption="Date4" level="1" selectionLevel="1" scrollPosition="2005-06-01T00:00:00"/>
  <timeline name="Date5" xr10:uid="{6CC35D24-D27E-4FD1-88C1-9AF74B9F40AA}" cache="Date5" caption="Date5" level="1" selectionLevel="1" scrollPosition="2005-05-3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workbookViewId="0">
      <selection activeCell="A3198" sqref="A3198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03AAB-B3F9-4B8A-A67B-47D1E9DDA1F4}">
  <dimension ref="B2:AU84"/>
  <sheetViews>
    <sheetView topLeftCell="A30" zoomScale="88" zoomScaleNormal="88" workbookViewId="0">
      <selection activeCell="M40" sqref="M40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5.453125" bestFit="1" customWidth="1"/>
    <col min="5" max="16" width="10.7265625" bestFit="1" customWidth="1"/>
    <col min="46" max="46" width="12.7265625" bestFit="1" customWidth="1"/>
    <col min="47" max="47" width="12.36328125" bestFit="1" customWidth="1"/>
  </cols>
  <sheetData>
    <row r="2" spans="2:25" x14ac:dyDescent="0.35">
      <c r="B2" s="8" t="s">
        <v>5</v>
      </c>
      <c r="C2" t="s">
        <v>24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14</v>
      </c>
      <c r="D5" t="s">
        <v>16</v>
      </c>
      <c r="W5" t="s">
        <v>59</v>
      </c>
      <c r="X5" t="s">
        <v>14</v>
      </c>
      <c r="Y5" t="s">
        <v>16</v>
      </c>
    </row>
    <row r="6" spans="2:25" x14ac:dyDescent="0.35">
      <c r="B6" s="9" t="s">
        <v>64</v>
      </c>
      <c r="C6" s="10">
        <v>73946.247015073022</v>
      </c>
      <c r="D6" s="10">
        <v>19900.63368928686</v>
      </c>
      <c r="W6" t="s">
        <v>37</v>
      </c>
      <c r="X6" s="10">
        <v>73946.247015073022</v>
      </c>
      <c r="Y6" s="10">
        <v>19900.63368928686</v>
      </c>
    </row>
    <row r="7" spans="2:25" x14ac:dyDescent="0.35">
      <c r="B7" s="9" t="s">
        <v>61</v>
      </c>
      <c r="C7" s="10">
        <v>35204.996412901186</v>
      </c>
      <c r="D7" s="10">
        <v>34780.227529294898</v>
      </c>
      <c r="W7" t="s">
        <v>38</v>
      </c>
      <c r="X7" s="10">
        <v>35204.996412901186</v>
      </c>
      <c r="Y7" s="10">
        <v>34780.227529294898</v>
      </c>
    </row>
    <row r="8" spans="2:25" x14ac:dyDescent="0.35">
      <c r="B8" s="9" t="s">
        <v>62</v>
      </c>
      <c r="C8" s="10">
        <v>18408.619775300976</v>
      </c>
      <c r="D8" s="10">
        <v>8866.7071066746466</v>
      </c>
      <c r="W8" t="s">
        <v>39</v>
      </c>
      <c r="X8" s="10">
        <v>18408.619775300976</v>
      </c>
      <c r="Y8" s="10">
        <v>8866.7071066746466</v>
      </c>
    </row>
    <row r="9" spans="2:25" x14ac:dyDescent="0.35">
      <c r="B9" s="9" t="s">
        <v>63</v>
      </c>
      <c r="C9" s="10">
        <v>11889.64160933219</v>
      </c>
      <c r="D9" s="10">
        <v>24356.477635749594</v>
      </c>
      <c r="W9" t="s">
        <v>40</v>
      </c>
      <c r="X9" s="10">
        <v>11889.64160933219</v>
      </c>
      <c r="Y9" s="10">
        <v>24356.477635749594</v>
      </c>
    </row>
    <row r="28" spans="2:25" x14ac:dyDescent="0.35">
      <c r="B28" s="8" t="s">
        <v>5</v>
      </c>
      <c r="C28" t="s">
        <v>24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14</v>
      </c>
      <c r="D31" t="s">
        <v>16</v>
      </c>
      <c r="W31" t="s">
        <v>59</v>
      </c>
      <c r="X31" t="s">
        <v>14</v>
      </c>
      <c r="Y31" t="s">
        <v>16</v>
      </c>
    </row>
    <row r="32" spans="2:25" x14ac:dyDescent="0.35">
      <c r="B32" s="9" t="s">
        <v>64</v>
      </c>
      <c r="C32" s="11"/>
      <c r="D32" s="11"/>
      <c r="W32" t="s">
        <v>38</v>
      </c>
      <c r="X32" s="11">
        <v>-0.52391097812272902</v>
      </c>
      <c r="Y32" s="11">
        <v>0.74769447407185796</v>
      </c>
    </row>
    <row r="33" spans="2:25" x14ac:dyDescent="0.35">
      <c r="B33" s="9" t="s">
        <v>61</v>
      </c>
      <c r="C33" s="11">
        <v>-0.52391097812272902</v>
      </c>
      <c r="D33" s="11">
        <v>0.74769447407185796</v>
      </c>
      <c r="W33" t="s">
        <v>39</v>
      </c>
      <c r="X33" s="11">
        <v>-0.4771020692802862</v>
      </c>
      <c r="Y33" s="11">
        <v>-0.74506471818775932</v>
      </c>
    </row>
    <row r="34" spans="2:25" x14ac:dyDescent="0.35">
      <c r="B34" s="9" t="s">
        <v>62</v>
      </c>
      <c r="C34" s="11">
        <v>-0.4771020692802862</v>
      </c>
      <c r="D34" s="11">
        <v>-0.74506471818775932</v>
      </c>
      <c r="W34" t="s">
        <v>40</v>
      </c>
      <c r="X34" s="11">
        <v>-0.35412639543543417</v>
      </c>
      <c r="Y34" s="11">
        <v>1.7469586333143468</v>
      </c>
    </row>
    <row r="35" spans="2:25" x14ac:dyDescent="0.35">
      <c r="B35" s="9" t="s">
        <v>63</v>
      </c>
      <c r="C35" s="11">
        <v>-0.35412639543543417</v>
      </c>
      <c r="D35" s="11">
        <v>1.7469586333143468</v>
      </c>
    </row>
    <row r="40" spans="2:25" x14ac:dyDescent="0.35">
      <c r="B40" t="s">
        <v>67</v>
      </c>
    </row>
    <row r="42" spans="2:25" x14ac:dyDescent="0.35">
      <c r="B42" s="8" t="s">
        <v>1</v>
      </c>
      <c r="C42" t="s">
        <v>14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1.1568768016566507E-2</v>
      </c>
      <c r="W45" t="s">
        <v>26</v>
      </c>
      <c r="X45" s="11">
        <v>1.1568768016566507E-2</v>
      </c>
    </row>
    <row r="46" spans="2:25" x14ac:dyDescent="0.35">
      <c r="B46" s="9" t="s">
        <v>24</v>
      </c>
      <c r="C46" s="11">
        <v>0.13155989897704548</v>
      </c>
      <c r="W46" t="s">
        <v>24</v>
      </c>
      <c r="X46" s="11">
        <v>0.13155989897704548</v>
      </c>
    </row>
    <row r="47" spans="2:25" x14ac:dyDescent="0.35">
      <c r="B47" s="9" t="s">
        <v>23</v>
      </c>
      <c r="C47" s="11">
        <v>0.5061887083522506</v>
      </c>
      <c r="W47" t="s">
        <v>23</v>
      </c>
      <c r="X47" s="11">
        <v>0.5061887083522506</v>
      </c>
    </row>
    <row r="48" spans="2:25" x14ac:dyDescent="0.35">
      <c r="B48" s="9" t="s">
        <v>25</v>
      </c>
      <c r="C48" s="11">
        <v>1.9936886643038634E-2</v>
      </c>
      <c r="W48" t="s">
        <v>25</v>
      </c>
      <c r="X48" s="11">
        <v>1.9936886643038634E-2</v>
      </c>
    </row>
    <row r="49" spans="2:24" x14ac:dyDescent="0.35">
      <c r="B49" s="9" t="s">
        <v>27</v>
      </c>
      <c r="C49" s="11">
        <v>0.33074573801109886</v>
      </c>
      <c r="W49" t="s">
        <v>27</v>
      </c>
      <c r="X49" s="11">
        <v>0.33074573801109886</v>
      </c>
    </row>
    <row r="55" spans="2:24" x14ac:dyDescent="0.35">
      <c r="B55" t="s">
        <v>68</v>
      </c>
    </row>
    <row r="60" spans="2:24" x14ac:dyDescent="0.35">
      <c r="B60" s="8" t="s">
        <v>1</v>
      </c>
      <c r="C60" t="s">
        <v>16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0.65241107002586651</v>
      </c>
      <c r="W63" t="s">
        <v>26</v>
      </c>
      <c r="X63" s="11">
        <v>0.65241107002586651</v>
      </c>
    </row>
    <row r="64" spans="2:24" x14ac:dyDescent="0.35">
      <c r="B64" s="9" t="s">
        <v>24</v>
      </c>
      <c r="C64" s="11">
        <v>0.17197599417227574</v>
      </c>
      <c r="W64" t="s">
        <v>24</v>
      </c>
      <c r="X64" s="11">
        <v>0.17197599417227574</v>
      </c>
    </row>
    <row r="65" spans="2:47" x14ac:dyDescent="0.35">
      <c r="B65" s="9" t="s">
        <v>23</v>
      </c>
      <c r="C65" s="11">
        <v>0.1465802022861637</v>
      </c>
      <c r="W65" t="s">
        <v>23</v>
      </c>
      <c r="X65" s="11">
        <v>0.1465802022861637</v>
      </c>
    </row>
    <row r="66" spans="2:47" x14ac:dyDescent="0.35">
      <c r="B66" s="9" t="s">
        <v>25</v>
      </c>
      <c r="C66" s="11">
        <v>2.6296026931857418E-2</v>
      </c>
      <c r="W66" t="s">
        <v>25</v>
      </c>
      <c r="X66" s="11">
        <v>2.6296026931857418E-2</v>
      </c>
    </row>
    <row r="67" spans="2:47" x14ac:dyDescent="0.35">
      <c r="B67" s="9" t="s">
        <v>27</v>
      </c>
      <c r="C67" s="11">
        <v>2.736706583836567E-3</v>
      </c>
      <c r="W67" t="s">
        <v>27</v>
      </c>
      <c r="X67" s="11">
        <v>2.736706583836567E-3</v>
      </c>
    </row>
    <row r="70" spans="2:47" x14ac:dyDescent="0.35">
      <c r="AT70" t="s">
        <v>69</v>
      </c>
    </row>
    <row r="73" spans="2:47" x14ac:dyDescent="0.35">
      <c r="AT73" s="8" t="s">
        <v>5</v>
      </c>
      <c r="AU73" t="s">
        <v>24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6.8958677060221964E-3</v>
      </c>
      <c r="AT76" s="9" t="s">
        <v>11</v>
      </c>
      <c r="AU76" s="11">
        <v>6.8958677060221964E-3</v>
      </c>
    </row>
    <row r="77" spans="2:47" x14ac:dyDescent="0.35">
      <c r="AP77" t="s">
        <v>9</v>
      </c>
      <c r="AQ77" s="11">
        <v>0.13646941134487969</v>
      </c>
      <c r="AT77" s="9" t="s">
        <v>9</v>
      </c>
      <c r="AU77" s="11">
        <v>0.13646941134487969</v>
      </c>
    </row>
    <row r="78" spans="2:47" x14ac:dyDescent="0.35">
      <c r="AP78" t="s">
        <v>17</v>
      </c>
      <c r="AQ78" s="11">
        <v>3.8935281799775817E-2</v>
      </c>
      <c r="AT78" s="9" t="s">
        <v>17</v>
      </c>
      <c r="AU78" s="11">
        <v>3.8935281799775817E-2</v>
      </c>
    </row>
    <row r="79" spans="2:47" x14ac:dyDescent="0.35">
      <c r="AP79" t="s">
        <v>13</v>
      </c>
      <c r="AQ79" s="11">
        <v>0.11070102071061126</v>
      </c>
      <c r="AT79" s="9" t="s">
        <v>13</v>
      </c>
      <c r="AU79" s="11">
        <v>0.11070102071061126</v>
      </c>
    </row>
    <row r="80" spans="2:47" x14ac:dyDescent="0.35">
      <c r="AP80" t="s">
        <v>14</v>
      </c>
      <c r="AQ80" s="11">
        <v>4.4287975433786091E-2</v>
      </c>
      <c r="AT80" s="9" t="s">
        <v>14</v>
      </c>
      <c r="AU80" s="11">
        <v>4.4287975433786091E-2</v>
      </c>
    </row>
    <row r="81" spans="42:47" x14ac:dyDescent="0.35">
      <c r="AP81" t="s">
        <v>15</v>
      </c>
      <c r="AQ81" s="11">
        <v>0.12977947953323696</v>
      </c>
      <c r="AT81" s="9" t="s">
        <v>15</v>
      </c>
      <c r="AU81" s="11">
        <v>0.12977947953323696</v>
      </c>
    </row>
    <row r="82" spans="42:47" x14ac:dyDescent="0.35">
      <c r="AP82" t="s">
        <v>10</v>
      </c>
      <c r="AQ82" s="11">
        <v>0.28858905856845035</v>
      </c>
      <c r="AT82" s="9" t="s">
        <v>10</v>
      </c>
      <c r="AU82" s="11">
        <v>0.28858905856845035</v>
      </c>
    </row>
    <row r="83" spans="42:47" x14ac:dyDescent="0.35">
      <c r="AP83" t="s">
        <v>16</v>
      </c>
      <c r="AQ83" s="11">
        <v>9.0725954459297292E-2</v>
      </c>
      <c r="AT83" s="9" t="s">
        <v>16</v>
      </c>
      <c r="AU83" s="11">
        <v>9.0725954459297292E-2</v>
      </c>
    </row>
    <row r="84" spans="42:47" x14ac:dyDescent="0.35">
      <c r="AP84" t="s">
        <v>12</v>
      </c>
      <c r="AQ84" s="11">
        <v>0.15361595044394027</v>
      </c>
      <c r="AT84" s="9" t="s">
        <v>12</v>
      </c>
      <c r="AU84" s="11">
        <v>0.15361595044394027</v>
      </c>
    </row>
  </sheetData>
  <sortState xmlns:xlrd2="http://schemas.microsoft.com/office/spreadsheetml/2017/richdata2" ref="B30:D35">
    <sortCondition ref="B32" customList="Qtr4,Qtr1,Qtr2,Qtr3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90"/>
  <sheetViews>
    <sheetView showGridLines="0" tabSelected="1" zoomScale="92" zoomScaleNormal="92" workbookViewId="0">
      <selection activeCell="EN17" sqref="EN1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2022</v>
      </c>
      <c r="CG1">
        <v>2022</v>
      </c>
      <c r="CH1">
        <v>2023</v>
      </c>
      <c r="CI1">
        <v>2023</v>
      </c>
      <c r="CJ1">
        <v>2023</v>
      </c>
      <c r="CK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</row>
    <row r="3" spans="1:144" x14ac:dyDescent="0.35">
      <c r="B3" s="4">
        <v>2006</v>
      </c>
      <c r="F3" s="5" t="s">
        <v>32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  <c r="CG3" t="s">
        <v>31</v>
      </c>
      <c r="CH3" t="s">
        <v>31</v>
      </c>
      <c r="CI3" t="s">
        <v>31</v>
      </c>
      <c r="CJ3" t="s">
        <v>31</v>
      </c>
      <c r="CK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  <c r="CG4" t="s">
        <v>32</v>
      </c>
      <c r="CH4" t="s">
        <v>32</v>
      </c>
      <c r="CI4" t="s">
        <v>32</v>
      </c>
      <c r="CJ4" t="s">
        <v>32</v>
      </c>
      <c r="CK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  <c r="CG5" t="s">
        <v>29</v>
      </c>
      <c r="CH5" t="s">
        <v>29</v>
      </c>
      <c r="CI5" t="s">
        <v>29</v>
      </c>
      <c r="CJ5" t="s">
        <v>29</v>
      </c>
      <c r="CK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14</v>
      </c>
      <c r="F7" s="12" t="s">
        <v>16</v>
      </c>
      <c r="J7" s="7" t="s">
        <v>24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2006_Q3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90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Cici</v>
      </c>
    </row>
    <row r="86" spans="281:281" x14ac:dyDescent="0.35">
      <c r="JU86" t="str">
        <f ca="1"/>
        <v>Colleen</v>
      </c>
    </row>
    <row r="87" spans="281:281" x14ac:dyDescent="0.35">
      <c r="JU87" t="str">
        <f ca="1"/>
        <v>Emilee</v>
      </c>
    </row>
    <row r="88" spans="281:281" x14ac:dyDescent="0.35">
      <c r="JU88" t="str">
        <f ca="1"/>
        <v>Hallagan</v>
      </c>
    </row>
    <row r="89" spans="281:281" x14ac:dyDescent="0.35">
      <c r="JU89" t="str">
        <f ca="1"/>
        <v>Jen</v>
      </c>
    </row>
    <row r="90" spans="281:281" x14ac:dyDescent="0.35">
      <c r="JU90" t="str">
        <f ca="1"/>
        <v>Zaret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2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topLeftCell="S1" zoomScale="86" zoomScaleNormal="86" workbookViewId="0">
      <selection activeCell="CJ27" sqref="CJ27:CJ38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2026-02-01T03:25:55Z</dcterms:modified>
</cp:coreProperties>
</file>